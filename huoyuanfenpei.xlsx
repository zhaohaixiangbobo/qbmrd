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charset val="134"/>
      <b val="1"/>
      <sz val="11"/>
    </font>
    <font>
      <name val="宋体"/>
      <charset val="134"/>
      <b val="1"/>
      <sz val="11"/>
    </font>
    <font>
      <name val="方正书宋_GBK"/>
      <charset val="0"/>
      <b val="1"/>
      <sz val="11"/>
    </font>
    <font>
      <name val="Arial"/>
      <charset val="134"/>
      <sz val="11"/>
    </font>
    <font>
      <name val="方正书宋_GBK"/>
      <charset val="0"/>
      <sz val="11"/>
    </font>
    <font>
      <name val="Arial"/>
      <charset val="134"/>
      <color rgb="FFFF0000"/>
      <sz val="11"/>
    </font>
    <font>
      <name val="宋体"/>
      <charset val="134"/>
      <sz val="11"/>
    </font>
    <font>
      <name val="Arial"/>
      <charset val="134"/>
      <color theme="1"/>
      <sz val="11"/>
    </font>
    <font>
      <name val="宋体"/>
      <charset val="134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2" borderId="11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5" fillId="2" borderId="1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8" fillId="2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批发价</t>
        </is>
      </c>
      <c r="C1" s="1" t="inlineStr">
        <is>
          <t>卷烟名称</t>
        </is>
      </c>
      <c r="D1" s="2" t="inlineStr">
        <is>
          <t>类</t>
        </is>
      </c>
      <c r="E1" s="3" t="inlineStr">
        <is>
          <t>需求</t>
        </is>
      </c>
      <c r="F1" s="4" t="inlineStr">
        <is>
          <t>可用货源</t>
        </is>
      </c>
      <c r="G1" s="5" t="inlineStr">
        <is>
          <t>属</t>
        </is>
      </c>
      <c r="H1" s="6" t="inlineStr">
        <is>
          <t>C类</t>
        </is>
      </c>
      <c r="I1" s="2" t="inlineStr">
        <is>
          <t>品牌</t>
        </is>
      </c>
      <c r="J1" s="7" t="inlineStr">
        <is>
          <t>条支比</t>
        </is>
      </c>
      <c r="K1" s="6" t="inlineStr">
        <is>
          <t>C</t>
        </is>
      </c>
      <c r="L1" s="8" t="inlineStr">
        <is>
          <t>按需</t>
        </is>
      </c>
      <c r="M1" s="8" t="inlineStr">
        <is>
          <t>按价</t>
        </is>
      </c>
      <c r="N1" s="1" t="inlineStr">
        <is>
          <t>第一轮</t>
        </is>
      </c>
      <c r="O1" s="1" t="inlineStr">
        <is>
          <t>第二轮</t>
        </is>
      </c>
      <c r="P1" s="1" t="inlineStr">
        <is>
          <t>第三轮</t>
        </is>
      </c>
      <c r="Q1" s="1" t="inlineStr">
        <is>
          <t>第四轮</t>
        </is>
      </c>
      <c r="R1" s="1" t="inlineStr">
        <is>
          <t>第五轮</t>
        </is>
      </c>
    </row>
    <row r="2">
      <c r="A2" s="9" t="inlineStr">
        <is>
          <t>SKU-C78CA26A</t>
        </is>
      </c>
      <c r="B2" s="9" t="n">
        <v>100</v>
      </c>
      <c r="C2" s="10" t="inlineStr">
        <is>
          <t>Product-0CBDA773</t>
        </is>
      </c>
      <c r="D2" s="11" t="n">
        <v>3</v>
      </c>
      <c r="E2" s="12" t="n">
        <v>315.4</v>
      </c>
      <c r="F2" s="13" t="n">
        <v>151.484</v>
      </c>
      <c r="G2" s="9" t="inlineStr"/>
      <c r="H2" s="14" t="inlineStr"/>
      <c r="I2" s="11" t="inlineStr">
        <is>
          <t>Brand-Anonymized</t>
        </is>
      </c>
      <c r="J2" s="14" t="n">
        <v>200</v>
      </c>
      <c r="K2" s="14" t="n"/>
      <c r="L2" s="14">
        <f>IFERROR(VLOOKUP(A2,[1]按需!A$1:A$65536,1,FALSE),"")</f>
        <v/>
      </c>
      <c r="M2" s="14" t="inlineStr"/>
      <c r="N2" s="9" t="n"/>
      <c r="O2" s="9" t="n"/>
      <c r="P2" s="9" t="n"/>
      <c r="Q2" s="9" t="n"/>
      <c r="R2" s="9" t="n"/>
    </row>
    <row r="3">
      <c r="A3" s="15" t="inlineStr">
        <is>
          <t>SKU-FEFFF06B</t>
        </is>
      </c>
      <c r="B3" s="15" t="n">
        <v>100</v>
      </c>
      <c r="C3" s="10" t="inlineStr">
        <is>
          <t>Product-2824E2BD</t>
        </is>
      </c>
      <c r="D3" s="16" t="n">
        <v>2</v>
      </c>
      <c r="E3" s="12" t="n">
        <v>32.3</v>
      </c>
      <c r="F3" s="17" t="n">
        <v>3.504</v>
      </c>
      <c r="G3" s="15" t="inlineStr">
        <is>
          <t>T</t>
        </is>
      </c>
      <c r="H3" s="18" t="inlineStr"/>
      <c r="I3" s="16" t="inlineStr">
        <is>
          <t>Brand-Anonymized</t>
        </is>
      </c>
      <c r="J3" s="18" t="n">
        <v>200</v>
      </c>
      <c r="K3" s="18" t="n"/>
      <c r="L3" s="18">
        <f>IFERROR(VLOOKUP(A3,[1]按需!A$1:A$65536,1,FALSE),"")</f>
        <v/>
      </c>
      <c r="M3" s="18" t="inlineStr"/>
      <c r="N3" s="15" t="n"/>
      <c r="O3" s="15" t="n"/>
      <c r="P3" s="15" t="n"/>
      <c r="Q3" s="15" t="n"/>
      <c r="R3" s="15" t="n"/>
    </row>
    <row r="4">
      <c r="A4" s="15" t="inlineStr">
        <is>
          <t>SKU-2866FD1A</t>
        </is>
      </c>
      <c r="B4" s="15" t="n">
        <v>100</v>
      </c>
      <c r="C4" s="10" t="inlineStr">
        <is>
          <t>Product-B05D24B5</t>
        </is>
      </c>
      <c r="D4" s="16" t="n">
        <v>3</v>
      </c>
      <c r="E4" s="12" t="n">
        <v>49.2</v>
      </c>
      <c r="F4" s="17" t="n">
        <v>15.616</v>
      </c>
      <c r="G4" s="15" t="inlineStr"/>
      <c r="H4" s="18" t="inlineStr"/>
      <c r="I4" s="16" t="inlineStr">
        <is>
          <t>Brand-Anonymized</t>
        </is>
      </c>
      <c r="J4" s="18" t="n">
        <v>200</v>
      </c>
      <c r="K4" s="18" t="n"/>
      <c r="L4" s="18">
        <f>IFERROR(VLOOKUP(A4,[1]按需!A$1:A$65536,1,FALSE),"")</f>
        <v/>
      </c>
      <c r="M4" s="18" t="inlineStr"/>
      <c r="N4" s="15" t="n"/>
      <c r="O4" s="15" t="n"/>
      <c r="P4" s="15" t="n"/>
      <c r="Q4" s="15" t="n"/>
      <c r="R4" s="15" t="n"/>
    </row>
    <row r="5">
      <c r="A5" s="15" t="inlineStr">
        <is>
          <t>SKU-0260B714</t>
        </is>
      </c>
      <c r="B5" s="15" t="n">
        <v>100</v>
      </c>
      <c r="C5" s="19" t="inlineStr">
        <is>
          <t>Product-9FA41960</t>
        </is>
      </c>
      <c r="D5" s="16" t="n">
        <v>2</v>
      </c>
      <c r="E5" s="12" t="n">
        <v>0</v>
      </c>
      <c r="F5" s="17" t="n">
        <v>0</v>
      </c>
      <c r="G5" s="15" t="inlineStr"/>
      <c r="H5" s="18" t="inlineStr"/>
      <c r="I5" s="16" t="inlineStr">
        <is>
          <t>Brand-Anonymized</t>
        </is>
      </c>
      <c r="J5" s="18" t="n">
        <v>200</v>
      </c>
      <c r="K5" s="18" t="n"/>
      <c r="L5" s="18">
        <f>IFERROR(VLOOKUP(A5,[1]按需!A$1:A$65536,1,FALSE),"")</f>
        <v/>
      </c>
      <c r="M5" s="18" t="inlineStr"/>
      <c r="N5" s="15" t="n"/>
      <c r="O5" s="15" t="n"/>
      <c r="P5" s="15" t="n"/>
      <c r="Q5" s="15" t="n"/>
      <c r="R5" s="15" t="n"/>
    </row>
    <row r="6">
      <c r="A6" s="15" t="inlineStr">
        <is>
          <t>SKU-80DD304E</t>
        </is>
      </c>
      <c r="B6" s="15" t="n">
        <v>100</v>
      </c>
      <c r="C6" s="10" t="inlineStr">
        <is>
          <t>Product-104B7147</t>
        </is>
      </c>
      <c r="D6" s="16" t="n">
        <v>2</v>
      </c>
      <c r="E6" s="12" t="n">
        <v>56.3</v>
      </c>
      <c r="F6" s="17" t="n">
        <v>1.128</v>
      </c>
      <c r="G6" s="15" t="inlineStr">
        <is>
          <t>C</t>
        </is>
      </c>
      <c r="H6" s="18" t="inlineStr">
        <is>
          <t>标</t>
        </is>
      </c>
      <c r="I6" s="16" t="inlineStr">
        <is>
          <t>Brand-Anonymized</t>
        </is>
      </c>
      <c r="J6" s="18" t="n">
        <v>200</v>
      </c>
      <c r="K6" s="18" t="inlineStr">
        <is>
          <t>C</t>
        </is>
      </c>
      <c r="L6" s="18">
        <f>IFERROR(VLOOKUP(A6,[1]按需!A$1:A$65536,1,FALSE),"")</f>
        <v/>
      </c>
      <c r="M6" s="18" t="inlineStr"/>
      <c r="N6" s="15" t="n">
        <v>0</v>
      </c>
      <c r="O6" s="15" t="n">
        <v>0</v>
      </c>
      <c r="P6" s="20" t="n">
        <v>28</v>
      </c>
      <c r="Q6" s="15" t="n">
        <v>0</v>
      </c>
      <c r="R6" s="15" t="n">
        <v>28.3</v>
      </c>
    </row>
    <row r="7">
      <c r="A7" s="15" t="inlineStr">
        <is>
          <t>SKU-1DE29866</t>
        </is>
      </c>
      <c r="B7" s="15" t="n">
        <v>100</v>
      </c>
      <c r="C7" s="10" t="inlineStr">
        <is>
          <t>Product-F23B59C1</t>
        </is>
      </c>
      <c r="D7" s="16" t="n">
        <v>1</v>
      </c>
      <c r="E7" s="12" t="n">
        <v>70</v>
      </c>
      <c r="F7" s="17" t="n">
        <v>34.708</v>
      </c>
      <c r="G7" s="15" t="inlineStr">
        <is>
          <t>X</t>
        </is>
      </c>
      <c r="H7" s="18" t="inlineStr">
        <is>
          <t>标</t>
        </is>
      </c>
      <c r="I7" s="16" t="inlineStr">
        <is>
          <t>Brand-Anonymized</t>
        </is>
      </c>
      <c r="J7" s="18" t="n">
        <v>200</v>
      </c>
      <c r="K7" s="18" t="inlineStr">
        <is>
          <t>C</t>
        </is>
      </c>
      <c r="L7" s="18">
        <f>IFERROR(VLOOKUP(A7,[1]按需!A$1:A$65536,1,FALSE),"")</f>
        <v/>
      </c>
      <c r="M7" s="18" t="inlineStr"/>
      <c r="N7" s="15" t="n">
        <v>0</v>
      </c>
      <c r="O7" s="15" t="n">
        <v>34.66</v>
      </c>
      <c r="P7" s="15">
        <f>IFERROR(VLOOKUP($B7,[2]策略!$A$1:$I$65536,MATCH(P$2,[2]策略!$A$1:$IV$1,0),0),"0")</f>
        <v/>
      </c>
      <c r="Q7" s="15" t="n">
        <v>35.34</v>
      </c>
      <c r="R7" s="15">
        <f>IFERROR(VLOOKUP($B7,[2]策略!$A$1:$I$65536,MATCH(R$2,[2]策略!$A$1:$IV$1,0),0),"0")</f>
        <v/>
      </c>
    </row>
    <row r="8">
      <c r="A8" s="15" t="inlineStr">
        <is>
          <t>SKU-99A87208</t>
        </is>
      </c>
      <c r="B8" s="15" t="n">
        <v>100</v>
      </c>
      <c r="C8" s="21" t="inlineStr">
        <is>
          <t>Product-658841C6</t>
        </is>
      </c>
      <c r="D8" s="16" t="n">
        <v>1</v>
      </c>
      <c r="E8" s="12" t="n">
        <v>15</v>
      </c>
      <c r="F8" s="22" t="n">
        <v>1.48</v>
      </c>
      <c r="G8" s="15" t="inlineStr">
        <is>
          <t>X</t>
        </is>
      </c>
      <c r="H8" s="18" t="inlineStr">
        <is>
          <t>细</t>
        </is>
      </c>
      <c r="I8" s="16" t="inlineStr">
        <is>
          <t>Brand-Anonymized</t>
        </is>
      </c>
      <c r="J8" s="18" t="n">
        <v>200</v>
      </c>
      <c r="K8" s="18" t="inlineStr">
        <is>
          <t>C</t>
        </is>
      </c>
      <c r="L8" s="18">
        <f>IFERROR(VLOOKUP(A8,[1]按需!A$1:A$65536,1,FALSE),"")</f>
        <v/>
      </c>
      <c r="M8" s="18" t="inlineStr"/>
      <c r="N8" s="20" t="n">
        <v>0</v>
      </c>
      <c r="O8" s="15" t="n">
        <v>0</v>
      </c>
      <c r="P8" s="20" t="n">
        <v>7.5</v>
      </c>
      <c r="Q8" s="15" t="n">
        <v>0</v>
      </c>
      <c r="R8" s="15" t="n">
        <v>7.5</v>
      </c>
    </row>
    <row r="9">
      <c r="A9" s="15" t="inlineStr">
        <is>
          <t>SKU-D208A1F4</t>
        </is>
      </c>
      <c r="B9" s="15" t="n">
        <v>100</v>
      </c>
      <c r="C9" s="10" t="inlineStr">
        <is>
          <t>Product-DE70A72E</t>
        </is>
      </c>
      <c r="D9" s="16" t="n">
        <v>3</v>
      </c>
      <c r="E9" s="12" t="n">
        <v>972</v>
      </c>
      <c r="F9" s="13" t="n">
        <v>681.336</v>
      </c>
      <c r="G9" s="20" t="inlineStr">
        <is>
          <t>T</t>
        </is>
      </c>
      <c r="H9" s="18" t="inlineStr"/>
      <c r="I9" s="16" t="inlineStr">
        <is>
          <t>Brand-Anonymized</t>
        </is>
      </c>
      <c r="J9" s="18" t="n">
        <v>200</v>
      </c>
      <c r="K9" s="18" t="n"/>
      <c r="L9" s="18">
        <f>IFERROR(VLOOKUP(A9,[1]按需!A$1:A$65536,1,FALSE),"")</f>
        <v/>
      </c>
      <c r="M9" s="18" t="inlineStr"/>
      <c r="N9" s="9" t="n"/>
      <c r="O9" s="9" t="n"/>
      <c r="P9" s="9" t="n"/>
      <c r="Q9" s="9" t="n"/>
      <c r="R9" s="9" t="n"/>
    </row>
    <row r="10">
      <c r="A10" s="15" t="inlineStr">
        <is>
          <t>SKU-07FCDFBC</t>
        </is>
      </c>
      <c r="B10" s="15" t="n">
        <v>100</v>
      </c>
      <c r="C10" s="23" t="inlineStr">
        <is>
          <t>Product-7A1FEE2B</t>
        </is>
      </c>
      <c r="D10" s="16" t="n">
        <v>1</v>
      </c>
      <c r="E10" s="12" t="n">
        <v>0</v>
      </c>
      <c r="F10" s="13" t="n">
        <v>0</v>
      </c>
      <c r="G10" s="15" t="inlineStr"/>
      <c r="H10" s="18" t="inlineStr">
        <is>
          <t>标</t>
        </is>
      </c>
      <c r="I10" s="16" t="inlineStr">
        <is>
          <t>Brand-Anonymized</t>
        </is>
      </c>
      <c r="J10" s="18" t="n">
        <v>200</v>
      </c>
      <c r="K10" s="18" t="inlineStr">
        <is>
          <t>C</t>
        </is>
      </c>
      <c r="L10" s="18">
        <f>IFERROR(VLOOKUP(A10,[1]按需!A$1:A$65536,1,FALSE),"")</f>
        <v/>
      </c>
      <c r="M10" s="18" t="inlineStr"/>
      <c r="N10" s="9" t="n"/>
      <c r="O10" s="9" t="n"/>
      <c r="P10" s="9" t="n"/>
      <c r="Q10" s="9" t="n"/>
      <c r="R10" s="9" t="n"/>
    </row>
    <row r="11">
      <c r="A11" s="15" t="inlineStr">
        <is>
          <t>SKU-F24DC4CC</t>
        </is>
      </c>
      <c r="B11" s="15" t="n">
        <v>100</v>
      </c>
      <c r="C11" s="23" t="inlineStr">
        <is>
          <t>Product-3F617BC6</t>
        </is>
      </c>
      <c r="D11" s="16" t="n">
        <v>1</v>
      </c>
      <c r="E11" s="12" t="n">
        <v>0</v>
      </c>
      <c r="F11" s="13" t="n">
        <v>0</v>
      </c>
      <c r="G11" s="15" t="inlineStr"/>
      <c r="H11" s="18" t="inlineStr">
        <is>
          <t>方</t>
        </is>
      </c>
      <c r="I11" s="16" t="inlineStr">
        <is>
          <t>Brand-Anonymized</t>
        </is>
      </c>
      <c r="J11" s="18" t="n">
        <v>200</v>
      </c>
      <c r="K11" s="18" t="inlineStr">
        <is>
          <t>C</t>
        </is>
      </c>
      <c r="L11" s="18">
        <f>IFERROR(VLOOKUP(A11,[1]按需!A$1:A$65536,1,FALSE),"")</f>
        <v/>
      </c>
      <c r="M11" s="18" t="inlineStr"/>
      <c r="N11" s="9" t="n"/>
      <c r="O11" s="9" t="n"/>
      <c r="P11" s="9" t="n"/>
      <c r="Q11" s="9" t="n"/>
      <c r="R11" s="9" t="n"/>
    </row>
    <row r="12">
      <c r="A12" s="15" t="inlineStr">
        <is>
          <t>SKU-D943D84F</t>
        </is>
      </c>
      <c r="B12" s="15" t="n">
        <v>100</v>
      </c>
      <c r="C12" s="24" t="inlineStr">
        <is>
          <t>Product-9C089579</t>
        </is>
      </c>
      <c r="D12" s="16" t="n">
        <v>1</v>
      </c>
      <c r="E12" s="12" t="n">
        <v>0</v>
      </c>
      <c r="F12" s="13" t="n">
        <v>0</v>
      </c>
      <c r="G12" s="15" t="inlineStr"/>
      <c r="H12" s="18" t="inlineStr"/>
      <c r="I12" s="16" t="inlineStr">
        <is>
          <t>Brand-Anonymized</t>
        </is>
      </c>
      <c r="J12" s="18" t="n">
        <v>200</v>
      </c>
      <c r="K12" s="18" t="n"/>
      <c r="L12" s="18">
        <f>IFERROR(VLOOKUP(A12,[1]按需!A$1:A$65536,1,FALSE),"")</f>
        <v/>
      </c>
      <c r="M12" s="18" t="inlineStr"/>
      <c r="N12" s="9" t="n"/>
      <c r="O12" s="9" t="n"/>
      <c r="P12" s="9" t="n"/>
      <c r="Q12" s="9" t="n"/>
      <c r="R12" s="9" t="n"/>
    </row>
    <row r="13">
      <c r="A13" s="15" t="inlineStr">
        <is>
          <t>SKU-6D9E63BD</t>
        </is>
      </c>
      <c r="B13" s="15" t="n">
        <v>100</v>
      </c>
      <c r="C13" s="10" t="inlineStr">
        <is>
          <t>Product-BC499EF2</t>
        </is>
      </c>
      <c r="D13" s="16" t="n">
        <v>1</v>
      </c>
      <c r="E13" s="12" t="n">
        <v>28</v>
      </c>
      <c r="F13" s="13" t="n">
        <v>4.488</v>
      </c>
      <c r="G13" s="15" t="inlineStr">
        <is>
          <t>C</t>
        </is>
      </c>
      <c r="H13" s="18" t="inlineStr">
        <is>
          <t>方</t>
        </is>
      </c>
      <c r="I13" s="16" t="inlineStr">
        <is>
          <t>Brand-Anonymized</t>
        </is>
      </c>
      <c r="J13" s="18" t="n">
        <v>200</v>
      </c>
      <c r="K13" s="18" t="inlineStr">
        <is>
          <t>C</t>
        </is>
      </c>
      <c r="L13" s="25" t="inlineStr">
        <is>
          <t>需</t>
        </is>
      </c>
      <c r="M13" s="18" t="inlineStr"/>
      <c r="N13" s="9" t="n">
        <v>0</v>
      </c>
      <c r="O13" s="9" t="n">
        <v>0</v>
      </c>
      <c r="P13" s="9" t="n">
        <v>28</v>
      </c>
      <c r="Q13" s="9" t="n">
        <v>0</v>
      </c>
      <c r="R13" s="9" t="n">
        <v>0</v>
      </c>
    </row>
    <row r="14">
      <c r="A14" s="15" t="inlineStr">
        <is>
          <t>SKU-01FF2431</t>
        </is>
      </c>
      <c r="B14" s="15" t="n">
        <v>100</v>
      </c>
      <c r="C14" s="10" t="inlineStr">
        <is>
          <t>Product-C54A353F</t>
        </is>
      </c>
      <c r="D14" s="16" t="n">
        <v>1</v>
      </c>
      <c r="E14" s="12" t="n">
        <v>97.36799999999999</v>
      </c>
      <c r="F14" s="13" t="n">
        <v>97.36799999999999</v>
      </c>
      <c r="G14" s="15" t="inlineStr">
        <is>
          <t>C</t>
        </is>
      </c>
      <c r="H14" s="18" t="inlineStr">
        <is>
          <t>标</t>
        </is>
      </c>
      <c r="I14" s="16" t="inlineStr">
        <is>
          <t>Brand-Anonymized</t>
        </is>
      </c>
      <c r="J14" s="18" t="n">
        <v>200</v>
      </c>
      <c r="K14" s="18" t="inlineStr">
        <is>
          <t>C</t>
        </is>
      </c>
      <c r="L14" s="18">
        <f>IFERROR(VLOOKUP(A14,[1]按需!A$1:A$65536,1,FALSE),"")</f>
        <v/>
      </c>
      <c r="M14" s="18" t="inlineStr">
        <is>
          <t>价</t>
        </is>
      </c>
      <c r="N14" s="9" t="n">
        <v>40</v>
      </c>
      <c r="O14" s="9" t="n">
        <v>0</v>
      </c>
      <c r="P14" s="9" t="n">
        <v>40</v>
      </c>
      <c r="Q14" s="9" t="n">
        <v>0</v>
      </c>
      <c r="R14" s="9" t="n">
        <v>17.368</v>
      </c>
    </row>
    <row r="15">
      <c r="A15" s="15" t="inlineStr">
        <is>
          <t>SKU-8916FAEC</t>
        </is>
      </c>
      <c r="B15" s="15" t="n">
        <v>100</v>
      </c>
      <c r="C15" s="10" t="inlineStr">
        <is>
          <t>Product-558A622A</t>
        </is>
      </c>
      <c r="D15" s="16" t="n">
        <v>1</v>
      </c>
      <c r="E15" s="12" t="n">
        <v>0</v>
      </c>
      <c r="F15" s="13" t="n">
        <v>0</v>
      </c>
      <c r="G15" s="15" t="inlineStr">
        <is>
          <t>C</t>
        </is>
      </c>
      <c r="H15" s="18" t="inlineStr">
        <is>
          <t>长</t>
        </is>
      </c>
      <c r="I15" s="16" t="inlineStr">
        <is>
          <t>Brand-Anonymized</t>
        </is>
      </c>
      <c r="J15" s="18" t="n">
        <v>200</v>
      </c>
      <c r="K15" s="18" t="inlineStr">
        <is>
          <t>C</t>
        </is>
      </c>
      <c r="L15" s="18">
        <f>IFERROR(VLOOKUP(A15,[1]按需!A$1:A$65536,1,FALSE),"")</f>
        <v/>
      </c>
      <c r="M15" s="18" t="inlineStr"/>
      <c r="N15" s="9" t="inlineStr">
        <is>
          <t>0</t>
        </is>
      </c>
      <c r="O15" s="9" t="n">
        <v>0</v>
      </c>
      <c r="P15" s="9" t="inlineStr">
        <is>
          <t>0</t>
        </is>
      </c>
      <c r="Q15" s="9" t="inlineStr">
        <is>
          <t>0</t>
        </is>
      </c>
      <c r="R15" s="9" t="inlineStr">
        <is>
          <t>0</t>
        </is>
      </c>
    </row>
    <row r="16">
      <c r="A16" s="15" t="inlineStr">
        <is>
          <t>SKU-13F48E9F</t>
        </is>
      </c>
      <c r="B16" s="15" t="n">
        <v>100</v>
      </c>
      <c r="C16" s="10" t="inlineStr">
        <is>
          <t>Product-9B1626A5</t>
        </is>
      </c>
      <c r="D16" s="16" t="n">
        <v>1</v>
      </c>
      <c r="E16" s="12" t="n">
        <v>0</v>
      </c>
      <c r="F16" s="13" t="n">
        <v>0</v>
      </c>
      <c r="G16" s="15" t="inlineStr">
        <is>
          <t>C</t>
        </is>
      </c>
      <c r="H16" s="18" t="inlineStr">
        <is>
          <t>长</t>
        </is>
      </c>
      <c r="I16" s="16" t="inlineStr">
        <is>
          <t>Brand-Anonymized</t>
        </is>
      </c>
      <c r="J16" s="18" t="n">
        <v>200</v>
      </c>
      <c r="K16" s="18" t="inlineStr">
        <is>
          <t>C</t>
        </is>
      </c>
      <c r="L16" s="18">
        <f>IFERROR(VLOOKUP(A16,[1]按需!A$1:A$65536,1,FALSE),"")</f>
        <v/>
      </c>
      <c r="M16" s="18" t="inlineStr"/>
      <c r="N16" s="9" t="inlineStr">
        <is>
          <t>0</t>
        </is>
      </c>
      <c r="O16" s="9" t="n">
        <v>0</v>
      </c>
      <c r="P16" s="9" t="inlineStr">
        <is>
          <t>0</t>
        </is>
      </c>
      <c r="Q16" s="9" t="inlineStr">
        <is>
          <t>0</t>
        </is>
      </c>
      <c r="R16" s="9" t="inlineStr">
        <is>
          <t>0</t>
        </is>
      </c>
    </row>
    <row r="17">
      <c r="A17" s="15" t="inlineStr">
        <is>
          <t>SKU-84735B62</t>
        </is>
      </c>
      <c r="B17" s="15" t="n">
        <v>100</v>
      </c>
      <c r="C17" s="10" t="inlineStr">
        <is>
          <t>Product-61AE19F7</t>
        </is>
      </c>
      <c r="D17" s="16" t="n">
        <v>3</v>
      </c>
      <c r="E17" s="12" t="n">
        <v>4263</v>
      </c>
      <c r="F17" s="13" t="n">
        <v>1333.62</v>
      </c>
      <c r="G17" s="15" t="inlineStr">
        <is>
          <t>T</t>
        </is>
      </c>
      <c r="H17" s="18" t="inlineStr"/>
      <c r="I17" s="16" t="inlineStr">
        <is>
          <t>Brand-Anonymized</t>
        </is>
      </c>
      <c r="J17" s="18" t="n">
        <v>200</v>
      </c>
      <c r="K17" s="18" t="n"/>
      <c r="L17" s="18">
        <f>IFERROR(VLOOKUP(A17,[1]按需!A$1:A$65536,1,FALSE),"")</f>
        <v/>
      </c>
      <c r="M17" s="18" t="inlineStr"/>
      <c r="N17" s="9" t="n"/>
      <c r="O17" s="9" t="n"/>
      <c r="P17" s="9" t="n"/>
      <c r="Q17" s="9" t="n"/>
      <c r="R17" s="9" t="n"/>
    </row>
    <row r="18">
      <c r="A18" s="15" t="inlineStr">
        <is>
          <t>SKU-9356910A</t>
        </is>
      </c>
      <c r="B18" s="15" t="n">
        <v>100</v>
      </c>
      <c r="C18" s="10" t="inlineStr">
        <is>
          <t>Product-1433AC24</t>
        </is>
      </c>
      <c r="D18" s="16" t="n">
        <v>2</v>
      </c>
      <c r="E18" s="12" t="n">
        <v>458</v>
      </c>
      <c r="F18" s="13" t="n">
        <v>171.64</v>
      </c>
      <c r="G18" s="15" t="inlineStr">
        <is>
          <t>T</t>
        </is>
      </c>
      <c r="H18" s="18" t="inlineStr"/>
      <c r="I18" s="16" t="inlineStr">
        <is>
          <t>Brand-Anonymized</t>
        </is>
      </c>
      <c r="J18" s="18" t="n">
        <v>200</v>
      </c>
      <c r="K18" s="18" t="n"/>
      <c r="L18" s="18">
        <f>IFERROR(VLOOKUP(A18,[1]按需!A$1:A$65536,1,FALSE),"")</f>
        <v/>
      </c>
      <c r="M18" s="18" t="inlineStr">
        <is>
          <t>价</t>
        </is>
      </c>
      <c r="N18" s="9" t="n"/>
      <c r="O18" s="9" t="n"/>
      <c r="P18" s="9" t="n"/>
      <c r="Q18" s="9" t="n"/>
      <c r="R18" s="9" t="n"/>
    </row>
    <row r="19">
      <c r="A19" s="15" t="inlineStr">
        <is>
          <t>SKU-A1C9F3C5</t>
        </is>
      </c>
      <c r="B19" s="15" t="n">
        <v>100</v>
      </c>
      <c r="C19" s="10" t="inlineStr">
        <is>
          <t>Product-A7F669A5</t>
        </is>
      </c>
      <c r="D19" s="16" t="n">
        <v>2</v>
      </c>
      <c r="E19" s="12" t="n">
        <v>780</v>
      </c>
      <c r="F19" s="13" t="n">
        <v>11.24</v>
      </c>
      <c r="G19" s="15" t="inlineStr">
        <is>
          <t>T</t>
        </is>
      </c>
      <c r="H19" s="18" t="inlineStr"/>
      <c r="I19" s="16" t="inlineStr">
        <is>
          <t>Brand-Anonymized</t>
        </is>
      </c>
      <c r="J19" s="18" t="n">
        <v>200</v>
      </c>
      <c r="K19" s="18" t="n"/>
      <c r="L19" s="18">
        <f>IFERROR(VLOOKUP(A19,[1]按需!A$1:A$65536,1,FALSE),"")</f>
        <v/>
      </c>
      <c r="M19" s="18" t="inlineStr">
        <is>
          <t>价</t>
        </is>
      </c>
      <c r="N19" s="9" t="n"/>
      <c r="O19" s="9" t="n"/>
      <c r="P19" s="9" t="n"/>
      <c r="Q19" s="9" t="n"/>
      <c r="R19" s="9" t="n"/>
    </row>
    <row r="20">
      <c r="A20" s="15" t="inlineStr">
        <is>
          <t>SKU-9FED3CD7</t>
        </is>
      </c>
      <c r="B20" s="15" t="n">
        <v>100</v>
      </c>
      <c r="C20" s="24" t="inlineStr">
        <is>
          <t>Product-80F515FA</t>
        </is>
      </c>
      <c r="D20" s="16" t="n">
        <v>1</v>
      </c>
      <c r="E20" s="12" t="n">
        <v>0</v>
      </c>
      <c r="F20" s="13" t="n">
        <v>0</v>
      </c>
      <c r="G20" s="15" t="inlineStr"/>
      <c r="H20" s="18" t="inlineStr">
        <is>
          <t>方</t>
        </is>
      </c>
      <c r="I20" s="16" t="inlineStr">
        <is>
          <t>Brand-Anonymized</t>
        </is>
      </c>
      <c r="J20" s="18" t="n">
        <v>200</v>
      </c>
      <c r="K20" s="18" t="inlineStr">
        <is>
          <t>C</t>
        </is>
      </c>
      <c r="L20" s="18">
        <f>IFERROR(VLOOKUP(A20,[1]按需!A$1:A$65536,1,FALSE),"")</f>
        <v/>
      </c>
      <c r="M20" s="18" t="inlineStr"/>
      <c r="N20" s="9" t="n"/>
      <c r="O20" s="9" t="n"/>
      <c r="P20" s="9" t="n"/>
      <c r="Q20" s="9" t="n"/>
      <c r="R20" s="9" t="n"/>
    </row>
    <row r="21">
      <c r="A21" s="15" t="inlineStr">
        <is>
          <t>SKU-D2D4FD85</t>
        </is>
      </c>
      <c r="B21" s="15" t="n">
        <v>100</v>
      </c>
      <c r="C21" s="19" t="inlineStr">
        <is>
          <t>Product-D1D130D9</t>
        </is>
      </c>
      <c r="D21" s="16" t="n">
        <v>1</v>
      </c>
      <c r="E21" s="12" t="n">
        <v>0</v>
      </c>
      <c r="F21" s="13" t="n">
        <v>0</v>
      </c>
      <c r="G21" s="15" t="inlineStr"/>
      <c r="H21" s="18" t="inlineStr"/>
      <c r="I21" s="16" t="inlineStr">
        <is>
          <t>Brand-Anonymized</t>
        </is>
      </c>
      <c r="J21" s="18" t="n">
        <v>200</v>
      </c>
      <c r="K21" s="18" t="n"/>
      <c r="L21" s="18">
        <f>IFERROR(VLOOKUP(A21,[1]按需!A$1:A$65536,1,FALSE),"")</f>
        <v/>
      </c>
      <c r="M21" s="18" t="inlineStr"/>
      <c r="N21" s="9" t="n"/>
      <c r="O21" s="9" t="n"/>
      <c r="P21" s="9" t="n"/>
      <c r="Q21" s="9" t="n"/>
      <c r="R21" s="9" t="n"/>
    </row>
    <row r="22">
      <c r="A22" s="15" t="inlineStr">
        <is>
          <t>SKU-2324D87D</t>
        </is>
      </c>
      <c r="B22" s="15" t="n">
        <v>100</v>
      </c>
      <c r="C22" s="10" t="inlineStr">
        <is>
          <t>Product-142947AA</t>
        </is>
      </c>
      <c r="D22" s="16" t="n">
        <v>1</v>
      </c>
      <c r="E22" s="12" t="n">
        <v>36</v>
      </c>
      <c r="F22" s="13" t="n">
        <v>6.532</v>
      </c>
      <c r="G22" s="15" t="inlineStr">
        <is>
          <t>C</t>
        </is>
      </c>
      <c r="H22" s="18" t="inlineStr">
        <is>
          <t>长</t>
        </is>
      </c>
      <c r="I22" s="16" t="inlineStr">
        <is>
          <t>Brand-Anonymized</t>
        </is>
      </c>
      <c r="J22" s="18" t="n">
        <v>200</v>
      </c>
      <c r="K22" s="18" t="inlineStr">
        <is>
          <t>C</t>
        </is>
      </c>
      <c r="L22" s="18">
        <f>IFERROR(VLOOKUP(A22,[1]按需!A$1:A$65536,1,FALSE),"")</f>
        <v/>
      </c>
      <c r="M22" s="18" t="inlineStr">
        <is>
          <t>价</t>
        </is>
      </c>
      <c r="N22" s="9" t="n">
        <v>0</v>
      </c>
      <c r="O22" s="9" t="n">
        <v>0</v>
      </c>
      <c r="P22" s="9" t="n">
        <v>18</v>
      </c>
      <c r="Q22" s="9" t="n">
        <v>0</v>
      </c>
      <c r="R22" s="9" t="n">
        <v>18</v>
      </c>
    </row>
    <row r="23">
      <c r="A23" s="15" t="inlineStr">
        <is>
          <t>SKU-D3A8D0D1</t>
        </is>
      </c>
      <c r="B23" s="15" t="n">
        <v>100</v>
      </c>
      <c r="C23" s="10" t="inlineStr">
        <is>
          <t>Product-B80128BB</t>
        </is>
      </c>
      <c r="D23" s="16" t="n">
        <v>1</v>
      </c>
      <c r="E23" s="12" t="n">
        <v>60</v>
      </c>
      <c r="F23" s="13" t="n">
        <v>1.492</v>
      </c>
      <c r="G23" s="15" t="inlineStr">
        <is>
          <t>X</t>
        </is>
      </c>
      <c r="H23" s="18" t="inlineStr">
        <is>
          <t>长</t>
        </is>
      </c>
      <c r="I23" s="16" t="inlineStr">
        <is>
          <t>Brand-Anonymized</t>
        </is>
      </c>
      <c r="J23" s="18" t="n">
        <v>200</v>
      </c>
      <c r="K23" s="18" t="inlineStr">
        <is>
          <t>C</t>
        </is>
      </c>
      <c r="L23" s="18">
        <f>IFERROR(VLOOKUP(A23,[1]按需!A$1:A$65536,1,FALSE),"")</f>
        <v/>
      </c>
      <c r="M23" s="18" t="inlineStr"/>
      <c r="N23" s="9" t="n">
        <v>0</v>
      </c>
      <c r="O23" s="9" t="n">
        <v>30.012</v>
      </c>
      <c r="P23" s="9" t="n">
        <v>0</v>
      </c>
      <c r="Q23" s="9" t="n">
        <v>29.988</v>
      </c>
      <c r="R23" s="9" t="n">
        <v>0</v>
      </c>
    </row>
    <row r="24">
      <c r="A24" s="15" t="inlineStr">
        <is>
          <t>SKU-8E8B63E5</t>
        </is>
      </c>
      <c r="B24" s="15" t="n">
        <v>100</v>
      </c>
      <c r="C24" s="21" t="inlineStr">
        <is>
          <t>Product-F4608C8A</t>
        </is>
      </c>
      <c r="D24" s="16" t="n">
        <v>1</v>
      </c>
      <c r="E24" s="12" t="n">
        <v>50</v>
      </c>
      <c r="F24" s="26" t="n">
        <v>2.84</v>
      </c>
      <c r="G24" s="15" t="inlineStr">
        <is>
          <t>X</t>
        </is>
      </c>
      <c r="H24" s="18" t="inlineStr">
        <is>
          <t>细</t>
        </is>
      </c>
      <c r="I24" s="16" t="inlineStr">
        <is>
          <t>Brand-Anonymized</t>
        </is>
      </c>
      <c r="J24" s="18" t="n">
        <v>200</v>
      </c>
      <c r="K24" s="18" t="inlineStr">
        <is>
          <t>C</t>
        </is>
      </c>
      <c r="L24" s="18">
        <f>IFERROR(VLOOKUP(A24,[1]按需!A$1:A$65536,1,FALSE),"")</f>
        <v/>
      </c>
      <c r="M24" s="18" t="inlineStr"/>
      <c r="N24" s="27" t="n">
        <v>10</v>
      </c>
      <c r="O24" s="9" t="n">
        <v>0</v>
      </c>
      <c r="P24" s="28" t="n">
        <v>20</v>
      </c>
      <c r="Q24" s="9" t="n">
        <v>0</v>
      </c>
      <c r="R24" s="28" t="n">
        <v>20</v>
      </c>
    </row>
    <row r="25">
      <c r="A25" s="15" t="inlineStr">
        <is>
          <t>SKU-9D8A6BF0</t>
        </is>
      </c>
      <c r="B25" s="15" t="n">
        <v>100</v>
      </c>
      <c r="C25" s="21" t="inlineStr">
        <is>
          <t>Product-C76E7B79</t>
        </is>
      </c>
      <c r="D25" s="16" t="n">
        <v>1</v>
      </c>
      <c r="E25" s="12" t="n">
        <v>110</v>
      </c>
      <c r="F25" s="13" t="n">
        <v>42.584</v>
      </c>
      <c r="G25" s="15" t="inlineStr">
        <is>
          <t>X</t>
        </is>
      </c>
      <c r="H25" s="18" t="inlineStr">
        <is>
          <t>长</t>
        </is>
      </c>
      <c r="I25" s="16" t="inlineStr">
        <is>
          <t>Brand-Anonymized</t>
        </is>
      </c>
      <c r="J25" s="18" t="n">
        <v>200</v>
      </c>
      <c r="K25" s="18" t="inlineStr">
        <is>
          <t>C</t>
        </is>
      </c>
      <c r="L25" s="18">
        <f>IFERROR(VLOOKUP(A25,[1]按需!A$1:A$65536,1,FALSE),"")</f>
        <v/>
      </c>
      <c r="M25" s="18" t="inlineStr">
        <is>
          <t>价</t>
        </is>
      </c>
      <c r="N25" s="9" t="n">
        <v>20</v>
      </c>
      <c r="O25" s="9" t="n">
        <v>0</v>
      </c>
      <c r="P25" s="9" t="n">
        <v>60</v>
      </c>
      <c r="Q25" s="9" t="n">
        <v>20</v>
      </c>
      <c r="R25" s="9" t="n">
        <v>10</v>
      </c>
    </row>
    <row r="26">
      <c r="A26" s="15" t="inlineStr">
        <is>
          <t>SKU-5EA6EAAE</t>
        </is>
      </c>
      <c r="B26" s="15" t="n">
        <v>100</v>
      </c>
      <c r="C26" s="21" t="inlineStr">
        <is>
          <t>Product-C4CD4D56</t>
        </is>
      </c>
      <c r="D26" s="16" t="n">
        <v>1</v>
      </c>
      <c r="E26" s="12" t="n">
        <v>700</v>
      </c>
      <c r="F26" s="13" t="n">
        <v>185.356</v>
      </c>
      <c r="G26" s="15" t="inlineStr">
        <is>
          <t>X</t>
        </is>
      </c>
      <c r="H26" s="18" t="inlineStr">
        <is>
          <t>长</t>
        </is>
      </c>
      <c r="I26" s="16" t="inlineStr">
        <is>
          <t>Brand-Anonymized</t>
        </is>
      </c>
      <c r="J26" s="18" t="n">
        <v>200</v>
      </c>
      <c r="K26" s="18" t="inlineStr">
        <is>
          <t>C</t>
        </is>
      </c>
      <c r="L26" s="18">
        <f>IFERROR(VLOOKUP(A26,[1]按需!A$1:A$65536,1,FALSE),"")</f>
        <v/>
      </c>
      <c r="M26" s="18" t="inlineStr">
        <is>
          <t>价</t>
        </is>
      </c>
      <c r="N26" s="9" t="n">
        <v>140</v>
      </c>
      <c r="O26" s="9" t="n">
        <v>140</v>
      </c>
      <c r="P26" s="9" t="n">
        <v>140</v>
      </c>
      <c r="Q26" s="9" t="n">
        <v>140</v>
      </c>
      <c r="R26" s="9" t="n">
        <v>140</v>
      </c>
    </row>
    <row r="27">
      <c r="A27" s="15" t="inlineStr">
        <is>
          <t>SKU-55B49425</t>
        </is>
      </c>
      <c r="B27" s="15" t="n">
        <v>100</v>
      </c>
      <c r="C27" s="10" t="inlineStr">
        <is>
          <t>Product-2E005B6F</t>
        </is>
      </c>
      <c r="D27" s="16" t="n">
        <v>1</v>
      </c>
      <c r="E27" s="12" t="n">
        <v>881</v>
      </c>
      <c r="F27" s="13" t="n">
        <v>363.388</v>
      </c>
      <c r="G27" s="15" t="inlineStr">
        <is>
          <t>T</t>
        </is>
      </c>
      <c r="H27" s="18" t="inlineStr"/>
      <c r="I27" s="16" t="inlineStr">
        <is>
          <t>Brand-Anonymized</t>
        </is>
      </c>
      <c r="J27" s="18" t="n">
        <v>200</v>
      </c>
      <c r="K27" s="18" t="n"/>
      <c r="L27" s="18">
        <f>IFERROR(VLOOKUP(A27,[1]按需!A$1:A$65536,1,FALSE),"")</f>
        <v/>
      </c>
      <c r="M27" s="18" t="inlineStr">
        <is>
          <t>价</t>
        </is>
      </c>
      <c r="N27" s="9" t="n"/>
      <c r="O27" s="9" t="n"/>
      <c r="P27" s="9" t="n"/>
      <c r="Q27" s="9" t="n"/>
      <c r="R27" s="9" t="n"/>
    </row>
    <row r="28">
      <c r="A28" s="15" t="inlineStr">
        <is>
          <t>SKU-7E7C0C23</t>
        </is>
      </c>
      <c r="B28" s="15" t="n">
        <v>100</v>
      </c>
      <c r="C28" s="10" t="inlineStr">
        <is>
          <t>Product-8C5BA899</t>
        </is>
      </c>
      <c r="D28" s="16" t="n">
        <v>1</v>
      </c>
      <c r="E28" s="12" t="n">
        <v>137</v>
      </c>
      <c r="F28" s="13" t="n">
        <v>227.78</v>
      </c>
      <c r="G28" s="15" t="inlineStr">
        <is>
          <t>T</t>
        </is>
      </c>
      <c r="H28" s="18" t="inlineStr"/>
      <c r="I28" s="16" t="inlineStr">
        <is>
          <t>Brand-Anonymized</t>
        </is>
      </c>
      <c r="J28" s="18" t="n">
        <v>200</v>
      </c>
      <c r="K28" s="18" t="n"/>
      <c r="L28" s="18">
        <f>IFERROR(VLOOKUP(A28,[1]按需!A$1:A$65536,1,FALSE),"")</f>
        <v/>
      </c>
      <c r="M28" s="18" t="inlineStr">
        <is>
          <t>价</t>
        </is>
      </c>
      <c r="N28" s="9" t="n"/>
      <c r="O28" s="9" t="n"/>
      <c r="P28" s="9" t="n"/>
      <c r="Q28" s="9" t="n"/>
      <c r="R28" s="9" t="n"/>
    </row>
    <row r="29">
      <c r="A29" s="15" t="inlineStr">
        <is>
          <t>SKU-581048FF</t>
        </is>
      </c>
      <c r="B29" s="15" t="n">
        <v>100</v>
      </c>
      <c r="C29" s="10" t="inlineStr">
        <is>
          <t>Product-9C9F0DD0</t>
        </is>
      </c>
      <c r="D29" s="16" t="n">
        <v>1</v>
      </c>
      <c r="E29" s="12" t="n">
        <v>32</v>
      </c>
      <c r="F29" s="13" t="n">
        <v>1.392</v>
      </c>
      <c r="G29" s="15" t="inlineStr">
        <is>
          <t>C</t>
        </is>
      </c>
      <c r="H29" s="18" t="inlineStr">
        <is>
          <t>方</t>
        </is>
      </c>
      <c r="I29" s="16" t="inlineStr">
        <is>
          <t>Brand-Anonymized</t>
        </is>
      </c>
      <c r="J29" s="18" t="n">
        <v>200</v>
      </c>
      <c r="K29" s="18" t="inlineStr">
        <is>
          <t>C</t>
        </is>
      </c>
      <c r="L29" s="18">
        <f>IFERROR(VLOOKUP(A29,[1]按需!A$1:A$65536,1,FALSE),"")</f>
        <v/>
      </c>
      <c r="M29" s="18" t="inlineStr">
        <is>
          <t>价</t>
        </is>
      </c>
      <c r="N29" s="9" t="n">
        <v>0</v>
      </c>
      <c r="O29" s="9" t="n">
        <v>0</v>
      </c>
      <c r="P29" s="9" t="n">
        <v>32</v>
      </c>
      <c r="Q29" s="9" t="n">
        <v>0</v>
      </c>
      <c r="R29" s="9" t="n">
        <v>0</v>
      </c>
    </row>
    <row r="30">
      <c r="A30" s="15" t="inlineStr">
        <is>
          <t>SKU-1943C75B</t>
        </is>
      </c>
      <c r="B30" s="15" t="n">
        <v>100</v>
      </c>
      <c r="C30" s="10" t="inlineStr">
        <is>
          <t>Product-62BC29B7</t>
        </is>
      </c>
      <c r="D30" s="16" t="n">
        <v>1</v>
      </c>
      <c r="E30" s="12" t="n">
        <v>24</v>
      </c>
      <c r="F30" s="13" t="n">
        <v>11.176</v>
      </c>
      <c r="G30" s="15" t="inlineStr">
        <is>
          <t>C</t>
        </is>
      </c>
      <c r="H30" s="18" t="inlineStr">
        <is>
          <t>方</t>
        </is>
      </c>
      <c r="I30" s="16" t="inlineStr">
        <is>
          <t>Brand-Anonymized</t>
        </is>
      </c>
      <c r="J30" s="18" t="n">
        <v>200</v>
      </c>
      <c r="K30" s="18" t="inlineStr">
        <is>
          <t>C</t>
        </is>
      </c>
      <c r="L30" s="18">
        <f>IFERROR(VLOOKUP(A30,[1]按需!A$1:A$65536,1,FALSE),"")</f>
        <v/>
      </c>
      <c r="M30" s="18" t="inlineStr">
        <is>
          <t>价</t>
        </is>
      </c>
      <c r="N30" s="9" t="n">
        <v>0</v>
      </c>
      <c r="O30" s="9" t="n">
        <v>0</v>
      </c>
      <c r="P30" s="9" t="n">
        <v>24</v>
      </c>
      <c r="Q30" s="9" t="n">
        <v>0</v>
      </c>
      <c r="R30" s="9" t="n">
        <v>0</v>
      </c>
    </row>
    <row r="31">
      <c r="A31" s="15" t="inlineStr">
        <is>
          <t>SKU-51C641E5</t>
        </is>
      </c>
      <c r="B31" s="15" t="n">
        <v>100</v>
      </c>
      <c r="C31" s="10" t="inlineStr">
        <is>
          <t>Product-4CA63C06</t>
        </is>
      </c>
      <c r="D31" s="16" t="n">
        <v>1</v>
      </c>
      <c r="E31" s="12" t="n">
        <v>228</v>
      </c>
      <c r="F31" s="13" t="n">
        <v>90.684</v>
      </c>
      <c r="G31" s="15" t="inlineStr">
        <is>
          <t>T</t>
        </is>
      </c>
      <c r="H31" s="18" t="inlineStr">
        <is>
          <t>长</t>
        </is>
      </c>
      <c r="I31" s="16" t="inlineStr">
        <is>
          <t>Brand-Anonymized</t>
        </is>
      </c>
      <c r="J31" s="18" t="n">
        <v>200</v>
      </c>
      <c r="K31" s="18" t="inlineStr">
        <is>
          <t>C</t>
        </is>
      </c>
      <c r="L31" s="18">
        <f>IFERROR(VLOOKUP(A31,[1]按需!A$1:A$65536,1,FALSE),"")</f>
        <v/>
      </c>
      <c r="M31" s="18" t="inlineStr">
        <is>
          <t>价</t>
        </is>
      </c>
      <c r="N31" s="9" t="n"/>
      <c r="O31" s="9" t="n"/>
      <c r="P31" s="9" t="n"/>
      <c r="Q31" s="9" t="n"/>
      <c r="R31" s="9" t="n"/>
    </row>
    <row r="32">
      <c r="A32" s="15" t="inlineStr">
        <is>
          <t>SKU-740A9334</t>
        </is>
      </c>
      <c r="B32" s="15" t="n">
        <v>100</v>
      </c>
      <c r="C32" s="29" t="inlineStr">
        <is>
          <t>Product-7726A962</t>
        </is>
      </c>
      <c r="D32" s="16" t="n">
        <v>1</v>
      </c>
      <c r="E32" s="12" t="n">
        <v>0</v>
      </c>
      <c r="F32" s="13" t="n">
        <v>0</v>
      </c>
      <c r="G32" s="15" t="inlineStr"/>
      <c r="H32" s="18" t="inlineStr"/>
      <c r="I32" s="16" t="inlineStr">
        <is>
          <t>Brand-Anonymized</t>
        </is>
      </c>
      <c r="J32" s="18" t="n">
        <v>200</v>
      </c>
      <c r="K32" s="18" t="inlineStr">
        <is>
          <t>C</t>
        </is>
      </c>
      <c r="L32" s="18">
        <f>IFERROR(VLOOKUP(A32,[1]按需!A$1:A$65536,1,FALSE),"")</f>
        <v/>
      </c>
      <c r="M32" s="18" t="inlineStr"/>
      <c r="N32" s="9" t="n"/>
      <c r="O32" s="9" t="n"/>
      <c r="P32" s="9" t="n"/>
      <c r="Q32" s="9" t="n"/>
      <c r="R32" s="9" t="n"/>
    </row>
    <row r="33">
      <c r="A33" s="15" t="inlineStr">
        <is>
          <t>SKU-ABAD8823</t>
        </is>
      </c>
      <c r="B33" s="15" t="n">
        <v>100</v>
      </c>
      <c r="C33" s="10" t="inlineStr">
        <is>
          <t>Product-342D1F0D</t>
        </is>
      </c>
      <c r="D33" s="16" t="n">
        <v>1</v>
      </c>
      <c r="E33" s="12" t="n">
        <v>49</v>
      </c>
      <c r="F33" s="13" t="n">
        <v>19.784</v>
      </c>
      <c r="G33" s="15" t="inlineStr">
        <is>
          <t>C</t>
        </is>
      </c>
      <c r="H33" s="18" t="inlineStr">
        <is>
          <t>细</t>
        </is>
      </c>
      <c r="I33" s="16" t="inlineStr">
        <is>
          <t>Brand-Anonymized</t>
        </is>
      </c>
      <c r="J33" s="18" t="n">
        <v>200</v>
      </c>
      <c r="K33" s="18" t="inlineStr">
        <is>
          <t>C</t>
        </is>
      </c>
      <c r="L33" s="18">
        <f>IFERROR(VLOOKUP(A33,[1]按需!A$1:A$65536,1,FALSE),"")</f>
        <v/>
      </c>
      <c r="M33" s="18" t="inlineStr">
        <is>
          <t>价</t>
        </is>
      </c>
      <c r="N33" s="9" t="n">
        <v>0</v>
      </c>
      <c r="O33" s="9" t="n">
        <v>25.004</v>
      </c>
      <c r="P33" s="9" t="n">
        <v>0</v>
      </c>
      <c r="Q33" s="27" t="n">
        <v>23.996</v>
      </c>
      <c r="R33" s="9" t="n">
        <v>0</v>
      </c>
    </row>
    <row r="34">
      <c r="A34" s="15" t="inlineStr">
        <is>
          <t>SKU-CD40403A</t>
        </is>
      </c>
      <c r="B34" s="15" t="n">
        <v>100</v>
      </c>
      <c r="C34" s="10" t="inlineStr">
        <is>
          <t>Product-D6D3CCE6</t>
        </is>
      </c>
      <c r="D34" s="16" t="n">
        <v>1</v>
      </c>
      <c r="E34" s="12" t="n">
        <v>3</v>
      </c>
      <c r="F34" s="13" t="n">
        <v>2.6</v>
      </c>
      <c r="G34" s="15" t="inlineStr">
        <is>
          <t>C</t>
        </is>
      </c>
      <c r="H34" s="18" t="inlineStr">
        <is>
          <t>标</t>
        </is>
      </c>
      <c r="I34" s="16" t="inlineStr">
        <is>
          <t>Brand-Anonymized</t>
        </is>
      </c>
      <c r="J34" s="18" t="n">
        <v>200</v>
      </c>
      <c r="K34" s="18" t="inlineStr">
        <is>
          <t>C</t>
        </is>
      </c>
      <c r="L34" s="18">
        <f>IFERROR(VLOOKUP(A34,[1]按需!A$1:A$65536,1,FALSE),"")</f>
        <v/>
      </c>
      <c r="M34" s="18" t="inlineStr">
        <is>
          <t>价</t>
        </is>
      </c>
      <c r="N34" s="9" t="n">
        <v>0</v>
      </c>
      <c r="O34" s="9" t="n">
        <v>0</v>
      </c>
      <c r="P34" s="9" t="n">
        <v>3</v>
      </c>
      <c r="Q34" s="9" t="n">
        <v>0</v>
      </c>
      <c r="R34" s="9" t="n">
        <v>0</v>
      </c>
    </row>
    <row r="35">
      <c r="A35" s="15" t="inlineStr">
        <is>
          <t>SKU-B0D292B1</t>
        </is>
      </c>
      <c r="B35" s="15" t="n">
        <v>100</v>
      </c>
      <c r="C35" s="10" t="inlineStr">
        <is>
          <t>Product-7726A962</t>
        </is>
      </c>
      <c r="D35" s="16" t="n">
        <v>1</v>
      </c>
      <c r="E35" s="12" t="n">
        <v>0</v>
      </c>
      <c r="F35" s="13" t="n">
        <v>0.07199999999999999</v>
      </c>
      <c r="G35" s="15" t="inlineStr">
        <is>
          <t>X</t>
        </is>
      </c>
      <c r="H35" s="18" t="inlineStr">
        <is>
          <t>方</t>
        </is>
      </c>
      <c r="I35" s="16" t="inlineStr">
        <is>
          <t>Brand-Anonymized</t>
        </is>
      </c>
      <c r="J35" s="18" t="n">
        <v>200</v>
      </c>
      <c r="K35" s="18" t="inlineStr">
        <is>
          <t>C</t>
        </is>
      </c>
      <c r="L35" s="18">
        <f>IFERROR(VLOOKUP(A35,[1]按需!A$1:A$65536,1,FALSE),"")</f>
        <v/>
      </c>
      <c r="M35" s="18" t="inlineStr"/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</row>
    <row r="36">
      <c r="A36" s="15" t="inlineStr">
        <is>
          <t>SKU-C4F98012</t>
        </is>
      </c>
      <c r="B36" s="15" t="n">
        <v>100</v>
      </c>
      <c r="C36" s="21" t="inlineStr">
        <is>
          <t>Product-0BBC9522</t>
        </is>
      </c>
      <c r="D36" s="16" t="n">
        <v>1</v>
      </c>
      <c r="E36" s="12" t="n">
        <v>1</v>
      </c>
      <c r="F36" s="13" t="n">
        <v>1.712</v>
      </c>
      <c r="G36" s="15" t="inlineStr">
        <is>
          <t>X</t>
        </is>
      </c>
      <c r="H36" s="18" t="inlineStr">
        <is>
          <t>细</t>
        </is>
      </c>
      <c r="I36" s="16" t="inlineStr">
        <is>
          <t>Brand-Anonymized</t>
        </is>
      </c>
      <c r="J36" s="18" t="n">
        <v>200</v>
      </c>
      <c r="K36" s="18" t="inlineStr">
        <is>
          <t>C</t>
        </is>
      </c>
      <c r="L36" s="18">
        <f>IFERROR(VLOOKUP(A36,[1]按需!A$1:A$65536,1,FALSE),"")</f>
        <v/>
      </c>
      <c r="M36" s="18" t="inlineStr"/>
      <c r="N36" s="9" t="n">
        <v>0</v>
      </c>
      <c r="O36" s="9" t="n">
        <v>1</v>
      </c>
      <c r="P36" s="9" t="n">
        <v>0</v>
      </c>
      <c r="Q36" s="9" t="n">
        <v>0</v>
      </c>
      <c r="R36" s="9" t="n">
        <v>0</v>
      </c>
    </row>
    <row r="37">
      <c r="A37" s="15" t="inlineStr">
        <is>
          <t>SKU-D5FB4C4D</t>
        </is>
      </c>
      <c r="B37" s="15" t="n">
        <v>100</v>
      </c>
      <c r="C37" s="19" t="inlineStr">
        <is>
          <t>Product-3DCEC0C0</t>
        </is>
      </c>
      <c r="D37" s="16" t="n">
        <v>1</v>
      </c>
      <c r="E37" s="12" t="n">
        <v>0</v>
      </c>
      <c r="F37" s="13" t="n">
        <v>0</v>
      </c>
      <c r="G37" s="15" t="inlineStr"/>
      <c r="H37" s="18" t="inlineStr"/>
      <c r="I37" s="16" t="inlineStr">
        <is>
          <t>Brand-Anonymized</t>
        </is>
      </c>
      <c r="J37" s="18" t="n">
        <v>200</v>
      </c>
      <c r="K37" s="18" t="inlineStr">
        <is>
          <t>C</t>
        </is>
      </c>
      <c r="L37" s="18">
        <f>IFERROR(VLOOKUP(A37,[1]按需!A$1:A$65536,1,FALSE),"")</f>
        <v/>
      </c>
      <c r="M37" s="18" t="inlineStr"/>
      <c r="N37" s="9" t="n"/>
      <c r="O37" s="9" t="n"/>
      <c r="P37" s="9" t="n"/>
      <c r="Q37" s="9" t="n"/>
      <c r="R37" s="9" t="n"/>
    </row>
    <row r="38">
      <c r="A38" s="15" t="inlineStr">
        <is>
          <t>SKU-DCF98B33</t>
        </is>
      </c>
      <c r="B38" s="15" t="n">
        <v>100</v>
      </c>
      <c r="C38" s="10" t="inlineStr">
        <is>
          <t>Product-3DCEC0C0</t>
        </is>
      </c>
      <c r="D38" s="16" t="n">
        <v>1</v>
      </c>
      <c r="E38" s="12" t="n">
        <v>0</v>
      </c>
      <c r="F38" s="13" t="n">
        <v>0.08400000000000001</v>
      </c>
      <c r="G38" s="15" t="inlineStr">
        <is>
          <t>X</t>
        </is>
      </c>
      <c r="H38" s="18" t="inlineStr">
        <is>
          <t>标</t>
        </is>
      </c>
      <c r="I38" s="16" t="inlineStr">
        <is>
          <t>Brand-Anonymized</t>
        </is>
      </c>
      <c r="J38" s="18" t="n">
        <v>200</v>
      </c>
      <c r="K38" s="18" t="inlineStr">
        <is>
          <t>C</t>
        </is>
      </c>
      <c r="L38" s="18">
        <f>IFERROR(VLOOKUP(A38,[1]按需!A$1:A$65536,1,FALSE),"")</f>
        <v/>
      </c>
      <c r="M38" s="18" t="inlineStr">
        <is>
          <t>价</t>
        </is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</row>
    <row r="39">
      <c r="A39" s="15" t="inlineStr">
        <is>
          <t>SKU-7ECD2FA6</t>
        </is>
      </c>
      <c r="B39" s="15" t="n">
        <v>100</v>
      </c>
      <c r="C39" s="21" t="inlineStr">
        <is>
          <t>Product-29355C79</t>
        </is>
      </c>
      <c r="D39" s="16" t="n">
        <v>1</v>
      </c>
      <c r="E39" s="12" t="n">
        <v>1</v>
      </c>
      <c r="F39" s="13" t="n">
        <v>1.484</v>
      </c>
      <c r="G39" s="15" t="inlineStr">
        <is>
          <t>X</t>
        </is>
      </c>
      <c r="H39" s="18" t="inlineStr">
        <is>
          <t>方</t>
        </is>
      </c>
      <c r="I39" s="16" t="inlineStr">
        <is>
          <t>Brand-Anonymized</t>
        </is>
      </c>
      <c r="J39" s="18" t="n">
        <v>200</v>
      </c>
      <c r="K39" s="18" t="inlineStr">
        <is>
          <t>C</t>
        </is>
      </c>
      <c r="L39" s="18">
        <f>IFERROR(VLOOKUP(A39,[1]按需!A$1:A$65536,1,FALSE),"")</f>
        <v/>
      </c>
      <c r="M39" s="18" t="inlineStr"/>
      <c r="N39" s="9" t="n">
        <v>0</v>
      </c>
      <c r="O39" s="9" t="n">
        <v>0</v>
      </c>
      <c r="P39" s="9" t="n">
        <v>1</v>
      </c>
      <c r="Q39" s="9" t="n">
        <v>0</v>
      </c>
      <c r="R39" s="9" t="n">
        <v>0</v>
      </c>
    </row>
    <row r="40">
      <c r="A40" s="15" t="inlineStr">
        <is>
          <t>SKU-3095C758</t>
        </is>
      </c>
      <c r="B40" s="15" t="n">
        <v>100</v>
      </c>
      <c r="C40" s="10" t="inlineStr">
        <is>
          <t>Product-280802D6</t>
        </is>
      </c>
      <c r="D40" s="16" t="n">
        <v>4</v>
      </c>
      <c r="E40" s="12" t="n">
        <v>1295</v>
      </c>
      <c r="F40" s="13" t="n">
        <v>601.048</v>
      </c>
      <c r="G40" s="20" t="inlineStr">
        <is>
          <t>T</t>
        </is>
      </c>
      <c r="H40" s="18" t="inlineStr"/>
      <c r="I40" s="16" t="inlineStr">
        <is>
          <t>Brand-Anonymized</t>
        </is>
      </c>
      <c r="J40" s="18" t="n">
        <v>200</v>
      </c>
      <c r="K40" s="18" t="n"/>
      <c r="L40" s="18">
        <f>IFERROR(VLOOKUP(A40,[1]按需!A$1:A$65536,1,FALSE),"")</f>
        <v/>
      </c>
      <c r="M40" s="18" t="inlineStr"/>
      <c r="N40" s="9" t="n"/>
      <c r="O40" s="9" t="n"/>
      <c r="P40" s="9" t="n"/>
      <c r="Q40" s="9" t="n"/>
      <c r="R40" s="9" t="n"/>
    </row>
    <row r="41">
      <c r="A41" s="15" t="inlineStr">
        <is>
          <t>SKU-22512FF3</t>
        </is>
      </c>
      <c r="B41" s="15" t="n">
        <v>100</v>
      </c>
      <c r="C41" s="10" t="inlineStr">
        <is>
          <t>Product-C617F7D2</t>
        </is>
      </c>
      <c r="D41" s="16" t="n">
        <v>1</v>
      </c>
      <c r="E41" s="12" t="n">
        <v>640</v>
      </c>
      <c r="F41" s="13" t="n">
        <v>152.684</v>
      </c>
      <c r="G41" s="15" t="inlineStr">
        <is>
          <t>C</t>
        </is>
      </c>
      <c r="H41" s="18" t="inlineStr"/>
      <c r="I41" s="16" t="inlineStr">
        <is>
          <t>Brand-Anonymized</t>
        </is>
      </c>
      <c r="J41" s="18" t="n">
        <v>200</v>
      </c>
      <c r="K41" s="18" t="n"/>
      <c r="L41" s="18">
        <f>IFERROR(VLOOKUP(A41,[1]按需!A$1:A$65536,1,FALSE),"")</f>
        <v/>
      </c>
      <c r="M41" s="18" t="inlineStr">
        <is>
          <t>价</t>
        </is>
      </c>
      <c r="N41" s="9" t="n">
        <v>128</v>
      </c>
      <c r="O41" s="9" t="n">
        <v>128</v>
      </c>
      <c r="P41" s="9" t="n">
        <v>128</v>
      </c>
      <c r="Q41" s="9" t="n">
        <v>128</v>
      </c>
      <c r="R41" s="9" t="n">
        <v>128</v>
      </c>
    </row>
    <row r="42">
      <c r="A42" s="15" t="inlineStr">
        <is>
          <t>SKU-8B1D5EF6</t>
        </is>
      </c>
      <c r="B42" s="15" t="n">
        <v>100</v>
      </c>
      <c r="C42" s="10" t="inlineStr">
        <is>
          <t>Product-C0E4574A</t>
        </is>
      </c>
      <c r="D42" s="16" t="n">
        <v>1</v>
      </c>
      <c r="E42" s="12" t="n">
        <v>80</v>
      </c>
      <c r="F42" s="13" t="n">
        <v>48.44</v>
      </c>
      <c r="G42" s="15" t="inlineStr">
        <is>
          <t>C</t>
        </is>
      </c>
      <c r="H42" s="18" t="inlineStr">
        <is>
          <t>标</t>
        </is>
      </c>
      <c r="I42" s="16" t="inlineStr">
        <is>
          <t>Brand-Anonymized</t>
        </is>
      </c>
      <c r="J42" s="18" t="n">
        <v>200</v>
      </c>
      <c r="K42" s="18" t="inlineStr">
        <is>
          <t>C</t>
        </is>
      </c>
      <c r="L42" s="18">
        <f>IFERROR(VLOOKUP(A42,[1]按需!A$1:A$65536,1,FALSE),"")</f>
        <v/>
      </c>
      <c r="M42" s="18" t="inlineStr">
        <is>
          <t>价</t>
        </is>
      </c>
      <c r="N42" s="9" t="n">
        <v>0</v>
      </c>
      <c r="O42" s="9" t="n">
        <v>40.012</v>
      </c>
      <c r="P42" s="9" t="n">
        <v>0</v>
      </c>
      <c r="Q42" s="9" t="n">
        <v>39.988</v>
      </c>
      <c r="R42" s="9" t="n">
        <v>0</v>
      </c>
    </row>
    <row r="43">
      <c r="A43" s="15" t="inlineStr">
        <is>
          <t>SKU-8BA825B6</t>
        </is>
      </c>
      <c r="B43" s="15" t="n">
        <v>100</v>
      </c>
      <c r="C43" s="10" t="inlineStr">
        <is>
          <t>Product-E7EC78F7</t>
        </is>
      </c>
      <c r="D43" s="16" t="n">
        <v>1</v>
      </c>
      <c r="E43" s="12" t="n">
        <v>110</v>
      </c>
      <c r="F43" s="13" t="n">
        <v>74.28</v>
      </c>
      <c r="G43" s="15" t="inlineStr">
        <is>
          <t>C</t>
        </is>
      </c>
      <c r="H43" s="18" t="inlineStr">
        <is>
          <t>标</t>
        </is>
      </c>
      <c r="I43" s="16" t="inlineStr">
        <is>
          <t>Brand-Anonymized</t>
        </is>
      </c>
      <c r="J43" s="18" t="n">
        <v>200</v>
      </c>
      <c r="K43" s="18" t="inlineStr">
        <is>
          <t>C</t>
        </is>
      </c>
      <c r="L43" s="18">
        <f>IFERROR(VLOOKUP(A43,[1]按需!A$1:A$65536,1,FALSE),"")</f>
        <v/>
      </c>
      <c r="M43" s="18" t="inlineStr">
        <is>
          <t>价</t>
        </is>
      </c>
      <c r="N43" s="9" t="n">
        <v>0</v>
      </c>
      <c r="O43" s="9" t="n">
        <v>0</v>
      </c>
      <c r="P43" s="9" t="n">
        <v>55</v>
      </c>
      <c r="Q43" s="9" t="n">
        <v>0</v>
      </c>
      <c r="R43" s="9" t="n">
        <v>55</v>
      </c>
    </row>
    <row r="44">
      <c r="A44" s="15" t="inlineStr">
        <is>
          <t>SKU-DBE8D847</t>
        </is>
      </c>
      <c r="B44" s="15" t="n">
        <v>100</v>
      </c>
      <c r="C44" s="10" t="inlineStr">
        <is>
          <t>Product-31FC13CA</t>
        </is>
      </c>
      <c r="D44" s="16" t="n">
        <v>2</v>
      </c>
      <c r="E44" s="12" t="n">
        <v>59.1</v>
      </c>
      <c r="F44" s="13" t="n">
        <v>3.936</v>
      </c>
      <c r="G44" s="15" t="inlineStr"/>
      <c r="H44" s="18" t="inlineStr">
        <is>
          <t>细</t>
        </is>
      </c>
      <c r="I44" s="16" t="inlineStr">
        <is>
          <t>Brand-Anonymized</t>
        </is>
      </c>
      <c r="J44" s="18" t="n">
        <v>200</v>
      </c>
      <c r="K44" s="18" t="inlineStr">
        <is>
          <t>C</t>
        </is>
      </c>
      <c r="L44" s="18">
        <f>IFERROR(VLOOKUP(A44,[1]按需!A$1:A$65536,1,FALSE),"")</f>
        <v/>
      </c>
      <c r="M44" s="18" t="inlineStr">
        <is>
          <t>价</t>
        </is>
      </c>
      <c r="N44" s="9" t="n"/>
      <c r="O44" s="9" t="n"/>
      <c r="P44" s="9" t="n"/>
      <c r="Q44" s="9" t="n"/>
      <c r="R44" s="9" t="n"/>
    </row>
    <row r="45">
      <c r="A45" s="15" t="inlineStr">
        <is>
          <t>SKU-993415A4</t>
        </is>
      </c>
      <c r="B45" s="15" t="n">
        <v>100</v>
      </c>
      <c r="C45" s="10" t="inlineStr">
        <is>
          <t>Product-914BA5F4</t>
        </is>
      </c>
      <c r="D45" s="16" t="n">
        <v>3</v>
      </c>
      <c r="E45" s="12" t="n">
        <v>75.7</v>
      </c>
      <c r="F45" s="13" t="n">
        <v>0.792</v>
      </c>
      <c r="G45" s="15" t="inlineStr"/>
      <c r="H45" s="18" t="inlineStr"/>
      <c r="I45" s="16" t="inlineStr">
        <is>
          <t>Brand-Anonymized</t>
        </is>
      </c>
      <c r="J45" s="18" t="n">
        <v>200</v>
      </c>
      <c r="K45" s="18" t="n"/>
      <c r="L45" s="18">
        <f>IFERROR(VLOOKUP(A45,[1]按需!A$1:A$65536,1,FALSE),"")</f>
        <v/>
      </c>
      <c r="M45" s="18" t="inlineStr"/>
      <c r="N45" s="9" t="n"/>
      <c r="O45" s="9" t="n"/>
      <c r="P45" s="9" t="n"/>
      <c r="Q45" s="9" t="n"/>
      <c r="R45" s="9" t="n"/>
    </row>
    <row r="46">
      <c r="A46" s="15" t="inlineStr">
        <is>
          <t>SKU-D86E9747</t>
        </is>
      </c>
      <c r="B46" s="15" t="n">
        <v>100</v>
      </c>
      <c r="C46" s="19" t="inlineStr">
        <is>
          <t>Product-FF4227EA</t>
        </is>
      </c>
      <c r="D46" s="16" t="n">
        <v>1</v>
      </c>
      <c r="E46" s="12" t="n">
        <v>0</v>
      </c>
      <c r="F46" s="13" t="n">
        <v>0</v>
      </c>
      <c r="G46" s="15" t="inlineStr"/>
      <c r="H46" s="18" t="inlineStr"/>
      <c r="I46" s="16" t="inlineStr">
        <is>
          <t>Brand-Anonymized</t>
        </is>
      </c>
      <c r="J46" s="18" t="n">
        <v>200</v>
      </c>
      <c r="K46" s="18" t="n"/>
      <c r="L46" s="18">
        <f>IFERROR(VLOOKUP(A46,[1]按需!A$1:A$65536,1,FALSE),"")</f>
        <v/>
      </c>
      <c r="M46" s="18" t="inlineStr"/>
      <c r="N46" s="9" t="n"/>
      <c r="O46" s="9" t="n"/>
      <c r="P46" s="9" t="n"/>
      <c r="Q46" s="9" t="n"/>
      <c r="R46" s="9" t="n"/>
    </row>
    <row r="47">
      <c r="A47" s="15" t="inlineStr">
        <is>
          <t>SKU-7CB9F294</t>
        </is>
      </c>
      <c r="B47" s="15" t="n">
        <v>100</v>
      </c>
      <c r="C47" s="10" t="inlineStr">
        <is>
          <t>Product-1F3A5A4E</t>
        </is>
      </c>
      <c r="D47" s="16" t="n">
        <v>1</v>
      </c>
      <c r="E47" s="12" t="n">
        <v>0</v>
      </c>
      <c r="F47" s="13" t="n">
        <v>0.216</v>
      </c>
      <c r="G47" s="15" t="inlineStr">
        <is>
          <t>X</t>
        </is>
      </c>
      <c r="H47" s="18" t="inlineStr">
        <is>
          <t>方</t>
        </is>
      </c>
      <c r="I47" s="16" t="inlineStr">
        <is>
          <t>Brand-Anonymized</t>
        </is>
      </c>
      <c r="J47" s="18" t="n">
        <v>200</v>
      </c>
      <c r="K47" s="18" t="inlineStr">
        <is>
          <t>C</t>
        </is>
      </c>
      <c r="L47" s="18">
        <f>IFERROR(VLOOKUP(A47,[1]按需!A$1:A$65536,1,FALSE),"")</f>
        <v/>
      </c>
      <c r="M47" s="18" t="inlineStr"/>
      <c r="N47" s="9" t="n">
        <v>0</v>
      </c>
      <c r="O47" s="9" t="n">
        <v>0</v>
      </c>
      <c r="P47" s="27" t="n">
        <v>0</v>
      </c>
      <c r="Q47" s="9" t="n">
        <v>0</v>
      </c>
      <c r="R47" s="9" t="n">
        <v>0</v>
      </c>
    </row>
    <row r="48">
      <c r="A48" s="15" t="inlineStr">
        <is>
          <t>SKU-4BF6BE09</t>
        </is>
      </c>
      <c r="B48" s="15" t="n">
        <v>100</v>
      </c>
      <c r="C48" s="24" t="inlineStr">
        <is>
          <t>Product-685982B2</t>
        </is>
      </c>
      <c r="D48" s="16" t="n">
        <v>2</v>
      </c>
      <c r="E48" s="12" t="n">
        <v>0</v>
      </c>
      <c r="F48" s="13" t="n">
        <v>0</v>
      </c>
      <c r="G48" s="15" t="inlineStr"/>
      <c r="H48" s="18" t="inlineStr"/>
      <c r="I48" s="16" t="inlineStr">
        <is>
          <t>Brand-Anonymized</t>
        </is>
      </c>
      <c r="J48" s="18" t="n">
        <v>200</v>
      </c>
      <c r="K48" s="18" t="n"/>
      <c r="L48" s="18">
        <f>IFERROR(VLOOKUP(A48,[1]按需!A$1:A$65536,1,FALSE),"")</f>
        <v/>
      </c>
      <c r="M48" s="18" t="inlineStr"/>
      <c r="N48" s="9" t="n"/>
      <c r="O48" s="9" t="n"/>
      <c r="P48" s="9" t="n"/>
      <c r="Q48" s="9" t="n"/>
      <c r="R48" s="9" t="n"/>
    </row>
    <row r="49">
      <c r="A49" s="15" t="inlineStr">
        <is>
          <t>SKU-68F01DAC</t>
        </is>
      </c>
      <c r="B49" s="15" t="n">
        <v>100</v>
      </c>
      <c r="C49" s="10" t="inlineStr">
        <is>
          <t>Product-DB12469B</t>
        </is>
      </c>
      <c r="D49" s="16" t="n">
        <v>2</v>
      </c>
      <c r="E49" s="12" t="n">
        <v>216.6</v>
      </c>
      <c r="F49" s="13" t="n">
        <v>42.572</v>
      </c>
      <c r="G49" s="15" t="inlineStr"/>
      <c r="H49" s="18" t="inlineStr">
        <is>
          <t>细</t>
        </is>
      </c>
      <c r="I49" s="16" t="inlineStr">
        <is>
          <t>Brand-Anonymized</t>
        </is>
      </c>
      <c r="J49" s="18" t="n">
        <v>200</v>
      </c>
      <c r="K49" s="18" t="inlineStr">
        <is>
          <t>C</t>
        </is>
      </c>
      <c r="L49" s="18">
        <f>IFERROR(VLOOKUP(A49,[1]按需!A$1:A$65536,1,FALSE),"")</f>
        <v/>
      </c>
      <c r="M49" s="18" t="inlineStr">
        <is>
          <t>价</t>
        </is>
      </c>
      <c r="N49" s="9" t="n"/>
      <c r="O49" s="9" t="n"/>
      <c r="P49" s="9" t="n"/>
      <c r="Q49" s="9" t="n"/>
      <c r="R49" s="9" t="n"/>
    </row>
    <row r="50">
      <c r="A50" s="15" t="inlineStr">
        <is>
          <t>SKU-B376DBC8</t>
        </is>
      </c>
      <c r="B50" s="15" t="n">
        <v>100</v>
      </c>
      <c r="C50" s="24" t="inlineStr">
        <is>
          <t>Product-12486764</t>
        </is>
      </c>
      <c r="D50" s="16" t="n">
        <v>1</v>
      </c>
      <c r="E50" s="12" t="n">
        <v>0</v>
      </c>
      <c r="F50" s="13" t="n">
        <v>0</v>
      </c>
      <c r="G50" s="15" t="inlineStr"/>
      <c r="H50" s="18" t="inlineStr">
        <is>
          <t>方</t>
        </is>
      </c>
      <c r="I50" s="16" t="inlineStr">
        <is>
          <t>Brand-Anonymized</t>
        </is>
      </c>
      <c r="J50" s="18" t="n">
        <v>200</v>
      </c>
      <c r="K50" s="18" t="inlineStr">
        <is>
          <t>C</t>
        </is>
      </c>
      <c r="L50" s="18">
        <f>IFERROR(VLOOKUP(A50,[1]按需!A$1:A$65536,1,FALSE),"")</f>
        <v/>
      </c>
      <c r="M50" s="18" t="inlineStr"/>
      <c r="N50" s="9" t="n"/>
      <c r="O50" s="9" t="n"/>
      <c r="P50" s="9" t="n"/>
      <c r="Q50" s="9" t="n"/>
      <c r="R50" s="9" t="n"/>
    </row>
    <row r="51">
      <c r="A51" s="15" t="inlineStr">
        <is>
          <t>SKU-D051F69D</t>
        </is>
      </c>
      <c r="B51" s="15" t="n">
        <v>100</v>
      </c>
      <c r="C51" s="10" t="inlineStr">
        <is>
          <t>Product-89AAAC0F</t>
        </is>
      </c>
      <c r="D51" s="16" t="n">
        <v>1</v>
      </c>
      <c r="E51" s="12" t="n">
        <v>32</v>
      </c>
      <c r="F51" s="26" t="n">
        <v>3.268</v>
      </c>
      <c r="G51" s="15" t="inlineStr">
        <is>
          <t>X</t>
        </is>
      </c>
      <c r="H51" s="18" t="inlineStr">
        <is>
          <t>标</t>
        </is>
      </c>
      <c r="I51" s="16" t="inlineStr">
        <is>
          <t>Brand-Anonymized</t>
        </is>
      </c>
      <c r="J51" s="18" t="n">
        <v>200</v>
      </c>
      <c r="K51" s="18" t="inlineStr">
        <is>
          <t>C</t>
        </is>
      </c>
      <c r="L51" s="25" t="inlineStr">
        <is>
          <t>需</t>
        </is>
      </c>
      <c r="M51" s="18" t="inlineStr"/>
      <c r="N51" s="27" t="n">
        <v>0</v>
      </c>
      <c r="O51" s="9" t="n">
        <v>0</v>
      </c>
      <c r="P51" s="27" t="n">
        <v>32</v>
      </c>
      <c r="Q51" s="9" t="n">
        <v>0</v>
      </c>
      <c r="R51" s="9" t="n">
        <v>0</v>
      </c>
    </row>
    <row r="52">
      <c r="A52" s="15" t="inlineStr">
        <is>
          <t>SKU-D6DABD2C</t>
        </is>
      </c>
      <c r="B52" s="15" t="n">
        <v>100</v>
      </c>
      <c r="C52" s="10" t="inlineStr">
        <is>
          <t>Product-E13E7723</t>
        </is>
      </c>
      <c r="D52" s="16" t="n">
        <v>1</v>
      </c>
      <c r="E52" s="12" t="n">
        <v>80</v>
      </c>
      <c r="F52" s="26" t="n">
        <v>3.612</v>
      </c>
      <c r="G52" s="15" t="inlineStr">
        <is>
          <t>X</t>
        </is>
      </c>
      <c r="H52" s="18" t="inlineStr">
        <is>
          <t>细</t>
        </is>
      </c>
      <c r="I52" s="16" t="inlineStr">
        <is>
          <t>Brand-Anonymized</t>
        </is>
      </c>
      <c r="J52" s="18" t="n">
        <v>200</v>
      </c>
      <c r="K52" s="18" t="inlineStr">
        <is>
          <t>C</t>
        </is>
      </c>
      <c r="L52" s="25" t="inlineStr">
        <is>
          <t>需</t>
        </is>
      </c>
      <c r="M52" s="18" t="inlineStr"/>
      <c r="N52" s="27" t="n">
        <v>0</v>
      </c>
      <c r="O52" s="9" t="n">
        <v>55</v>
      </c>
      <c r="P52" s="9" t="n">
        <v>0</v>
      </c>
      <c r="Q52" s="9" t="n">
        <v>0</v>
      </c>
      <c r="R52" s="27" t="n">
        <v>25</v>
      </c>
    </row>
    <row r="53">
      <c r="A53" s="15" t="inlineStr">
        <is>
          <t>SKU-58C29290</t>
        </is>
      </c>
      <c r="B53" s="15" t="n">
        <v>100</v>
      </c>
      <c r="C53" s="10" t="inlineStr">
        <is>
          <t>Product-0F81BD89</t>
        </is>
      </c>
      <c r="D53" s="16" t="n">
        <v>3</v>
      </c>
      <c r="E53" s="12" t="n">
        <v>848.7</v>
      </c>
      <c r="F53" s="13" t="n">
        <v>244.348</v>
      </c>
      <c r="G53" s="15" t="inlineStr"/>
      <c r="H53" s="18" t="inlineStr"/>
      <c r="I53" s="16" t="inlineStr">
        <is>
          <t>Brand-Anonymized</t>
        </is>
      </c>
      <c r="J53" s="18" t="n">
        <v>200</v>
      </c>
      <c r="K53" s="18" t="n"/>
      <c r="L53" s="18">
        <f>IFERROR(VLOOKUP(A53,[1]按需!A$1:A$65536,1,FALSE),"")</f>
        <v/>
      </c>
      <c r="M53" s="18" t="inlineStr"/>
      <c r="N53" s="9" t="n"/>
      <c r="O53" s="9" t="n"/>
      <c r="P53" s="9" t="n"/>
      <c r="Q53" s="9" t="n"/>
      <c r="R53" s="9" t="n"/>
    </row>
    <row r="54">
      <c r="A54" s="15" t="inlineStr">
        <is>
          <t>SKU-204217AA</t>
        </is>
      </c>
      <c r="B54" s="15" t="n">
        <v>100</v>
      </c>
      <c r="C54" s="10" t="inlineStr">
        <is>
          <t>Product-65B192F5</t>
        </is>
      </c>
      <c r="D54" s="16" t="n">
        <v>3</v>
      </c>
      <c r="E54" s="12" t="n">
        <v>548</v>
      </c>
      <c r="F54" s="13" t="n">
        <v>560.552</v>
      </c>
      <c r="G54" s="20" t="inlineStr">
        <is>
          <t>T</t>
        </is>
      </c>
      <c r="H54" s="18" t="inlineStr"/>
      <c r="I54" s="16" t="inlineStr">
        <is>
          <t>Brand-Anonymized</t>
        </is>
      </c>
      <c r="J54" s="18" t="n">
        <v>200</v>
      </c>
      <c r="K54" s="18" t="n"/>
      <c r="L54" s="18">
        <f>IFERROR(VLOOKUP(A54,[1]按需!A$1:A$65536,1,FALSE),"")</f>
        <v/>
      </c>
      <c r="M54" s="18" t="inlineStr"/>
      <c r="N54" s="9" t="n"/>
      <c r="O54" s="9" t="n"/>
      <c r="P54" s="9" t="n"/>
      <c r="Q54" s="9" t="n"/>
      <c r="R54" s="9" t="n"/>
    </row>
    <row r="55">
      <c r="A55" s="15" t="inlineStr">
        <is>
          <t>SKU-AA06D68B</t>
        </is>
      </c>
      <c r="B55" s="15" t="n">
        <v>100</v>
      </c>
      <c r="C55" s="10" t="inlineStr">
        <is>
          <t>Product-BC490182</t>
        </is>
      </c>
      <c r="D55" s="16" t="n">
        <v>1</v>
      </c>
      <c r="E55" s="12" t="n">
        <v>21.1</v>
      </c>
      <c r="F55" s="13" t="n">
        <v>2.98</v>
      </c>
      <c r="G55" s="15" t="inlineStr"/>
      <c r="H55" s="18" t="inlineStr"/>
      <c r="I55" s="16" t="inlineStr">
        <is>
          <t>Brand-Anonymized</t>
        </is>
      </c>
      <c r="J55" s="18" t="n">
        <v>200</v>
      </c>
      <c r="K55" s="18" t="n"/>
      <c r="L55" s="25" t="n"/>
      <c r="M55" s="18" t="inlineStr">
        <is>
          <t>价</t>
        </is>
      </c>
      <c r="N55" s="9" t="n"/>
      <c r="O55" s="9" t="n"/>
      <c r="P55" s="9" t="n"/>
      <c r="Q55" s="9" t="n"/>
      <c r="R55" s="9" t="n"/>
    </row>
    <row r="56">
      <c r="A56" s="15" t="inlineStr">
        <is>
          <t>SKU-AB711576</t>
        </is>
      </c>
      <c r="B56" s="15" t="n">
        <v>100</v>
      </c>
      <c r="C56" s="10" t="inlineStr">
        <is>
          <t>Product-606B1B6A</t>
        </is>
      </c>
      <c r="D56" s="16" t="n">
        <v>2</v>
      </c>
      <c r="E56" s="12" t="n">
        <v>1590.5</v>
      </c>
      <c r="F56" s="13" t="n">
        <v>437.36</v>
      </c>
      <c r="G56" s="15" t="inlineStr">
        <is>
          <t>T</t>
        </is>
      </c>
      <c r="H56" s="18" t="inlineStr">
        <is>
          <t>细</t>
        </is>
      </c>
      <c r="I56" s="16" t="inlineStr">
        <is>
          <t>Brand-Anonymized</t>
        </is>
      </c>
      <c r="J56" s="18" t="n">
        <v>200</v>
      </c>
      <c r="K56" s="18" t="inlineStr">
        <is>
          <t>C</t>
        </is>
      </c>
      <c r="L56" s="18">
        <f>IFERROR(VLOOKUP(A56,[1]按需!A$1:A$65536,1,FALSE),"")</f>
        <v/>
      </c>
      <c r="M56" s="18" t="inlineStr">
        <is>
          <t>价</t>
        </is>
      </c>
      <c r="N56" s="9" t="n"/>
      <c r="O56" s="9" t="n"/>
      <c r="P56" s="9" t="n"/>
      <c r="Q56" s="9" t="n"/>
      <c r="R56" s="9" t="n"/>
    </row>
    <row r="57">
      <c r="A57" s="15" t="inlineStr">
        <is>
          <t>SKU-9F810407</t>
        </is>
      </c>
      <c r="B57" s="15" t="n">
        <v>100</v>
      </c>
      <c r="C57" s="10" t="inlineStr">
        <is>
          <t>Product-F93B8445</t>
        </is>
      </c>
      <c r="D57" s="16" t="n">
        <v>3</v>
      </c>
      <c r="E57" s="12" t="n">
        <v>643.1</v>
      </c>
      <c r="F57" s="13" t="n">
        <v>122.508</v>
      </c>
      <c r="G57" s="15" t="inlineStr"/>
      <c r="H57" s="18" t="inlineStr">
        <is>
          <t>细</t>
        </is>
      </c>
      <c r="I57" s="16" t="inlineStr">
        <is>
          <t>Brand-Anonymized</t>
        </is>
      </c>
      <c r="J57" s="18" t="n">
        <v>200</v>
      </c>
      <c r="K57" s="18" t="inlineStr">
        <is>
          <t>C</t>
        </is>
      </c>
      <c r="L57" s="18">
        <f>IFERROR(VLOOKUP(A57,[1]按需!A$1:A$65536,1,FALSE),"")</f>
        <v/>
      </c>
      <c r="M57" s="18" t="inlineStr"/>
      <c r="N57" s="9" t="n"/>
      <c r="O57" s="9" t="n"/>
      <c r="P57" s="9" t="n"/>
      <c r="Q57" s="9" t="n"/>
      <c r="R57" s="9" t="n"/>
    </row>
    <row r="58">
      <c r="A58" s="15" t="inlineStr">
        <is>
          <t>SKU-F676B681</t>
        </is>
      </c>
      <c r="B58" s="15" t="n">
        <v>100</v>
      </c>
      <c r="C58" s="24" t="inlineStr">
        <is>
          <t>Product-33875634</t>
        </is>
      </c>
      <c r="D58" s="16" t="n">
        <v>1</v>
      </c>
      <c r="E58" s="12" t="n">
        <v>0</v>
      </c>
      <c r="F58" s="13" t="n">
        <v>0</v>
      </c>
      <c r="G58" s="15" t="inlineStr"/>
      <c r="H58" s="18" t="inlineStr"/>
      <c r="I58" s="16" t="inlineStr">
        <is>
          <t>Brand-Anonymized</t>
        </is>
      </c>
      <c r="J58" s="18" t="n">
        <v>200</v>
      </c>
      <c r="K58" s="18" t="n"/>
      <c r="L58" s="18">
        <f>IFERROR(VLOOKUP(A58,[1]按需!A$1:A$65536,1,FALSE),"")</f>
        <v/>
      </c>
      <c r="M58" s="18" t="inlineStr"/>
      <c r="N58" s="9" t="n"/>
      <c r="O58" s="9" t="n"/>
      <c r="P58" s="9" t="n"/>
      <c r="Q58" s="9" t="n"/>
      <c r="R58" s="9" t="n"/>
    </row>
    <row r="59">
      <c r="A59" s="15" t="inlineStr">
        <is>
          <t>SKU-E4C1BC6F</t>
        </is>
      </c>
      <c r="B59" s="15" t="n">
        <v>100</v>
      </c>
      <c r="C59" s="10" t="inlineStr">
        <is>
          <t>Product-10F9DCAD</t>
        </is>
      </c>
      <c r="D59" s="16" t="n">
        <v>1</v>
      </c>
      <c r="E59" s="12" t="n">
        <v>625.5</v>
      </c>
      <c r="F59" s="13" t="n">
        <v>278.284</v>
      </c>
      <c r="G59" s="15" t="inlineStr"/>
      <c r="H59" s="18" t="inlineStr">
        <is>
          <t>细</t>
        </is>
      </c>
      <c r="I59" s="16" t="inlineStr">
        <is>
          <t>Brand-Anonymized</t>
        </is>
      </c>
      <c r="J59" s="18" t="n">
        <v>200</v>
      </c>
      <c r="K59" s="18" t="inlineStr">
        <is>
          <t>C</t>
        </is>
      </c>
      <c r="L59" s="18">
        <f>IFERROR(VLOOKUP(A59,[1]按需!A$1:A$65536,1,FALSE),"")</f>
        <v/>
      </c>
      <c r="M59" s="18" t="inlineStr">
        <is>
          <t>价</t>
        </is>
      </c>
      <c r="N59" s="9" t="n"/>
      <c r="O59" s="9" t="n"/>
      <c r="P59" s="9" t="n"/>
      <c r="Q59" s="9" t="n"/>
      <c r="R59" s="9" t="n"/>
    </row>
    <row r="60">
      <c r="A60" s="15" t="inlineStr">
        <is>
          <t>SKU-CD605EDE</t>
        </is>
      </c>
      <c r="B60" s="15" t="n">
        <v>100</v>
      </c>
      <c r="C60" s="10" t="inlineStr">
        <is>
          <t>Product-219B759F</t>
        </is>
      </c>
      <c r="D60" s="16" t="n">
        <v>1</v>
      </c>
      <c r="E60" s="12" t="n">
        <v>14</v>
      </c>
      <c r="F60" s="13" t="n">
        <v>2.456</v>
      </c>
      <c r="G60" s="15" t="inlineStr">
        <is>
          <t>X</t>
        </is>
      </c>
      <c r="H60" s="18" t="inlineStr">
        <is>
          <t>长</t>
        </is>
      </c>
      <c r="I60" s="16" t="inlineStr">
        <is>
          <t>Brand-Anonymized</t>
        </is>
      </c>
      <c r="J60" s="18" t="n">
        <v>200</v>
      </c>
      <c r="K60" s="18" t="inlineStr">
        <is>
          <t>C</t>
        </is>
      </c>
      <c r="L60" s="18" t="n"/>
      <c r="M60" s="18" t="inlineStr"/>
      <c r="N60" s="9" t="n">
        <v>0</v>
      </c>
      <c r="O60" s="9" t="n">
        <v>0</v>
      </c>
      <c r="P60" s="27" t="n">
        <v>14</v>
      </c>
      <c r="Q60" s="9" t="n">
        <v>0</v>
      </c>
      <c r="R60" s="9" t="n">
        <v>0</v>
      </c>
    </row>
    <row r="61">
      <c r="A61" s="15" t="inlineStr">
        <is>
          <t>SKU-BBC3DCE6</t>
        </is>
      </c>
      <c r="B61" s="15" t="n">
        <v>100</v>
      </c>
      <c r="C61" s="10" t="inlineStr">
        <is>
          <t>Product-3237B6F2</t>
        </is>
      </c>
      <c r="D61" s="16" t="n">
        <v>1</v>
      </c>
      <c r="E61" s="12" t="n">
        <v>9.9</v>
      </c>
      <c r="F61" s="13" t="n">
        <v>0.376</v>
      </c>
      <c r="G61" s="15" t="inlineStr"/>
      <c r="H61" s="18" t="inlineStr">
        <is>
          <t>标</t>
        </is>
      </c>
      <c r="I61" s="16" t="inlineStr">
        <is>
          <t>Brand-Anonymized</t>
        </is>
      </c>
      <c r="J61" s="18" t="n">
        <v>200</v>
      </c>
      <c r="K61" s="18" t="inlineStr">
        <is>
          <t>C</t>
        </is>
      </c>
      <c r="L61" s="25" t="inlineStr">
        <is>
          <t>需</t>
        </is>
      </c>
      <c r="M61" s="18" t="inlineStr"/>
      <c r="N61" s="9" t="n"/>
      <c r="O61" s="9" t="n"/>
      <c r="P61" s="9" t="n"/>
      <c r="Q61" s="28" t="n"/>
      <c r="R61" s="9" t="n"/>
    </row>
    <row r="62">
      <c r="A62" s="15" t="inlineStr">
        <is>
          <t>SKU-B505F1AF</t>
        </is>
      </c>
      <c r="B62" s="15" t="n">
        <v>100</v>
      </c>
      <c r="C62" s="10" t="inlineStr">
        <is>
          <t>Product-3EEAD3B7</t>
        </is>
      </c>
      <c r="D62" s="16" t="n">
        <v>1</v>
      </c>
      <c r="E62" s="12" t="n">
        <v>8</v>
      </c>
      <c r="F62" s="13" t="n">
        <v>1.036</v>
      </c>
      <c r="G62" s="15" t="inlineStr">
        <is>
          <t>X</t>
        </is>
      </c>
      <c r="H62" s="18" t="inlineStr">
        <is>
          <t>方</t>
        </is>
      </c>
      <c r="I62" s="16" t="inlineStr">
        <is>
          <t>Brand-Anonymized</t>
        </is>
      </c>
      <c r="J62" s="18" t="n">
        <v>200</v>
      </c>
      <c r="K62" s="18" t="inlineStr">
        <is>
          <t>C</t>
        </is>
      </c>
      <c r="L62" s="18">
        <f>IFERROR(VLOOKUP(A62,[1]按需!A$1:A$65536,1,FALSE),"")</f>
        <v/>
      </c>
      <c r="M62" s="18" t="inlineStr"/>
      <c r="N62" s="9" t="n">
        <v>0</v>
      </c>
      <c r="O62" s="9" t="n">
        <v>0</v>
      </c>
      <c r="P62" s="9" t="n">
        <v>8</v>
      </c>
      <c r="Q62" s="9" t="n">
        <v>0</v>
      </c>
      <c r="R62" s="9" t="n">
        <v>0</v>
      </c>
    </row>
    <row r="63">
      <c r="A63" s="15" t="inlineStr">
        <is>
          <t>SKU-ADBD66B8</t>
        </is>
      </c>
      <c r="B63" s="15" t="n">
        <v>100</v>
      </c>
      <c r="C63" s="30" t="inlineStr">
        <is>
          <t>Product-3232333E</t>
        </is>
      </c>
      <c r="D63" s="31" t="n">
        <v>3</v>
      </c>
      <c r="E63" s="12" t="n">
        <v>159</v>
      </c>
      <c r="F63" s="13" t="n">
        <v>0</v>
      </c>
      <c r="G63" s="20" t="inlineStr">
        <is>
          <t>T</t>
        </is>
      </c>
      <c r="H63" s="18" t="inlineStr"/>
      <c r="I63" s="16" t="inlineStr">
        <is>
          <t>Brand-Anonymized</t>
        </is>
      </c>
      <c r="J63" s="18" t="n">
        <v>200</v>
      </c>
      <c r="K63" s="18" t="n"/>
      <c r="L63" s="18">
        <f>IFERROR(VLOOKUP(A63,[1]按需!A$1:A$65536,1,FALSE),"")</f>
        <v/>
      </c>
      <c r="M63" s="18" t="inlineStr"/>
      <c r="N63" s="9" t="n"/>
      <c r="O63" s="9" t="n"/>
      <c r="P63" s="9" t="n"/>
      <c r="Q63" s="9" t="n"/>
      <c r="R63" s="9" t="n"/>
    </row>
    <row r="64">
      <c r="A64" s="15" t="inlineStr">
        <is>
          <t>SKU-77309807</t>
        </is>
      </c>
      <c r="B64" s="15" t="n">
        <v>100</v>
      </c>
      <c r="C64" s="10" t="inlineStr">
        <is>
          <t>Product-569CC6FE</t>
        </is>
      </c>
      <c r="D64" s="16" t="n">
        <v>2</v>
      </c>
      <c r="E64" s="12" t="n">
        <v>67.40000000000001</v>
      </c>
      <c r="F64" s="13" t="n">
        <v>0</v>
      </c>
      <c r="G64" s="15" t="inlineStr"/>
      <c r="H64" s="18" t="inlineStr"/>
      <c r="I64" s="16" t="inlineStr">
        <is>
          <t>Brand-Anonymized</t>
        </is>
      </c>
      <c r="J64" s="18" t="n">
        <v>200</v>
      </c>
      <c r="K64" s="18" t="n"/>
      <c r="L64" s="18">
        <f>IFERROR(VLOOKUP(A64,[1]按需!A$1:A$65536,1,FALSE),"")</f>
        <v/>
      </c>
      <c r="M64" s="18" t="inlineStr">
        <is>
          <t>价</t>
        </is>
      </c>
      <c r="N64" s="9" t="n"/>
      <c r="O64" s="9" t="n"/>
      <c r="P64" s="9" t="n"/>
      <c r="Q64" s="9" t="n"/>
      <c r="R64" s="9" t="n"/>
    </row>
    <row r="65">
      <c r="A65" s="15" t="inlineStr">
        <is>
          <t>SKU-20CF6943</t>
        </is>
      </c>
      <c r="B65" s="15" t="n">
        <v>100</v>
      </c>
      <c r="C65" s="10" t="inlineStr">
        <is>
          <t>Product-D195C7CE</t>
        </is>
      </c>
      <c r="D65" s="16" t="n">
        <v>3</v>
      </c>
      <c r="E65" s="12" t="n">
        <v>57.8</v>
      </c>
      <c r="F65" s="13" t="n">
        <v>0</v>
      </c>
      <c r="G65" s="15" t="inlineStr"/>
      <c r="H65" s="18" t="inlineStr"/>
      <c r="I65" s="16" t="inlineStr">
        <is>
          <t>Brand-Anonymized</t>
        </is>
      </c>
      <c r="J65" s="18" t="n">
        <v>200</v>
      </c>
      <c r="K65" s="18" t="n"/>
      <c r="L65" s="18">
        <f>IFERROR(VLOOKUP(A65,[1]按需!A$1:A$65536,1,FALSE),"")</f>
        <v/>
      </c>
      <c r="M65" s="18" t="inlineStr"/>
      <c r="N65" s="9" t="n"/>
      <c r="O65" s="9" t="n"/>
      <c r="P65" s="9" t="n"/>
      <c r="Q65" s="9" t="n"/>
      <c r="R65" s="9" t="n"/>
    </row>
    <row r="66">
      <c r="A66" s="15" t="inlineStr">
        <is>
          <t>SKU-64A5E460</t>
        </is>
      </c>
      <c r="B66" s="15" t="n">
        <v>100</v>
      </c>
      <c r="C66" s="10" t="inlineStr">
        <is>
          <t>Product-6C74D635</t>
        </is>
      </c>
      <c r="D66" s="16" t="n">
        <v>1</v>
      </c>
      <c r="E66" s="12" t="n">
        <v>37.5</v>
      </c>
      <c r="F66" s="13" t="n">
        <v>0</v>
      </c>
      <c r="G66" s="15" t="inlineStr"/>
      <c r="H66" s="18" t="inlineStr">
        <is>
          <t>长</t>
        </is>
      </c>
      <c r="I66" s="16" t="inlineStr">
        <is>
          <t>Brand-Anonymized</t>
        </is>
      </c>
      <c r="J66" s="18" t="n">
        <v>200</v>
      </c>
      <c r="K66" s="18" t="inlineStr">
        <is>
          <t>C</t>
        </is>
      </c>
      <c r="L66" s="18">
        <f>IFERROR(VLOOKUP(A66,[1]按需!A$1:A$65536,1,FALSE),"")</f>
        <v/>
      </c>
      <c r="M66" s="18" t="inlineStr">
        <is>
          <t>价</t>
        </is>
      </c>
      <c r="N66" s="9" t="n"/>
      <c r="O66" s="9" t="n"/>
      <c r="P66" s="28" t="n"/>
      <c r="Q66" s="9" t="n"/>
      <c r="R66" s="9" t="n"/>
    </row>
    <row r="67">
      <c r="A67" s="15" t="inlineStr">
        <is>
          <t>SKU-D485CCCA</t>
        </is>
      </c>
      <c r="B67" s="15" t="n">
        <v>100</v>
      </c>
      <c r="C67" s="10" t="inlineStr">
        <is>
          <t>Product-05507059</t>
        </is>
      </c>
      <c r="D67" s="16" t="n">
        <v>3</v>
      </c>
      <c r="E67" s="12" t="n">
        <v>115.7</v>
      </c>
      <c r="F67" s="13" t="n">
        <v>0.776</v>
      </c>
      <c r="G67" s="15" t="inlineStr"/>
      <c r="H67" s="18" t="inlineStr">
        <is>
          <t>标</t>
        </is>
      </c>
      <c r="I67" s="16" t="inlineStr">
        <is>
          <t>Brand-Anonymized</t>
        </is>
      </c>
      <c r="J67" s="18" t="n">
        <v>200</v>
      </c>
      <c r="K67" s="18" t="inlineStr">
        <is>
          <t>C</t>
        </is>
      </c>
      <c r="L67" s="18">
        <f>IFERROR(VLOOKUP(A67,[1]按需!A$1:A$65536,1,FALSE),"")</f>
        <v/>
      </c>
      <c r="M67" s="18" t="inlineStr"/>
      <c r="N67" s="9" t="n"/>
      <c r="O67" s="9" t="n"/>
      <c r="P67" s="9" t="n"/>
      <c r="Q67" s="9" t="n"/>
      <c r="R67" s="9" t="n"/>
    </row>
    <row r="68">
      <c r="A68" s="15" t="inlineStr">
        <is>
          <t>SKU-66238053</t>
        </is>
      </c>
      <c r="B68" s="15" t="n">
        <v>100</v>
      </c>
      <c r="C68" s="23" t="inlineStr">
        <is>
          <t>Product-B4F67B70</t>
        </is>
      </c>
      <c r="D68" s="16" t="n">
        <v>2</v>
      </c>
      <c r="E68" s="12" t="n">
        <v>0</v>
      </c>
      <c r="F68" s="13" t="n">
        <v>0</v>
      </c>
      <c r="G68" s="15" t="inlineStr"/>
      <c r="H68" s="18" t="inlineStr">
        <is>
          <t>标</t>
        </is>
      </c>
      <c r="I68" s="16" t="inlineStr">
        <is>
          <t>Brand-Anonymized</t>
        </is>
      </c>
      <c r="J68" s="18" t="n">
        <v>200</v>
      </c>
      <c r="K68" s="18" t="inlineStr">
        <is>
          <t>C</t>
        </is>
      </c>
      <c r="L68" s="18">
        <f>IFERROR(VLOOKUP(A68,[1]按需!A$1:A$65536,1,FALSE),"")</f>
        <v/>
      </c>
      <c r="M68" s="18" t="inlineStr"/>
      <c r="N68" s="9" t="n"/>
      <c r="O68" s="9" t="n"/>
      <c r="P68" s="9" t="n"/>
      <c r="Q68" s="9" t="n"/>
      <c r="R68" s="9" t="n"/>
    </row>
    <row r="69">
      <c r="A69" s="15" t="inlineStr">
        <is>
          <t>SKU-AEC03642</t>
        </is>
      </c>
      <c r="B69" s="15" t="n">
        <v>100</v>
      </c>
      <c r="C69" s="21" t="inlineStr">
        <is>
          <t>Product-5A4A091A</t>
        </is>
      </c>
      <c r="D69" s="16" t="n">
        <v>1</v>
      </c>
      <c r="E69" s="12" t="n">
        <v>20</v>
      </c>
      <c r="F69" s="26" t="n">
        <v>0.96</v>
      </c>
      <c r="G69" s="15" t="inlineStr">
        <is>
          <t>X</t>
        </is>
      </c>
      <c r="H69" s="18" t="inlineStr">
        <is>
          <t>方</t>
        </is>
      </c>
      <c r="I69" s="16" t="inlineStr">
        <is>
          <t>Brand-Anonymized</t>
        </is>
      </c>
      <c r="J69" s="18" t="n">
        <v>200</v>
      </c>
      <c r="K69" s="18" t="inlineStr">
        <is>
          <t>C</t>
        </is>
      </c>
      <c r="L69" s="18">
        <f>IFERROR(VLOOKUP(A69,[1]按需!A$1:A$65536,1,FALSE),"")</f>
        <v/>
      </c>
      <c r="M69" s="18" t="inlineStr"/>
      <c r="N69" s="27" t="n">
        <v>0</v>
      </c>
      <c r="O69" s="9" t="n">
        <v>0</v>
      </c>
      <c r="P69" s="27" t="n">
        <v>10</v>
      </c>
      <c r="Q69" s="9" t="n">
        <v>0</v>
      </c>
      <c r="R69" s="9" t="n">
        <v>10</v>
      </c>
    </row>
    <row r="70">
      <c r="A70" s="15" t="inlineStr">
        <is>
          <t>SKU-6FADBEBD</t>
        </is>
      </c>
      <c r="B70" s="15" t="n">
        <v>100</v>
      </c>
      <c r="C70" s="10" t="inlineStr">
        <is>
          <t>Product-224E6368</t>
        </is>
      </c>
      <c r="D70" s="16" t="n">
        <v>1</v>
      </c>
      <c r="E70" s="12" t="n">
        <v>14.6</v>
      </c>
      <c r="F70" s="13" t="n">
        <v>4.132</v>
      </c>
      <c r="G70" s="15" t="inlineStr"/>
      <c r="H70" s="18" t="inlineStr">
        <is>
          <t>细</t>
        </is>
      </c>
      <c r="I70" s="16" t="inlineStr">
        <is>
          <t>Brand-Anonymized</t>
        </is>
      </c>
      <c r="J70" s="18" t="n">
        <v>200</v>
      </c>
      <c r="K70" s="18" t="inlineStr">
        <is>
          <t>C</t>
        </is>
      </c>
      <c r="L70" s="18">
        <f>IFERROR(VLOOKUP(A70,[1]按需!A$1:A$65536,1,FALSE),"")</f>
        <v/>
      </c>
      <c r="M70" s="18" t="inlineStr"/>
      <c r="N70" s="9" t="n"/>
      <c r="O70" s="9" t="n"/>
      <c r="P70" s="9" t="n"/>
      <c r="Q70" s="9" t="n"/>
      <c r="R70" s="9" t="n"/>
    </row>
    <row r="71">
      <c r="A71" s="15" t="inlineStr">
        <is>
          <t>SKU-6772DEBE</t>
        </is>
      </c>
      <c r="B71" s="15" t="n">
        <v>100</v>
      </c>
      <c r="C71" s="10" t="inlineStr">
        <is>
          <t>Product-82693D22</t>
        </is>
      </c>
      <c r="D71" s="16" t="n">
        <v>1</v>
      </c>
      <c r="E71" s="12" t="n">
        <v>61.2</v>
      </c>
      <c r="F71" s="13" t="n">
        <v>72.816</v>
      </c>
      <c r="G71" s="15" t="inlineStr"/>
      <c r="H71" s="18" t="inlineStr">
        <is>
          <t>长</t>
        </is>
      </c>
      <c r="I71" s="16" t="inlineStr">
        <is>
          <t>Brand-Anonymized</t>
        </is>
      </c>
      <c r="J71" s="18" t="n">
        <v>200</v>
      </c>
      <c r="K71" s="18" t="inlineStr">
        <is>
          <t>C</t>
        </is>
      </c>
      <c r="L71" s="18">
        <f>IFERROR(VLOOKUP(A71,[1]按需!A$1:A$65536,1,FALSE),"")</f>
        <v/>
      </c>
      <c r="M71" s="18" t="inlineStr"/>
      <c r="N71" s="9" t="n"/>
      <c r="O71" s="9" t="n"/>
      <c r="P71" s="9" t="n"/>
      <c r="Q71" s="9" t="n"/>
      <c r="R71" s="9" t="n"/>
    </row>
    <row r="72">
      <c r="A72" s="15" t="inlineStr">
        <is>
          <t>SKU-3B2628FE</t>
        </is>
      </c>
      <c r="B72" s="15" t="n">
        <v>100</v>
      </c>
      <c r="C72" s="24" t="inlineStr">
        <is>
          <t>Product-F68D7468</t>
        </is>
      </c>
      <c r="D72" s="16" t="n">
        <v>1</v>
      </c>
      <c r="E72" s="12" t="n">
        <v>0</v>
      </c>
      <c r="F72" s="13" t="n">
        <v>0</v>
      </c>
      <c r="G72" s="15" t="inlineStr"/>
      <c r="H72" s="18" t="inlineStr"/>
      <c r="I72" s="16" t="inlineStr">
        <is>
          <t>Brand-Anonymized</t>
        </is>
      </c>
      <c r="J72" s="18" t="n">
        <v>200</v>
      </c>
      <c r="K72" s="18" t="n"/>
      <c r="L72" s="18">
        <f>IFERROR(VLOOKUP(A72,[1]按需!A$1:A$65536,1,FALSE),"")</f>
        <v/>
      </c>
      <c r="M72" s="18" t="inlineStr"/>
      <c r="N72" s="9" t="n"/>
      <c r="O72" s="9" t="n"/>
      <c r="P72" s="9" t="n"/>
      <c r="Q72" s="9" t="n"/>
      <c r="R72" s="9" t="n"/>
    </row>
    <row r="73">
      <c r="A73" s="15" t="inlineStr">
        <is>
          <t>SKU-01CFC7C8</t>
        </is>
      </c>
      <c r="B73" s="15" t="n">
        <v>100</v>
      </c>
      <c r="C73" s="10" t="inlineStr">
        <is>
          <t>Product-1385CA82</t>
        </is>
      </c>
      <c r="D73" s="16" t="n">
        <v>1</v>
      </c>
      <c r="E73" s="12" t="n">
        <v>5</v>
      </c>
      <c r="F73" s="13" t="n">
        <v>3.34</v>
      </c>
      <c r="G73" s="15" t="inlineStr">
        <is>
          <t>X</t>
        </is>
      </c>
      <c r="H73" s="18" t="inlineStr">
        <is>
          <t>细</t>
        </is>
      </c>
      <c r="I73" s="16" t="inlineStr">
        <is>
          <t>Brand-Anonymized</t>
        </is>
      </c>
      <c r="J73" s="18" t="n">
        <v>200</v>
      </c>
      <c r="K73" s="18" t="inlineStr">
        <is>
          <t>C</t>
        </is>
      </c>
      <c r="L73" s="25" t="inlineStr">
        <is>
          <t>需</t>
        </is>
      </c>
      <c r="M73" s="18" t="inlineStr"/>
      <c r="N73" s="9" t="n">
        <v>0</v>
      </c>
      <c r="O73" s="9" t="n">
        <v>0</v>
      </c>
      <c r="P73" s="9" t="n">
        <v>0</v>
      </c>
      <c r="Q73" s="9" t="n">
        <v>5</v>
      </c>
      <c r="R73" s="9" t="n">
        <v>0</v>
      </c>
    </row>
    <row r="74">
      <c r="A74" s="15" t="inlineStr">
        <is>
          <t>SKU-3BC6D3D6</t>
        </is>
      </c>
      <c r="B74" s="15" t="n">
        <v>100</v>
      </c>
      <c r="C74" s="10" t="inlineStr">
        <is>
          <t>Product-7FD02DE1</t>
        </is>
      </c>
      <c r="D74" s="16" t="n">
        <v>2</v>
      </c>
      <c r="E74" s="12" t="n">
        <v>117.7</v>
      </c>
      <c r="F74" s="13" t="n">
        <v>87.59999999999999</v>
      </c>
      <c r="G74" s="15" t="inlineStr"/>
      <c r="H74" s="18" t="inlineStr"/>
      <c r="I74" s="16" t="inlineStr">
        <is>
          <t>Brand-Anonymized</t>
        </is>
      </c>
      <c r="J74" s="18" t="n">
        <v>200</v>
      </c>
      <c r="K74" s="18" t="n"/>
      <c r="L74" s="18">
        <f>IFERROR(VLOOKUP(A74,[1]按需!A$1:A$65536,1,FALSE),"")</f>
        <v/>
      </c>
      <c r="M74" s="18" t="inlineStr">
        <is>
          <t>价</t>
        </is>
      </c>
      <c r="N74" s="9" t="n"/>
      <c r="O74" s="9" t="n"/>
      <c r="P74" s="9" t="n"/>
      <c r="Q74" s="9" t="n"/>
      <c r="R74" s="9" t="n"/>
    </row>
    <row r="75">
      <c r="A75" s="15" t="inlineStr">
        <is>
          <t>SKU-2379F692</t>
        </is>
      </c>
      <c r="B75" s="15" t="n">
        <v>100</v>
      </c>
      <c r="C75" s="10" t="inlineStr">
        <is>
          <t>Product-1E77ED33</t>
        </is>
      </c>
      <c r="D75" s="16" t="n">
        <v>1</v>
      </c>
      <c r="E75" s="12" t="n">
        <v>64</v>
      </c>
      <c r="F75" s="13" t="n">
        <v>0</v>
      </c>
      <c r="G75" s="15" t="inlineStr"/>
      <c r="H75" s="18" t="inlineStr">
        <is>
          <t>标</t>
        </is>
      </c>
      <c r="I75" s="16" t="inlineStr">
        <is>
          <t>Brand-Anonymized</t>
        </is>
      </c>
      <c r="J75" s="18" t="n">
        <v>200</v>
      </c>
      <c r="K75" s="18" t="inlineStr">
        <is>
          <t>C</t>
        </is>
      </c>
      <c r="L75" s="25" t="inlineStr">
        <is>
          <t>需</t>
        </is>
      </c>
      <c r="M75" s="18" t="inlineStr"/>
      <c r="N75" s="9" t="n"/>
      <c r="O75" s="9" t="n"/>
      <c r="P75" s="9" t="n"/>
      <c r="Q75" s="9" t="n"/>
      <c r="R75" s="9" t="n"/>
    </row>
    <row r="76">
      <c r="A76" s="15" t="inlineStr">
        <is>
          <t>SKU-F2B0F984</t>
        </is>
      </c>
      <c r="B76" s="15" t="n">
        <v>100</v>
      </c>
      <c r="C76" s="10" t="inlineStr">
        <is>
          <t>Product-BB38CDED</t>
        </is>
      </c>
      <c r="D76" s="16" t="n">
        <v>1</v>
      </c>
      <c r="E76" s="12" t="n">
        <v>20</v>
      </c>
      <c r="F76" s="26" t="n">
        <v>0</v>
      </c>
      <c r="G76" s="15" t="inlineStr">
        <is>
          <t>X</t>
        </is>
      </c>
      <c r="H76" s="18" t="inlineStr">
        <is>
          <t>标</t>
        </is>
      </c>
      <c r="I76" s="16" t="inlineStr">
        <is>
          <t>Brand-Anonymized</t>
        </is>
      </c>
      <c r="J76" s="18" t="n">
        <v>200</v>
      </c>
      <c r="K76" s="18" t="inlineStr">
        <is>
          <t>C</t>
        </is>
      </c>
      <c r="L76" s="25" t="inlineStr">
        <is>
          <t>需</t>
        </is>
      </c>
      <c r="M76" s="18" t="inlineStr"/>
      <c r="N76" s="27" t="n">
        <v>0</v>
      </c>
      <c r="O76" s="9" t="n">
        <v>0</v>
      </c>
      <c r="P76" s="9" t="n">
        <v>20</v>
      </c>
      <c r="Q76" s="9" t="n">
        <v>0</v>
      </c>
      <c r="R76" s="9" t="n">
        <v>0</v>
      </c>
    </row>
    <row r="77">
      <c r="A77" s="15" t="inlineStr">
        <is>
          <t>SKU-8A01A251</t>
        </is>
      </c>
      <c r="B77" s="15" t="n">
        <v>100</v>
      </c>
      <c r="C77" s="19" t="inlineStr">
        <is>
          <t>Product-E520A49A</t>
        </is>
      </c>
      <c r="D77" s="16" t="n">
        <v>2</v>
      </c>
      <c r="E77" s="12" t="n">
        <v>0</v>
      </c>
      <c r="F77" s="13" t="n">
        <v>0</v>
      </c>
      <c r="G77" s="15" t="inlineStr"/>
      <c r="H77" s="18" t="inlineStr"/>
      <c r="I77" s="16" t="inlineStr">
        <is>
          <t>Brand-Anonymized</t>
        </is>
      </c>
      <c r="J77" s="18" t="n">
        <v>200</v>
      </c>
      <c r="K77" s="18" t="n"/>
      <c r="L77" s="18">
        <f>IFERROR(VLOOKUP(A77,[1]按需!A$1:A$65536,1,FALSE),"")</f>
        <v/>
      </c>
      <c r="M77" s="18" t="inlineStr"/>
      <c r="N77" s="9" t="n"/>
      <c r="O77" s="9" t="n"/>
      <c r="P77" s="9" t="n"/>
      <c r="Q77" s="9" t="n"/>
      <c r="R77" s="9" t="n"/>
    </row>
    <row r="78">
      <c r="A78" s="15" t="inlineStr">
        <is>
          <t>SKU-F12BD851</t>
        </is>
      </c>
      <c r="B78" s="15" t="n">
        <v>100</v>
      </c>
      <c r="C78" s="10" t="inlineStr">
        <is>
          <t>Product-C8CC2E46</t>
        </is>
      </c>
      <c r="D78" s="16" t="n">
        <v>2</v>
      </c>
      <c r="E78" s="12" t="n">
        <v>680</v>
      </c>
      <c r="F78" s="13" t="n">
        <v>588.256</v>
      </c>
      <c r="G78" s="15" t="inlineStr"/>
      <c r="H78" s="18" t="inlineStr"/>
      <c r="I78" s="16" t="inlineStr">
        <is>
          <t>Brand-Anonymized</t>
        </is>
      </c>
      <c r="J78" s="18" t="n">
        <v>200</v>
      </c>
      <c r="K78" s="18" t="n"/>
      <c r="L78" s="18">
        <f>IFERROR(VLOOKUP(A78,[1]按需!A$1:A$65536,1,FALSE),"")</f>
        <v/>
      </c>
      <c r="M78" s="18" t="inlineStr">
        <is>
          <t>价</t>
        </is>
      </c>
      <c r="N78" s="9" t="n"/>
      <c r="O78" s="9" t="n"/>
      <c r="P78" s="9" t="n"/>
      <c r="Q78" s="9" t="n"/>
      <c r="R78" s="9" t="n"/>
    </row>
    <row r="79">
      <c r="A79" s="15" t="inlineStr">
        <is>
          <t>SKU-FBC6A90A</t>
        </is>
      </c>
      <c r="B79" s="15" t="n">
        <v>100</v>
      </c>
      <c r="C79" s="24" t="inlineStr">
        <is>
          <t>Product-6215959E</t>
        </is>
      </c>
      <c r="D79" s="16" t="n">
        <v>1</v>
      </c>
      <c r="E79" s="12" t="n">
        <v>0</v>
      </c>
      <c r="F79" s="13" t="n">
        <v>0</v>
      </c>
      <c r="G79" s="15" t="inlineStr"/>
      <c r="H79" s="18" t="inlineStr">
        <is>
          <t>标</t>
        </is>
      </c>
      <c r="I79" s="16" t="inlineStr">
        <is>
          <t>Brand-Anonymized</t>
        </is>
      </c>
      <c r="J79" s="18" t="n">
        <v>200</v>
      </c>
      <c r="K79" s="18" t="inlineStr">
        <is>
          <t>C</t>
        </is>
      </c>
      <c r="L79" s="18">
        <f>IFERROR(VLOOKUP(A79,[1]按需!A$1:A$65536,1,FALSE),"")</f>
        <v/>
      </c>
      <c r="M79" s="18" t="inlineStr"/>
      <c r="N79" s="9" t="n"/>
      <c r="O79" s="9" t="n"/>
      <c r="P79" s="9" t="n"/>
      <c r="Q79" s="9" t="n"/>
      <c r="R79" s="9" t="n"/>
    </row>
    <row r="80">
      <c r="A80" s="15" t="inlineStr">
        <is>
          <t>SKU-8D50A17D</t>
        </is>
      </c>
      <c r="B80" s="15" t="n">
        <v>100</v>
      </c>
      <c r="C80" s="10" t="inlineStr">
        <is>
          <t>Product-33956506</t>
        </is>
      </c>
      <c r="D80" s="16" t="n">
        <v>1</v>
      </c>
      <c r="E80" s="12" t="n">
        <v>50</v>
      </c>
      <c r="F80" s="13" t="n">
        <v>96.62</v>
      </c>
      <c r="G80" s="15" t="inlineStr">
        <is>
          <t>T</t>
        </is>
      </c>
      <c r="H80" s="18" t="inlineStr">
        <is>
          <t>细</t>
        </is>
      </c>
      <c r="I80" s="16" t="inlineStr">
        <is>
          <t>Brand-Anonymized</t>
        </is>
      </c>
      <c r="J80" s="18" t="n">
        <v>200</v>
      </c>
      <c r="K80" s="18" t="inlineStr">
        <is>
          <t>C</t>
        </is>
      </c>
      <c r="L80" s="18">
        <f>IFERROR(VLOOKUP(A80,[1]按需!A$1:A$65536,1,FALSE),"")</f>
        <v/>
      </c>
      <c r="M80" s="18" t="inlineStr">
        <is>
          <t>价</t>
        </is>
      </c>
      <c r="N80" s="9" t="n"/>
      <c r="O80" s="9" t="n"/>
      <c r="P80" s="9" t="n"/>
      <c r="Q80" s="9" t="n"/>
      <c r="R80" s="9" t="n"/>
    </row>
    <row r="81">
      <c r="A81" s="15" t="inlineStr">
        <is>
          <t>SKU-685DD3D2</t>
        </is>
      </c>
      <c r="B81" s="15" t="n">
        <v>100</v>
      </c>
      <c r="C81" s="10" t="inlineStr">
        <is>
          <t>Product-F61FD83C</t>
        </is>
      </c>
      <c r="D81" s="16" t="n">
        <v>1</v>
      </c>
      <c r="E81" s="12" t="n">
        <v>255.1</v>
      </c>
      <c r="F81" s="13" t="n">
        <v>196.76</v>
      </c>
      <c r="G81" s="15" t="inlineStr"/>
      <c r="H81" s="18" t="inlineStr">
        <is>
          <t>细</t>
        </is>
      </c>
      <c r="I81" s="16" t="inlineStr">
        <is>
          <t>Brand-Anonymized</t>
        </is>
      </c>
      <c r="J81" s="18" t="n">
        <v>200</v>
      </c>
      <c r="K81" s="18" t="inlineStr">
        <is>
          <t>C</t>
        </is>
      </c>
      <c r="L81" s="18">
        <f>IFERROR(VLOOKUP(A81,[1]按需!A$1:A$65536,1,FALSE),"")</f>
        <v/>
      </c>
      <c r="M81" s="18" t="inlineStr">
        <is>
          <t>价</t>
        </is>
      </c>
      <c r="N81" s="9" t="n"/>
      <c r="O81" s="9" t="n"/>
      <c r="P81" s="9" t="n"/>
      <c r="Q81" s="9" t="n"/>
      <c r="R81" s="9" t="n"/>
    </row>
    <row r="82">
      <c r="A82" s="15" t="inlineStr">
        <is>
          <t>SKU-55E23DA5</t>
        </is>
      </c>
      <c r="B82" s="15" t="n">
        <v>100</v>
      </c>
      <c r="C82" s="10" t="inlineStr">
        <is>
          <t>Product-7D170E46</t>
        </is>
      </c>
      <c r="D82" s="16" t="n">
        <v>2</v>
      </c>
      <c r="E82" s="12" t="n">
        <v>2512.7</v>
      </c>
      <c r="F82" s="13" t="n">
        <v>671.264</v>
      </c>
      <c r="G82" s="15" t="inlineStr"/>
      <c r="H82" s="18" t="inlineStr">
        <is>
          <t>标</t>
        </is>
      </c>
      <c r="I82" s="16" t="inlineStr">
        <is>
          <t>Brand-Anonymized</t>
        </is>
      </c>
      <c r="J82" s="18" t="n">
        <v>200</v>
      </c>
      <c r="K82" s="18" t="inlineStr">
        <is>
          <t>C</t>
        </is>
      </c>
      <c r="L82" s="18">
        <f>IFERROR(VLOOKUP(A82,[1]按需!A$1:A$65536,1,FALSE),"")</f>
        <v/>
      </c>
      <c r="M82" s="18" t="inlineStr">
        <is>
          <t>价</t>
        </is>
      </c>
      <c r="N82" s="9" t="n"/>
      <c r="O82" s="9" t="n"/>
      <c r="P82" s="9" t="n"/>
      <c r="Q82" s="9" t="n"/>
      <c r="R82" s="9" t="n"/>
    </row>
    <row r="83">
      <c r="A83" s="15" t="inlineStr">
        <is>
          <t>SKU-07310B8A</t>
        </is>
      </c>
      <c r="B83" s="15" t="n">
        <v>100</v>
      </c>
      <c r="C83" s="10" t="inlineStr">
        <is>
          <t>Product-9FF55A7C</t>
        </is>
      </c>
      <c r="D83" s="16" t="n">
        <v>1</v>
      </c>
      <c r="E83" s="12" t="n">
        <v>5</v>
      </c>
      <c r="F83" s="13" t="n">
        <v>6.932</v>
      </c>
      <c r="G83" s="15" t="inlineStr">
        <is>
          <t>C</t>
        </is>
      </c>
      <c r="H83" s="18" t="inlineStr">
        <is>
          <t>方</t>
        </is>
      </c>
      <c r="I83" s="16" t="inlineStr">
        <is>
          <t>Brand-Anonymized</t>
        </is>
      </c>
      <c r="J83" s="18" t="n">
        <v>200</v>
      </c>
      <c r="K83" s="18" t="inlineStr">
        <is>
          <t>C</t>
        </is>
      </c>
      <c r="L83" s="18">
        <f>IFERROR(VLOOKUP(A83,[1]按需!A$1:A$65536,1,FALSE),"")</f>
        <v/>
      </c>
      <c r="M83" s="18" t="inlineStr">
        <is>
          <t>价</t>
        </is>
      </c>
      <c r="N83" s="9" t="n">
        <v>0</v>
      </c>
      <c r="O83" s="27" t="n">
        <v>0</v>
      </c>
      <c r="P83" s="27" t="n">
        <v>5</v>
      </c>
      <c r="Q83" s="9" t="n">
        <v>0</v>
      </c>
      <c r="R83" s="9" t="n">
        <v>0</v>
      </c>
    </row>
    <row r="84">
      <c r="A84" s="15" t="inlineStr">
        <is>
          <t>SKU-8EBE1AD6</t>
        </is>
      </c>
      <c r="B84" s="15" t="n">
        <v>100</v>
      </c>
      <c r="C84" s="10" t="inlineStr">
        <is>
          <t>Product-9A6C9779</t>
        </is>
      </c>
      <c r="D84" s="16" t="n">
        <v>1</v>
      </c>
      <c r="E84" s="12" t="n">
        <v>199.1</v>
      </c>
      <c r="F84" s="13" t="n">
        <v>56.292</v>
      </c>
      <c r="G84" s="15" t="inlineStr"/>
      <c r="H84" s="18" t="inlineStr">
        <is>
          <t>细</t>
        </is>
      </c>
      <c r="I84" s="16" t="inlineStr">
        <is>
          <t>Brand-Anonymized</t>
        </is>
      </c>
      <c r="J84" s="18" t="n">
        <v>200</v>
      </c>
      <c r="K84" s="18" t="inlineStr">
        <is>
          <t>C</t>
        </is>
      </c>
      <c r="L84" s="18">
        <f>IFERROR(VLOOKUP(A84,[1]按需!A$1:A$65536,1,FALSE),"")</f>
        <v/>
      </c>
      <c r="M84" s="18" t="inlineStr">
        <is>
          <t>价</t>
        </is>
      </c>
      <c r="N84" s="9" t="n"/>
      <c r="O84" s="9" t="n"/>
      <c r="P84" s="9" t="n"/>
      <c r="Q84" s="9" t="n"/>
      <c r="R84" s="9" t="n"/>
    </row>
    <row r="85">
      <c r="A85" s="15" t="inlineStr">
        <is>
          <t>SKU-06D5C6B5</t>
        </is>
      </c>
      <c r="B85" s="15" t="n">
        <v>100</v>
      </c>
      <c r="C85" s="10" t="inlineStr">
        <is>
          <t>Product-79046E1F</t>
        </is>
      </c>
      <c r="D85" s="16" t="n">
        <v>1</v>
      </c>
      <c r="E85" s="12" t="n">
        <v>4</v>
      </c>
      <c r="F85" s="13" t="n">
        <v>5.168</v>
      </c>
      <c r="G85" s="15" t="inlineStr">
        <is>
          <t>C</t>
        </is>
      </c>
      <c r="H85" s="18" t="inlineStr">
        <is>
          <t>标</t>
        </is>
      </c>
      <c r="I85" s="16" t="inlineStr">
        <is>
          <t>Brand-Anonymized</t>
        </is>
      </c>
      <c r="J85" s="18" t="n">
        <v>200</v>
      </c>
      <c r="K85" s="18" t="inlineStr">
        <is>
          <t>C</t>
        </is>
      </c>
      <c r="L85" s="18">
        <f>IFERROR(VLOOKUP(A85,[1]按需!A$1:A$65536,1,FALSE),"")</f>
        <v/>
      </c>
      <c r="M85" s="18" t="inlineStr">
        <is>
          <t>价</t>
        </is>
      </c>
      <c r="N85" s="9" t="n">
        <v>0</v>
      </c>
      <c r="O85" s="9" t="n">
        <v>0</v>
      </c>
      <c r="P85" s="9" t="n">
        <v>0</v>
      </c>
      <c r="Q85" s="9" t="n">
        <v>4</v>
      </c>
      <c r="R85" s="9" t="n">
        <v>0</v>
      </c>
    </row>
    <row r="86">
      <c r="A86" s="15" t="inlineStr">
        <is>
          <t>SKU-0472D802</t>
        </is>
      </c>
      <c r="B86" s="15" t="n">
        <v>100</v>
      </c>
      <c r="C86" s="10" t="inlineStr">
        <is>
          <t>Product-0EE8F563</t>
        </is>
      </c>
      <c r="D86" s="16" t="n">
        <v>1</v>
      </c>
      <c r="E86" s="12" t="n">
        <v>113</v>
      </c>
      <c r="F86" s="13" t="n">
        <v>55.164</v>
      </c>
      <c r="G86" s="15" t="inlineStr"/>
      <c r="H86" s="18" t="inlineStr">
        <is>
          <t>细</t>
        </is>
      </c>
      <c r="I86" s="16" t="inlineStr">
        <is>
          <t>Brand-Anonymized</t>
        </is>
      </c>
      <c r="J86" s="18" t="n">
        <v>200</v>
      </c>
      <c r="K86" s="18" t="inlineStr">
        <is>
          <t>C</t>
        </is>
      </c>
      <c r="L86" s="18">
        <f>IFERROR(VLOOKUP(A86,[1]按需!A$1:A$65536,1,FALSE),"")</f>
        <v/>
      </c>
      <c r="M86" s="18" t="inlineStr">
        <is>
          <t>价</t>
        </is>
      </c>
      <c r="N86" s="9" t="n"/>
      <c r="O86" s="9" t="n"/>
      <c r="P86" s="9" t="n"/>
      <c r="Q86" s="9" t="n"/>
      <c r="R86" s="9" t="n"/>
    </row>
    <row r="87">
      <c r="A87" s="15" t="inlineStr">
        <is>
          <t>SKU-8992A5AF</t>
        </is>
      </c>
      <c r="B87" s="15" t="n">
        <v>100</v>
      </c>
      <c r="C87" s="10" t="inlineStr">
        <is>
          <t>Product-15073DAA</t>
        </is>
      </c>
      <c r="D87" s="16" t="n">
        <v>1</v>
      </c>
      <c r="E87" s="12" t="n">
        <v>0</v>
      </c>
      <c r="F87" s="13" t="n">
        <v>0.828</v>
      </c>
      <c r="G87" s="15" t="inlineStr">
        <is>
          <t>X</t>
        </is>
      </c>
      <c r="H87" s="18" t="inlineStr">
        <is>
          <t>标</t>
        </is>
      </c>
      <c r="I87" s="16" t="inlineStr">
        <is>
          <t>Brand-Anonymized</t>
        </is>
      </c>
      <c r="J87" s="18" t="n">
        <v>200</v>
      </c>
      <c r="K87" s="18" t="inlineStr">
        <is>
          <t>C</t>
        </is>
      </c>
      <c r="L87" s="18">
        <f>IFERROR(VLOOKUP(A87,[1]按需!A$1:A$65536,1,FALSE),"")</f>
        <v/>
      </c>
      <c r="M87" s="18" t="inlineStr"/>
      <c r="N87" s="9" t="n">
        <v>0</v>
      </c>
      <c r="O87" s="9" t="n">
        <v>0</v>
      </c>
      <c r="P87" s="9" t="n">
        <v>0</v>
      </c>
      <c r="Q87" s="9" t="n">
        <v>0</v>
      </c>
      <c r="R87" s="9" t="n">
        <v>0</v>
      </c>
    </row>
    <row r="88">
      <c r="A88" s="15" t="inlineStr">
        <is>
          <t>SKU-9DFEFE7F</t>
        </is>
      </c>
      <c r="B88" s="15" t="n">
        <v>100</v>
      </c>
      <c r="C88" s="10" t="inlineStr">
        <is>
          <t>Product-14B419F6</t>
        </is>
      </c>
      <c r="D88" s="16" t="n">
        <v>1</v>
      </c>
      <c r="E88" s="12" t="n">
        <v>10</v>
      </c>
      <c r="F88" s="13" t="n">
        <v>0.856</v>
      </c>
      <c r="G88" s="15" t="inlineStr">
        <is>
          <t>X</t>
        </is>
      </c>
      <c r="H88" s="18" t="inlineStr">
        <is>
          <t>细</t>
        </is>
      </c>
      <c r="I88" s="16" t="inlineStr">
        <is>
          <t>Brand-Anonymized</t>
        </is>
      </c>
      <c r="J88" s="18" t="n">
        <v>200</v>
      </c>
      <c r="K88" s="18" t="inlineStr">
        <is>
          <t>C</t>
        </is>
      </c>
      <c r="L88" s="18">
        <f>IFERROR(VLOOKUP(A88,[1]按需!A$1:A$65536,1,FALSE),"")</f>
        <v/>
      </c>
      <c r="M88" s="18" t="inlineStr"/>
      <c r="N88" s="9" t="n">
        <v>0</v>
      </c>
      <c r="O88" s="9" t="n">
        <v>10</v>
      </c>
      <c r="P88" s="9" t="n">
        <v>0</v>
      </c>
      <c r="Q88" s="9" t="n">
        <v>0</v>
      </c>
      <c r="R88" s="9" t="n">
        <v>0</v>
      </c>
    </row>
    <row r="89">
      <c r="A89" s="15" t="inlineStr">
        <is>
          <t>SKU-707B6E8A</t>
        </is>
      </c>
      <c r="B89" s="15" t="n">
        <v>100</v>
      </c>
      <c r="C89" s="10" t="inlineStr">
        <is>
          <t>Product-069A5966</t>
        </is>
      </c>
      <c r="D89" s="16" t="n">
        <v>1</v>
      </c>
      <c r="E89" s="12" t="n">
        <v>0</v>
      </c>
      <c r="F89" s="13" t="n">
        <v>4.56</v>
      </c>
      <c r="G89" s="15" t="inlineStr">
        <is>
          <t>X</t>
        </is>
      </c>
      <c r="H89" s="18" t="inlineStr">
        <is>
          <t>标</t>
        </is>
      </c>
      <c r="I89" s="16" t="inlineStr">
        <is>
          <t>Brand-Anonymized</t>
        </is>
      </c>
      <c r="J89" s="18" t="n">
        <v>200</v>
      </c>
      <c r="K89" s="18" t="inlineStr">
        <is>
          <t>C</t>
        </is>
      </c>
      <c r="L89" s="18">
        <f>IFERROR(VLOOKUP(A89,[1]按需!A$1:A$65536,1,FALSE),"")</f>
        <v/>
      </c>
      <c r="M89" s="18" t="inlineStr"/>
      <c r="N89" s="9" t="n">
        <v>0</v>
      </c>
      <c r="O89" s="9" t="n">
        <v>0</v>
      </c>
      <c r="P89" s="9" t="n">
        <v>0</v>
      </c>
      <c r="Q89" s="9" t="n">
        <v>0</v>
      </c>
      <c r="R89" s="27" t="n">
        <v>0</v>
      </c>
    </row>
    <row r="90">
      <c r="A90" s="15" t="inlineStr">
        <is>
          <t>SKU-5969B13C</t>
        </is>
      </c>
      <c r="B90" s="15" t="n">
        <v>100</v>
      </c>
      <c r="C90" s="10" t="inlineStr">
        <is>
          <t>Product-D41D58A6</t>
        </is>
      </c>
      <c r="D90" s="16" t="n">
        <v>1</v>
      </c>
      <c r="E90" s="12" t="n">
        <v>16.5</v>
      </c>
      <c r="F90" s="13" t="n">
        <v>0.724</v>
      </c>
      <c r="G90" s="15" t="inlineStr"/>
      <c r="H90" s="18" t="inlineStr"/>
      <c r="I90" s="16" t="inlineStr">
        <is>
          <t>Brand-Anonymized</t>
        </is>
      </c>
      <c r="J90" s="18" t="n">
        <v>200</v>
      </c>
      <c r="K90" s="18" t="n"/>
      <c r="L90" s="32" t="inlineStr">
        <is>
          <t>需</t>
        </is>
      </c>
      <c r="M90" s="18" t="inlineStr">
        <is>
          <t>价</t>
        </is>
      </c>
      <c r="N90" s="9" t="n"/>
      <c r="O90" s="9" t="n"/>
      <c r="P90" s="9" t="n"/>
      <c r="Q90" s="9" t="n"/>
      <c r="R90" s="9" t="n"/>
    </row>
    <row r="91">
      <c r="A91" s="15" t="inlineStr">
        <is>
          <t>SKU-54FF462C</t>
        </is>
      </c>
      <c r="B91" s="15" t="n">
        <v>100</v>
      </c>
      <c r="C91" s="10" t="inlineStr">
        <is>
          <t>Product-61A907C6</t>
        </is>
      </c>
      <c r="D91" s="16" t="n">
        <v>1</v>
      </c>
      <c r="E91" s="12" t="n">
        <v>212.7</v>
      </c>
      <c r="F91" s="13" t="n">
        <v>152.276</v>
      </c>
      <c r="G91" s="15" t="inlineStr"/>
      <c r="H91" s="18" t="inlineStr"/>
      <c r="I91" s="16" t="inlineStr">
        <is>
          <t>Brand-Anonymized</t>
        </is>
      </c>
      <c r="J91" s="18" t="n">
        <v>200</v>
      </c>
      <c r="K91" s="18" t="n"/>
      <c r="L91" s="18">
        <f>IFERROR(VLOOKUP(A91,[1]按需!A$1:A$65536,1,FALSE),"")</f>
        <v/>
      </c>
      <c r="M91" s="18" t="inlineStr">
        <is>
          <t>价</t>
        </is>
      </c>
      <c r="N91" s="9" t="n"/>
      <c r="O91" s="9" t="n"/>
      <c r="P91" s="9" t="n"/>
      <c r="Q91" s="9" t="n"/>
      <c r="R91" s="9" t="n"/>
    </row>
    <row r="92">
      <c r="A92" s="15" t="inlineStr">
        <is>
          <t>SKU-124FFA8F</t>
        </is>
      </c>
      <c r="B92" s="15" t="n">
        <v>100</v>
      </c>
      <c r="C92" s="19" t="inlineStr">
        <is>
          <t>Product-D911580D</t>
        </is>
      </c>
      <c r="D92" s="16" t="n">
        <v>1</v>
      </c>
      <c r="E92" s="12" t="n">
        <v>0</v>
      </c>
      <c r="F92" s="13" t="n">
        <v>0</v>
      </c>
      <c r="G92" s="15" t="inlineStr"/>
      <c r="H92" s="18" t="inlineStr"/>
      <c r="I92" s="16" t="inlineStr">
        <is>
          <t>Brand-Anonymized</t>
        </is>
      </c>
      <c r="J92" s="18" t="n">
        <v>200</v>
      </c>
      <c r="K92" s="18" t="n"/>
      <c r="L92" s="18">
        <f>IFERROR(VLOOKUP(A92,[1]按需!A$1:A$65536,1,FALSE),"")</f>
        <v/>
      </c>
      <c r="M92" s="18" t="inlineStr"/>
      <c r="N92" s="9" t="n"/>
      <c r="O92" s="9" t="n"/>
      <c r="P92" s="9" t="n"/>
      <c r="Q92" s="9" t="n"/>
      <c r="R92" s="9" t="n"/>
    </row>
    <row r="93">
      <c r="A93" s="15" t="inlineStr">
        <is>
          <t>SKU-AA4E2A39</t>
        </is>
      </c>
      <c r="B93" s="15" t="n">
        <v>100</v>
      </c>
      <c r="C93" s="19" t="inlineStr">
        <is>
          <t>Product-702B5290</t>
        </is>
      </c>
      <c r="D93" s="16" t="n">
        <v>1</v>
      </c>
      <c r="E93" s="12" t="n">
        <v>0</v>
      </c>
      <c r="F93" s="13" t="n">
        <v>0</v>
      </c>
      <c r="G93" s="15" t="inlineStr"/>
      <c r="H93" s="18" t="inlineStr"/>
      <c r="I93" s="16" t="inlineStr">
        <is>
          <t>Brand-Anonymized</t>
        </is>
      </c>
      <c r="J93" s="18" t="n">
        <v>200</v>
      </c>
      <c r="K93" s="18" t="inlineStr">
        <is>
          <t>C</t>
        </is>
      </c>
      <c r="L93" s="18">
        <f>IFERROR(VLOOKUP(A93,[1]按需!A$1:A$65536,1,FALSE),"")</f>
        <v/>
      </c>
      <c r="M93" s="18" t="inlineStr"/>
      <c r="N93" s="9" t="n"/>
      <c r="O93" s="9" t="n"/>
      <c r="P93" s="9" t="n"/>
      <c r="Q93" s="9" t="n"/>
      <c r="R93" s="9" t="n"/>
    </row>
    <row r="94">
      <c r="A94" s="15" t="inlineStr">
        <is>
          <t>SKU-913263BA</t>
        </is>
      </c>
      <c r="B94" s="15" t="n">
        <v>100</v>
      </c>
      <c r="C94" s="10" t="inlineStr">
        <is>
          <t>Product-702B5290</t>
        </is>
      </c>
      <c r="D94" s="16" t="n">
        <v>1</v>
      </c>
      <c r="E94" s="12" t="n">
        <v>14</v>
      </c>
      <c r="F94" s="13" t="n">
        <v>0.728</v>
      </c>
      <c r="G94" s="15" t="inlineStr">
        <is>
          <t>X</t>
        </is>
      </c>
      <c r="H94" s="18" t="inlineStr">
        <is>
          <t>长</t>
        </is>
      </c>
      <c r="I94" s="16" t="inlineStr">
        <is>
          <t>Brand-Anonymized</t>
        </is>
      </c>
      <c r="J94" s="18" t="n">
        <v>200</v>
      </c>
      <c r="K94" s="18" t="inlineStr">
        <is>
          <t>C</t>
        </is>
      </c>
      <c r="L94" s="18">
        <f>IFERROR(VLOOKUP(A94,[1]按需!A$1:A$65536,1,FALSE),"")</f>
        <v/>
      </c>
      <c r="M94" s="18" t="inlineStr"/>
      <c r="N94" s="9" t="n">
        <v>0</v>
      </c>
      <c r="O94" s="9" t="n">
        <v>0</v>
      </c>
      <c r="P94" s="9" t="n">
        <v>14</v>
      </c>
      <c r="Q94" s="9" t="n">
        <v>0</v>
      </c>
      <c r="R94" s="9" t="n">
        <v>0</v>
      </c>
    </row>
    <row r="95">
      <c r="A95" s="15" t="inlineStr">
        <is>
          <t>SKU-C3332279</t>
        </is>
      </c>
      <c r="B95" s="15" t="n">
        <v>100</v>
      </c>
      <c r="C95" s="10" t="inlineStr">
        <is>
          <t>Product-DBF6F56C</t>
        </is>
      </c>
      <c r="D95" s="16" t="n">
        <v>2</v>
      </c>
      <c r="E95" s="12" t="n">
        <v>2014</v>
      </c>
      <c r="F95" s="13" t="n">
        <v>1296.06</v>
      </c>
      <c r="G95" s="15" t="inlineStr">
        <is>
          <t>T</t>
        </is>
      </c>
      <c r="H95" s="18" t="inlineStr"/>
      <c r="I95" s="16" t="inlineStr">
        <is>
          <t>Brand-Anonymized</t>
        </is>
      </c>
      <c r="J95" s="18" t="n">
        <v>200</v>
      </c>
      <c r="K95" s="18" t="n"/>
      <c r="L95" s="18">
        <f>IFERROR(VLOOKUP(A95,[1]按需!A$1:A$65536,1,FALSE),"")</f>
        <v/>
      </c>
      <c r="M95" s="18" t="inlineStr">
        <is>
          <t>价</t>
        </is>
      </c>
      <c r="N95" s="9" t="n"/>
      <c r="O95" s="9" t="n"/>
      <c r="P95" s="9" t="n"/>
      <c r="Q95" s="9" t="n"/>
      <c r="R95" s="9" t="n"/>
    </row>
    <row r="96">
      <c r="A96" s="15" t="inlineStr">
        <is>
          <t>SKU-98BD550F</t>
        </is>
      </c>
      <c r="B96" s="15" t="n">
        <v>100</v>
      </c>
      <c r="C96" s="10" t="inlineStr">
        <is>
          <t>Product-63C67A59</t>
        </is>
      </c>
      <c r="D96" s="16" t="n">
        <v>1</v>
      </c>
      <c r="E96" s="12" t="n">
        <v>251.5</v>
      </c>
      <c r="F96" s="13" t="n">
        <v>99.872</v>
      </c>
      <c r="G96" s="15" t="inlineStr"/>
      <c r="H96" s="18" t="inlineStr"/>
      <c r="I96" s="16" t="inlineStr">
        <is>
          <t>Brand-Anonymized</t>
        </is>
      </c>
      <c r="J96" s="18" t="n">
        <v>200</v>
      </c>
      <c r="K96" s="18" t="n"/>
      <c r="L96" s="18">
        <f>IFERROR(VLOOKUP(A96,[1]按需!A$1:A$65536,1,FALSE),"")</f>
        <v/>
      </c>
      <c r="M96" s="18" t="inlineStr">
        <is>
          <t>价</t>
        </is>
      </c>
      <c r="N96" s="9" t="n"/>
      <c r="O96" s="9" t="n"/>
      <c r="P96" s="9" t="n"/>
      <c r="Q96" s="9" t="n"/>
      <c r="R96" s="9" t="n"/>
    </row>
    <row r="97">
      <c r="A97" s="15" t="inlineStr">
        <is>
          <t>SKU-9165C4CC</t>
        </is>
      </c>
      <c r="B97" s="15" t="n">
        <v>100</v>
      </c>
      <c r="C97" s="24" t="inlineStr">
        <is>
          <t>Product-4EAD9177</t>
        </is>
      </c>
      <c r="D97" s="16" t="n">
        <v>2</v>
      </c>
      <c r="E97" s="12" t="n">
        <v>0</v>
      </c>
      <c r="F97" s="13" t="n">
        <v>0</v>
      </c>
      <c r="G97" s="15" t="inlineStr"/>
      <c r="H97" s="18" t="inlineStr"/>
      <c r="I97" s="16" t="inlineStr">
        <is>
          <t>Brand-Anonymized</t>
        </is>
      </c>
      <c r="J97" s="18" t="n">
        <v>200</v>
      </c>
      <c r="K97" s="18" t="n"/>
      <c r="L97" s="18">
        <f>IFERROR(VLOOKUP(A97,[1]按需!A$1:A$65536,1,FALSE),"")</f>
        <v/>
      </c>
      <c r="M97" s="18" t="inlineStr"/>
      <c r="N97" s="9" t="n"/>
      <c r="O97" s="9" t="n"/>
      <c r="P97" s="9" t="n"/>
      <c r="Q97" s="9" t="n"/>
      <c r="R97" s="9" t="n"/>
    </row>
    <row r="98">
      <c r="A98" s="15" t="inlineStr">
        <is>
          <t>SKU-7B3379FF</t>
        </is>
      </c>
      <c r="B98" s="15" t="n">
        <v>100</v>
      </c>
      <c r="C98" s="10" t="inlineStr">
        <is>
          <t>Product-B1B25B5B</t>
        </is>
      </c>
      <c r="D98" s="16" t="n">
        <v>1</v>
      </c>
      <c r="E98" s="12" t="n">
        <v>129</v>
      </c>
      <c r="F98" s="13" t="n">
        <v>89.55200000000001</v>
      </c>
      <c r="G98" s="15" t="inlineStr"/>
      <c r="H98" s="18" t="inlineStr"/>
      <c r="I98" s="16" t="inlineStr">
        <is>
          <t>Brand-Anonymized</t>
        </is>
      </c>
      <c r="J98" s="18" t="n">
        <v>200</v>
      </c>
      <c r="K98" s="18" t="n"/>
      <c r="L98" s="18">
        <f>IFERROR(VLOOKUP(A98,[1]按需!A$1:A$65536,1,FALSE),"")</f>
        <v/>
      </c>
      <c r="M98" s="18" t="inlineStr">
        <is>
          <t>价</t>
        </is>
      </c>
      <c r="N98" s="9" t="n"/>
      <c r="O98" s="9" t="n"/>
      <c r="P98" s="9" t="n"/>
      <c r="Q98" s="9" t="n"/>
      <c r="R98" s="9" t="n"/>
    </row>
    <row r="99">
      <c r="A99" s="15" t="inlineStr">
        <is>
          <t>SKU-32F1EBAD</t>
        </is>
      </c>
      <c r="B99" s="15" t="n">
        <v>100</v>
      </c>
      <c r="C99" s="10" t="inlineStr">
        <is>
          <t>Product-1D056F53</t>
        </is>
      </c>
      <c r="D99" s="16" t="n">
        <v>1</v>
      </c>
      <c r="E99" s="12" t="n">
        <v>244.2</v>
      </c>
      <c r="F99" s="13" t="n">
        <v>123.036</v>
      </c>
      <c r="G99" s="15" t="inlineStr"/>
      <c r="H99" s="18" t="inlineStr"/>
      <c r="I99" s="16" t="inlineStr">
        <is>
          <t>Brand-Anonymized</t>
        </is>
      </c>
      <c r="J99" s="18" t="n">
        <v>200</v>
      </c>
      <c r="K99" s="18" t="n"/>
      <c r="L99" s="18">
        <f>IFERROR(VLOOKUP(A99,[1]按需!A$1:A$65536,1,FALSE),"")</f>
        <v/>
      </c>
      <c r="M99" s="18" t="inlineStr">
        <is>
          <t>价</t>
        </is>
      </c>
      <c r="N99" s="9" t="n"/>
      <c r="O99" s="9" t="n"/>
      <c r="P99" s="9" t="n"/>
      <c r="Q99" s="9" t="n"/>
      <c r="R99" s="9" t="n"/>
    </row>
    <row r="100">
      <c r="A100" s="15" t="inlineStr">
        <is>
          <t>SKU-94863575</t>
        </is>
      </c>
      <c r="B100" s="15" t="n">
        <v>100</v>
      </c>
      <c r="C100" s="10" t="inlineStr">
        <is>
          <t>Product-ED96D303</t>
        </is>
      </c>
      <c r="D100" s="16" t="n">
        <v>1</v>
      </c>
      <c r="E100" s="12" t="n">
        <v>0</v>
      </c>
      <c r="F100" s="13" t="n">
        <v>0</v>
      </c>
      <c r="G100" s="15" t="inlineStr">
        <is>
          <t>C</t>
        </is>
      </c>
      <c r="H100" s="18" t="inlineStr">
        <is>
          <t>标</t>
        </is>
      </c>
      <c r="I100" s="16" t="inlineStr">
        <is>
          <t>Brand-Anonymized</t>
        </is>
      </c>
      <c r="J100" s="18" t="n">
        <v>200</v>
      </c>
      <c r="K100" s="18" t="inlineStr">
        <is>
          <t>C</t>
        </is>
      </c>
      <c r="L100" s="18">
        <f>IFERROR(VLOOKUP(A100,[1]按需!A$1:A$65536,1,FALSE),"")</f>
        <v/>
      </c>
      <c r="M100" s="18" t="inlineStr"/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</row>
    <row r="101">
      <c r="A101" s="15" t="inlineStr">
        <is>
          <t>SKU-2FCA7D22</t>
        </is>
      </c>
      <c r="B101" s="15" t="n">
        <v>100</v>
      </c>
      <c r="C101" s="10" t="inlineStr">
        <is>
          <t>Product-7CFF1ED9</t>
        </is>
      </c>
      <c r="D101" s="16" t="n">
        <v>1</v>
      </c>
      <c r="E101" s="12" t="n">
        <v>204.7</v>
      </c>
      <c r="F101" s="13" t="n">
        <v>97.504</v>
      </c>
      <c r="G101" s="15" t="inlineStr"/>
      <c r="H101" s="18" t="inlineStr"/>
      <c r="I101" s="16" t="inlineStr">
        <is>
          <t>Brand-Anonymized</t>
        </is>
      </c>
      <c r="J101" s="18" t="n">
        <v>200</v>
      </c>
      <c r="K101" s="18" t="n"/>
      <c r="L101" s="18">
        <f>IFERROR(VLOOKUP(A101,[1]按需!A$1:A$65536,1,FALSE),"")</f>
        <v/>
      </c>
      <c r="M101" s="18" t="inlineStr">
        <is>
          <t>价</t>
        </is>
      </c>
      <c r="N101" s="9" t="n"/>
      <c r="O101" s="9" t="n"/>
      <c r="P101" s="9" t="n"/>
      <c r="Q101" s="9" t="n"/>
      <c r="R101" s="9" t="n"/>
    </row>
    <row r="102">
      <c r="A102" s="15" t="inlineStr">
        <is>
          <t>SKU-2B469B0C</t>
        </is>
      </c>
      <c r="B102" s="15" t="n">
        <v>100</v>
      </c>
      <c r="C102" s="10" t="inlineStr">
        <is>
          <t>Product-782A1545</t>
        </is>
      </c>
      <c r="D102" s="16" t="n">
        <v>1</v>
      </c>
      <c r="E102" s="12" t="n">
        <v>184.8</v>
      </c>
      <c r="F102" s="13" t="n">
        <v>69.408</v>
      </c>
      <c r="G102" s="15" t="inlineStr"/>
      <c r="H102" s="18" t="inlineStr">
        <is>
          <t>细</t>
        </is>
      </c>
      <c r="I102" s="16" t="inlineStr">
        <is>
          <t>Brand-Anonymized</t>
        </is>
      </c>
      <c r="J102" s="18" t="n">
        <v>200</v>
      </c>
      <c r="K102" s="18" t="inlineStr">
        <is>
          <t>C</t>
        </is>
      </c>
      <c r="L102" s="18">
        <f>IFERROR(VLOOKUP(A102,[1]按需!A$1:A$65536,1,FALSE),"")</f>
        <v/>
      </c>
      <c r="M102" s="18" t="inlineStr">
        <is>
          <t>价</t>
        </is>
      </c>
      <c r="N102" s="9" t="n"/>
      <c r="O102" s="9" t="n"/>
      <c r="P102" s="9" t="n"/>
      <c r="Q102" s="9" t="n"/>
      <c r="R102" s="9" t="n"/>
    </row>
    <row r="103">
      <c r="A103" s="15" t="inlineStr">
        <is>
          <t>SKU-D352A232</t>
        </is>
      </c>
      <c r="B103" s="15" t="n">
        <v>100</v>
      </c>
      <c r="C103" s="19" t="inlineStr">
        <is>
          <t>Product-6DB46461</t>
        </is>
      </c>
      <c r="D103" s="16" t="n">
        <v>1</v>
      </c>
      <c r="E103" s="12" t="n">
        <v>0</v>
      </c>
      <c r="F103" s="13" t="n">
        <v>0</v>
      </c>
      <c r="G103" s="15" t="inlineStr"/>
      <c r="H103" s="18" t="inlineStr">
        <is>
          <t>标</t>
        </is>
      </c>
      <c r="I103" s="16" t="inlineStr">
        <is>
          <t>Brand-Anonymized</t>
        </is>
      </c>
      <c r="J103" s="18" t="n">
        <v>200</v>
      </c>
      <c r="K103" s="18" t="inlineStr">
        <is>
          <t>C</t>
        </is>
      </c>
      <c r="L103" s="18">
        <f>IFERROR(VLOOKUP(A103,[1]按需!A$1:A$65536,1,FALSE),"")</f>
        <v/>
      </c>
      <c r="M103" s="18" t="inlineStr"/>
      <c r="N103" s="9" t="n"/>
      <c r="O103" s="9" t="n"/>
      <c r="P103" s="9" t="n"/>
      <c r="Q103" s="9" t="n"/>
      <c r="R103" s="9" t="n"/>
    </row>
    <row r="104">
      <c r="A104" s="15" t="inlineStr">
        <is>
          <t>SKU-497F1297</t>
        </is>
      </c>
      <c r="B104" s="15" t="n">
        <v>100</v>
      </c>
      <c r="C104" s="10" t="inlineStr">
        <is>
          <t>Product-FC06EE76</t>
        </is>
      </c>
      <c r="D104" s="16" t="n">
        <v>1</v>
      </c>
      <c r="E104" s="12" t="n">
        <v>166</v>
      </c>
      <c r="F104" s="13" t="n">
        <v>126.512</v>
      </c>
      <c r="G104" s="15" t="inlineStr">
        <is>
          <t>T</t>
        </is>
      </c>
      <c r="H104" s="18" t="inlineStr">
        <is>
          <t>标</t>
        </is>
      </c>
      <c r="I104" s="16" t="inlineStr">
        <is>
          <t>Brand-Anonymized</t>
        </is>
      </c>
      <c r="J104" s="18" t="n">
        <v>200</v>
      </c>
      <c r="K104" s="18" t="inlineStr">
        <is>
          <t>C</t>
        </is>
      </c>
      <c r="L104" s="18">
        <f>IFERROR(VLOOKUP(A104,[1]按需!A$1:A$65536,1,FALSE),"")</f>
        <v/>
      </c>
      <c r="M104" s="18" t="inlineStr">
        <is>
          <t>价</t>
        </is>
      </c>
      <c r="N104" s="9" t="n"/>
      <c r="O104" s="9" t="n"/>
      <c r="P104" s="9" t="n"/>
      <c r="Q104" s="9" t="n"/>
      <c r="R104" s="9" t="n"/>
    </row>
    <row r="105">
      <c r="A105" s="15" t="inlineStr">
        <is>
          <t>SKU-E6463606</t>
        </is>
      </c>
      <c r="B105" s="15" t="n">
        <v>100</v>
      </c>
      <c r="C105" s="24" t="inlineStr">
        <is>
          <t>Product-348068FF</t>
        </is>
      </c>
      <c r="D105" s="16" t="n">
        <v>1</v>
      </c>
      <c r="E105" s="12" t="n">
        <v>0</v>
      </c>
      <c r="F105" s="13" t="n">
        <v>0</v>
      </c>
      <c r="G105" s="15" t="inlineStr"/>
      <c r="H105" s="18" t="inlineStr">
        <is>
          <t>标</t>
        </is>
      </c>
      <c r="I105" s="16" t="inlineStr">
        <is>
          <t>Brand-Anonymized</t>
        </is>
      </c>
      <c r="J105" s="18" t="n">
        <v>200</v>
      </c>
      <c r="K105" s="18" t="inlineStr">
        <is>
          <t>C</t>
        </is>
      </c>
      <c r="L105" s="18">
        <f>IFERROR(VLOOKUP(A105,[1]按需!A$1:A$65536,1,FALSE),"")</f>
        <v/>
      </c>
      <c r="M105" s="18" t="inlineStr"/>
      <c r="N105" s="9" t="n"/>
      <c r="O105" s="9" t="n"/>
      <c r="P105" s="9" t="n"/>
      <c r="Q105" s="9" t="n"/>
      <c r="R105" s="9" t="n"/>
    </row>
    <row r="106">
      <c r="A106" s="15" t="inlineStr">
        <is>
          <t>SKU-8EB26120</t>
        </is>
      </c>
      <c r="B106" s="15" t="n">
        <v>100</v>
      </c>
      <c r="C106" s="10" t="inlineStr">
        <is>
          <t>Product-73F3BBE5</t>
        </is>
      </c>
      <c r="D106" s="16" t="n">
        <v>1</v>
      </c>
      <c r="E106" s="12" t="n">
        <v>11</v>
      </c>
      <c r="F106" s="13" t="n">
        <v>8.544</v>
      </c>
      <c r="G106" s="15" t="inlineStr">
        <is>
          <t>C</t>
        </is>
      </c>
      <c r="H106" s="18" t="inlineStr">
        <is>
          <t>标</t>
        </is>
      </c>
      <c r="I106" s="16" t="inlineStr">
        <is>
          <t>Brand-Anonymized</t>
        </is>
      </c>
      <c r="J106" s="18" t="n">
        <v>200</v>
      </c>
      <c r="K106" s="18" t="inlineStr">
        <is>
          <t>C</t>
        </is>
      </c>
      <c r="L106" s="18">
        <f>IFERROR(VLOOKUP(A106,[1]按需!A$1:A$65536,1,FALSE),"")</f>
        <v/>
      </c>
      <c r="M106" s="18" t="inlineStr">
        <is>
          <t>价</t>
        </is>
      </c>
      <c r="N106" s="9" t="n">
        <v>0</v>
      </c>
      <c r="O106" s="27" t="n">
        <v>0</v>
      </c>
      <c r="P106" s="27" t="n">
        <v>6</v>
      </c>
      <c r="Q106" s="9" t="n">
        <v>0</v>
      </c>
      <c r="R106" s="9" t="n">
        <v>5</v>
      </c>
    </row>
    <row r="107">
      <c r="A107" s="15" t="inlineStr">
        <is>
          <t>SKU-8515A26A</t>
        </is>
      </c>
      <c r="B107" s="15" t="n">
        <v>100</v>
      </c>
      <c r="C107" s="10" t="inlineStr">
        <is>
          <t>Product-2C6E1A8D</t>
        </is>
      </c>
      <c r="D107" s="16" t="n">
        <v>1</v>
      </c>
      <c r="E107" s="12" t="n">
        <v>30</v>
      </c>
      <c r="F107" s="13" t="n">
        <v>15.308</v>
      </c>
      <c r="G107" s="15" t="inlineStr">
        <is>
          <t>X</t>
        </is>
      </c>
      <c r="H107" s="18" t="inlineStr">
        <is>
          <t>方</t>
        </is>
      </c>
      <c r="I107" s="16" t="inlineStr">
        <is>
          <t>Brand-Anonymized</t>
        </is>
      </c>
      <c r="J107" s="18" t="n">
        <v>200</v>
      </c>
      <c r="K107" s="18" t="inlineStr">
        <is>
          <t>C</t>
        </is>
      </c>
      <c r="L107" s="18">
        <f>IFERROR(VLOOKUP(A107,[1]按需!A$1:A$65536,1,FALSE),"")</f>
        <v/>
      </c>
      <c r="M107" s="18" t="inlineStr">
        <is>
          <t>价</t>
        </is>
      </c>
      <c r="N107" s="9" t="n">
        <v>0</v>
      </c>
      <c r="O107" s="27" t="n">
        <v>0</v>
      </c>
      <c r="P107" s="27" t="n">
        <v>30</v>
      </c>
      <c r="Q107" s="9" t="n">
        <v>0</v>
      </c>
      <c r="R107" s="9" t="n">
        <v>0</v>
      </c>
    </row>
    <row r="108">
      <c r="A108" s="15" t="inlineStr">
        <is>
          <t>SKU-2164A7E1</t>
        </is>
      </c>
      <c r="B108" s="15" t="n">
        <v>100</v>
      </c>
      <c r="C108" s="10" t="inlineStr">
        <is>
          <t>Product-E6A26B29</t>
        </is>
      </c>
      <c r="D108" s="16" t="n">
        <v>1</v>
      </c>
      <c r="E108" s="12" t="n">
        <v>320</v>
      </c>
      <c r="F108" s="13" t="n">
        <v>137.488</v>
      </c>
      <c r="G108" s="15" t="inlineStr">
        <is>
          <t>X</t>
        </is>
      </c>
      <c r="H108" s="18" t="inlineStr"/>
      <c r="I108" s="16" t="inlineStr">
        <is>
          <t>Brand-Anonymized</t>
        </is>
      </c>
      <c r="J108" s="18" t="n">
        <v>200</v>
      </c>
      <c r="K108" s="18" t="n"/>
      <c r="L108" s="18">
        <f>IFERROR(VLOOKUP(A108,[1]按需!A$1:A$65536,1,FALSE),"")</f>
        <v/>
      </c>
      <c r="M108" s="18" t="inlineStr">
        <is>
          <t>价</t>
        </is>
      </c>
      <c r="N108" s="9" t="n">
        <v>65</v>
      </c>
      <c r="O108" s="9" t="n">
        <v>64.996</v>
      </c>
      <c r="P108" s="9" t="n">
        <v>65</v>
      </c>
      <c r="Q108" s="9" t="n">
        <v>65</v>
      </c>
      <c r="R108" s="9" t="n">
        <v>60.004</v>
      </c>
    </row>
    <row r="109">
      <c r="A109" s="15" t="inlineStr">
        <is>
          <t>SKU-C3DF57B7</t>
        </is>
      </c>
      <c r="B109" s="15" t="n">
        <v>100</v>
      </c>
      <c r="C109" s="10" t="inlineStr">
        <is>
          <t>Product-79AFFC5E</t>
        </is>
      </c>
      <c r="D109" s="16" t="n">
        <v>1</v>
      </c>
      <c r="E109" s="12" t="n">
        <v>30</v>
      </c>
      <c r="F109" s="13" t="n">
        <v>3.956</v>
      </c>
      <c r="G109" s="15" t="inlineStr">
        <is>
          <t>X</t>
        </is>
      </c>
      <c r="H109" s="18" t="inlineStr">
        <is>
          <t>方</t>
        </is>
      </c>
      <c r="I109" s="16" t="inlineStr">
        <is>
          <t>Brand-Anonymized</t>
        </is>
      </c>
      <c r="J109" s="18" t="n">
        <v>200</v>
      </c>
      <c r="K109" s="18" t="inlineStr">
        <is>
          <t>C</t>
        </is>
      </c>
      <c r="L109" s="18">
        <f>IFERROR(VLOOKUP(A109,[1]按需!A$1:A$65536,1,FALSE),"")</f>
        <v/>
      </c>
      <c r="M109" s="18" t="inlineStr"/>
      <c r="N109" s="9" t="n">
        <v>0</v>
      </c>
      <c r="O109" s="27" t="n">
        <v>0</v>
      </c>
      <c r="P109" s="27" t="n">
        <v>30</v>
      </c>
      <c r="Q109" s="9" t="n">
        <v>0</v>
      </c>
      <c r="R109" s="9" t="n">
        <v>0</v>
      </c>
    </row>
    <row r="110">
      <c r="A110" s="15" t="inlineStr">
        <is>
          <t>SKU-0EB1BF1E</t>
        </is>
      </c>
      <c r="B110" s="15" t="n">
        <v>100</v>
      </c>
      <c r="C110" s="21" t="inlineStr">
        <is>
          <t>Product-E003C35F</t>
        </is>
      </c>
      <c r="D110" s="16" t="n">
        <v>1</v>
      </c>
      <c r="E110" s="12" t="n">
        <v>60</v>
      </c>
      <c r="F110" s="13" t="n">
        <v>20.708</v>
      </c>
      <c r="G110" s="15" t="inlineStr">
        <is>
          <t>X</t>
        </is>
      </c>
      <c r="H110" s="18" t="inlineStr">
        <is>
          <t>细</t>
        </is>
      </c>
      <c r="I110" s="16" t="inlineStr">
        <is>
          <t>Brand-Anonymized</t>
        </is>
      </c>
      <c r="J110" s="18" t="n">
        <v>200</v>
      </c>
      <c r="K110" s="18" t="inlineStr">
        <is>
          <t>C</t>
        </is>
      </c>
      <c r="L110" s="18">
        <f>IFERROR(VLOOKUP(A110,[1]按需!A$1:A$65536,1,FALSE),"")</f>
        <v/>
      </c>
      <c r="M110" s="18" t="inlineStr"/>
      <c r="N110" s="9" t="n">
        <v>0</v>
      </c>
      <c r="O110" s="9" t="n">
        <v>0</v>
      </c>
      <c r="P110" s="9" t="n">
        <v>0</v>
      </c>
      <c r="Q110" s="9" t="n">
        <v>0</v>
      </c>
      <c r="R110" s="27" t="n">
        <v>60</v>
      </c>
    </row>
    <row r="111">
      <c r="A111" s="15" t="inlineStr">
        <is>
          <t>SKU-0E698170</t>
        </is>
      </c>
      <c r="B111" s="15" t="n">
        <v>100</v>
      </c>
      <c r="C111" s="10" t="inlineStr">
        <is>
          <t>Product-EF8C3EC5</t>
        </is>
      </c>
      <c r="D111" s="16" t="n">
        <v>1</v>
      </c>
      <c r="E111" s="12" t="n">
        <v>13</v>
      </c>
      <c r="F111" s="13" t="n">
        <v>3.372</v>
      </c>
      <c r="G111" s="15" t="inlineStr"/>
      <c r="H111" s="18" t="inlineStr">
        <is>
          <t>长</t>
        </is>
      </c>
      <c r="I111" s="16" t="inlineStr">
        <is>
          <t>Brand-Anonymized</t>
        </is>
      </c>
      <c r="J111" s="18" t="n">
        <v>200</v>
      </c>
      <c r="K111" s="18" t="inlineStr">
        <is>
          <t>C</t>
        </is>
      </c>
      <c r="L111" s="32" t="inlineStr">
        <is>
          <t>需</t>
        </is>
      </c>
      <c r="M111" s="18" t="inlineStr">
        <is>
          <t>价</t>
        </is>
      </c>
      <c r="N111" s="9" t="n"/>
      <c r="O111" s="9" t="n"/>
      <c r="P111" s="9" t="n"/>
      <c r="Q111" s="9" t="n"/>
      <c r="R111" s="9" t="n"/>
    </row>
    <row r="112">
      <c r="A112" s="15" t="inlineStr">
        <is>
          <t>SKU-B0AA269B</t>
        </is>
      </c>
      <c r="B112" s="15" t="n">
        <v>100</v>
      </c>
      <c r="C112" s="10" t="inlineStr">
        <is>
          <t>Product-BFD53BC0</t>
        </is>
      </c>
      <c r="D112" s="16" t="n">
        <v>2</v>
      </c>
      <c r="E112" s="12" t="n">
        <v>241.5</v>
      </c>
      <c r="F112" s="13" t="n">
        <v>43.08</v>
      </c>
      <c r="G112" s="15" t="inlineStr"/>
      <c r="H112" s="18" t="inlineStr">
        <is>
          <t>标</t>
        </is>
      </c>
      <c r="I112" s="16" t="inlineStr">
        <is>
          <t>Brand-Anonymized</t>
        </is>
      </c>
      <c r="J112" s="18" t="n">
        <v>200</v>
      </c>
      <c r="K112" s="18" t="inlineStr">
        <is>
          <t>C</t>
        </is>
      </c>
      <c r="L112" s="18">
        <f>IFERROR(VLOOKUP(A112,[1]按需!A$1:A$65536,1,FALSE),"")</f>
        <v/>
      </c>
      <c r="M112" s="18" t="inlineStr">
        <is>
          <t>价</t>
        </is>
      </c>
      <c r="N112" s="9" t="n"/>
      <c r="O112" s="9" t="n"/>
      <c r="P112" s="9" t="n"/>
      <c r="Q112" s="9" t="n"/>
      <c r="R112" s="9" t="n"/>
    </row>
    <row r="113">
      <c r="A113" s="15" t="inlineStr">
        <is>
          <t>SKU-95370A38</t>
        </is>
      </c>
      <c r="B113" s="15" t="n">
        <v>100</v>
      </c>
      <c r="C113" s="24" t="inlineStr">
        <is>
          <t>Product-204DEBD7</t>
        </is>
      </c>
      <c r="D113" s="16" t="n">
        <v>3</v>
      </c>
      <c r="E113" s="12" t="n">
        <v>0</v>
      </c>
      <c r="F113" s="13" t="n">
        <v>0</v>
      </c>
      <c r="G113" s="20" t="inlineStr"/>
      <c r="H113" s="18" t="inlineStr"/>
      <c r="I113" s="16" t="inlineStr">
        <is>
          <t>Brand-Anonymized</t>
        </is>
      </c>
      <c r="J113" s="18" t="n">
        <v>200</v>
      </c>
      <c r="K113" s="18" t="n"/>
      <c r="L113" s="18">
        <f>IFERROR(VLOOKUP(A113,[1]按需!A$1:A$65536,1,FALSE),"")</f>
        <v/>
      </c>
      <c r="M113" s="18" t="inlineStr"/>
      <c r="N113" s="9" t="n"/>
      <c r="O113" s="9" t="n"/>
      <c r="P113" s="9" t="n"/>
      <c r="Q113" s="9" t="n"/>
      <c r="R113" s="9" t="n"/>
    </row>
    <row r="114">
      <c r="A114" s="15" t="inlineStr">
        <is>
          <t>SKU-C25067A0</t>
        </is>
      </c>
      <c r="B114" s="15" t="n">
        <v>100</v>
      </c>
      <c r="C114" s="10" t="inlineStr">
        <is>
          <t>Product-0FF79B6A</t>
        </is>
      </c>
      <c r="D114" s="16" t="n">
        <v>1</v>
      </c>
      <c r="E114" s="12" t="n">
        <v>396.4</v>
      </c>
      <c r="F114" s="13" t="n">
        <v>201.408</v>
      </c>
      <c r="G114" s="15" t="inlineStr"/>
      <c r="H114" s="18" t="inlineStr">
        <is>
          <t>细</t>
        </is>
      </c>
      <c r="I114" s="16" t="inlineStr">
        <is>
          <t>Brand-Anonymized</t>
        </is>
      </c>
      <c r="J114" s="18" t="n">
        <v>200</v>
      </c>
      <c r="K114" s="18" t="inlineStr">
        <is>
          <t>C</t>
        </is>
      </c>
      <c r="L114" s="18">
        <f>IFERROR(VLOOKUP(A114,[1]按需!A$1:A$65536,1,FALSE),"")</f>
        <v/>
      </c>
      <c r="M114" s="18" t="inlineStr">
        <is>
          <t>价</t>
        </is>
      </c>
      <c r="N114" s="9" t="n"/>
      <c r="O114" s="9" t="n"/>
      <c r="P114" s="9" t="n"/>
      <c r="Q114" s="9" t="n"/>
      <c r="R114" s="9" t="n"/>
    </row>
    <row r="115">
      <c r="A115" s="15" t="inlineStr">
        <is>
          <t>SKU-D7B45BE5</t>
        </is>
      </c>
      <c r="B115" s="15" t="n">
        <v>100</v>
      </c>
      <c r="C115" s="24" t="inlineStr">
        <is>
          <t>Product-58C86CC9</t>
        </is>
      </c>
      <c r="D115" s="16" t="n">
        <v>3</v>
      </c>
      <c r="E115" s="12" t="n">
        <v>0</v>
      </c>
      <c r="F115" s="13" t="n">
        <v>0</v>
      </c>
      <c r="G115" s="15" t="inlineStr"/>
      <c r="H115" s="18" t="inlineStr"/>
      <c r="I115" s="16" t="inlineStr">
        <is>
          <t>Brand-Anonymized</t>
        </is>
      </c>
      <c r="J115" s="18" t="n">
        <v>200</v>
      </c>
      <c r="K115" s="18" t="n"/>
      <c r="L115" s="18">
        <f>IFERROR(VLOOKUP(A115,[1]按需!A$1:A$65536,1,FALSE),"")</f>
        <v/>
      </c>
      <c r="M115" s="18" t="inlineStr"/>
      <c r="N115" s="9" t="n"/>
      <c r="O115" s="9" t="n"/>
      <c r="P115" s="9" t="n"/>
      <c r="Q115" s="9" t="n"/>
      <c r="R115" s="9" t="n"/>
    </row>
    <row r="116">
      <c r="A116" s="15" t="inlineStr">
        <is>
          <t>SKU-B2C22E30</t>
        </is>
      </c>
      <c r="B116" s="15" t="n">
        <v>100</v>
      </c>
      <c r="C116" s="10" t="inlineStr">
        <is>
          <t>Product-5FF63CBE</t>
        </is>
      </c>
      <c r="D116" s="16" t="n">
        <v>3</v>
      </c>
      <c r="E116" s="12" t="n">
        <v>933</v>
      </c>
      <c r="F116" s="13" t="n">
        <v>706.712</v>
      </c>
      <c r="G116" s="20" t="inlineStr">
        <is>
          <t>T</t>
        </is>
      </c>
      <c r="H116" s="18" t="inlineStr"/>
      <c r="I116" s="16" t="inlineStr">
        <is>
          <t>Brand-Anonymized</t>
        </is>
      </c>
      <c r="J116" s="18" t="n">
        <v>200</v>
      </c>
      <c r="K116" s="18" t="n"/>
      <c r="L116" s="18">
        <f>IFERROR(VLOOKUP(A116,[1]按需!A$1:A$65536,1,FALSE),"")</f>
        <v/>
      </c>
      <c r="M116" s="18" t="inlineStr"/>
      <c r="N116" s="9" t="n"/>
      <c r="O116" s="9" t="n"/>
      <c r="P116" s="9" t="n"/>
      <c r="Q116" s="9" t="n"/>
      <c r="R116" s="9" t="n"/>
    </row>
    <row r="117">
      <c r="A117" s="15" t="inlineStr">
        <is>
          <t>SKU-F56BB5B7</t>
        </is>
      </c>
      <c r="B117" s="15" t="n">
        <v>100</v>
      </c>
      <c r="C117" s="10" t="inlineStr">
        <is>
          <t>Product-DD0EEB81</t>
        </is>
      </c>
      <c r="D117" s="16" t="n">
        <v>1</v>
      </c>
      <c r="E117" s="12" t="n">
        <v>100</v>
      </c>
      <c r="F117" s="13" t="n">
        <v>82.404</v>
      </c>
      <c r="G117" s="15" t="inlineStr">
        <is>
          <t>C</t>
        </is>
      </c>
      <c r="H117" s="18" t="inlineStr">
        <is>
          <t>方</t>
        </is>
      </c>
      <c r="I117" s="16" t="inlineStr">
        <is>
          <t>Brand-Anonymized</t>
        </is>
      </c>
      <c r="J117" s="18" t="n">
        <v>200</v>
      </c>
      <c r="K117" s="18" t="inlineStr">
        <is>
          <t>C</t>
        </is>
      </c>
      <c r="L117" s="18">
        <f>IFERROR(VLOOKUP(A117,[1]按需!A$1:A$65536,1,FALSE),"")</f>
        <v/>
      </c>
      <c r="M117" s="18" t="inlineStr">
        <is>
          <t>价</t>
        </is>
      </c>
      <c r="N117" s="9" t="n">
        <v>0</v>
      </c>
      <c r="O117" s="9" t="n">
        <v>0</v>
      </c>
      <c r="P117" s="9" t="n">
        <v>100</v>
      </c>
      <c r="Q117" s="9" t="n">
        <v>0</v>
      </c>
      <c r="R117" s="9" t="n">
        <v>0</v>
      </c>
    </row>
    <row r="118">
      <c r="A118" s="15" t="inlineStr">
        <is>
          <t>SKU-3F557AF3</t>
        </is>
      </c>
      <c r="B118" s="15" t="n">
        <v>100</v>
      </c>
      <c r="C118" s="10" t="inlineStr">
        <is>
          <t>Product-B7D004B8</t>
        </is>
      </c>
      <c r="D118" s="16" t="n">
        <v>1</v>
      </c>
      <c r="E118" s="12" t="n">
        <v>171.2</v>
      </c>
      <c r="F118" s="13" t="n">
        <v>83.392</v>
      </c>
      <c r="G118" s="15" t="inlineStr"/>
      <c r="H118" s="18" t="inlineStr">
        <is>
          <t>长</t>
        </is>
      </c>
      <c r="I118" s="16" t="inlineStr">
        <is>
          <t>Brand-Anonymized</t>
        </is>
      </c>
      <c r="J118" s="18" t="n">
        <v>200</v>
      </c>
      <c r="K118" s="18" t="inlineStr">
        <is>
          <t>C</t>
        </is>
      </c>
      <c r="L118" s="18">
        <f>IFERROR(VLOOKUP(A118,[1]按需!A$1:A$65536,1,FALSE),"")</f>
        <v/>
      </c>
      <c r="M118" s="18" t="inlineStr">
        <is>
          <t>价</t>
        </is>
      </c>
      <c r="N118" s="9" t="n"/>
      <c r="O118" s="9" t="n"/>
      <c r="P118" s="9" t="n"/>
      <c r="Q118" s="9" t="n"/>
      <c r="R118" s="9" t="n"/>
    </row>
    <row r="119">
      <c r="A119" s="15" t="inlineStr">
        <is>
          <t>SKU-B84F77F7</t>
        </is>
      </c>
      <c r="B119" s="15" t="n">
        <v>100</v>
      </c>
      <c r="C119" s="10" t="inlineStr">
        <is>
          <t>Product-12BB50D3</t>
        </is>
      </c>
      <c r="D119" s="16" t="n">
        <v>2</v>
      </c>
      <c r="E119" s="12" t="n">
        <v>250</v>
      </c>
      <c r="F119" s="13" t="n">
        <v>150.112</v>
      </c>
      <c r="G119" s="15" t="inlineStr">
        <is>
          <t>C</t>
        </is>
      </c>
      <c r="H119" s="18" t="inlineStr"/>
      <c r="I119" s="16" t="inlineStr">
        <is>
          <t>Brand-Anonymized</t>
        </is>
      </c>
      <c r="J119" s="18" t="n">
        <v>200</v>
      </c>
      <c r="K119" s="18" t="n"/>
      <c r="L119" s="18">
        <f>IFERROR(VLOOKUP(A119,[1]按需!A$1:A$65536,1,FALSE),"")</f>
        <v/>
      </c>
      <c r="M119" s="18" t="inlineStr">
        <is>
          <t>价</t>
        </is>
      </c>
      <c r="N119" s="9" t="n">
        <v>50</v>
      </c>
      <c r="O119" s="9" t="n">
        <v>50</v>
      </c>
      <c r="P119" s="9" t="n">
        <v>50</v>
      </c>
      <c r="Q119" s="9" t="n">
        <v>50</v>
      </c>
      <c r="R119" s="9" t="n">
        <v>50</v>
      </c>
    </row>
    <row r="120">
      <c r="A120" s="15" t="inlineStr">
        <is>
          <t>SKU-810E6D7D</t>
        </is>
      </c>
      <c r="B120" s="15" t="n">
        <v>100</v>
      </c>
      <c r="C120" s="10" t="inlineStr">
        <is>
          <t>Product-C780D3B4</t>
        </is>
      </c>
      <c r="D120" s="16" t="n">
        <v>1</v>
      </c>
      <c r="E120" s="12" t="n">
        <v>0</v>
      </c>
      <c r="F120" s="13" t="n">
        <v>0.92</v>
      </c>
      <c r="G120" s="15" t="inlineStr">
        <is>
          <t>X</t>
        </is>
      </c>
      <c r="H120" s="18" t="inlineStr">
        <is>
          <t>方</t>
        </is>
      </c>
      <c r="I120" s="16" t="inlineStr">
        <is>
          <t>Brand-Anonymized</t>
        </is>
      </c>
      <c r="J120" s="18" t="n">
        <v>200</v>
      </c>
      <c r="K120" s="18" t="inlineStr">
        <is>
          <t>C</t>
        </is>
      </c>
      <c r="L120" s="18">
        <f>IFERROR(VLOOKUP(A120,[1]按需!A$1:A$65536,1,FALSE),"")</f>
        <v/>
      </c>
      <c r="M120" s="18" t="inlineStr">
        <is>
          <t>价</t>
        </is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</row>
    <row r="121">
      <c r="A121" s="15" t="inlineStr">
        <is>
          <t>SKU-43A0FE0C</t>
        </is>
      </c>
      <c r="B121" s="15" t="n">
        <v>100</v>
      </c>
      <c r="C121" s="10" t="inlineStr">
        <is>
          <t>Product-48B5A7C4</t>
        </is>
      </c>
      <c r="D121" s="16" t="n">
        <v>1</v>
      </c>
      <c r="E121" s="12" t="n">
        <v>18</v>
      </c>
      <c r="F121" s="13" t="n">
        <v>2.856</v>
      </c>
      <c r="G121" s="15" t="inlineStr">
        <is>
          <t>X</t>
        </is>
      </c>
      <c r="H121" s="18" t="inlineStr">
        <is>
          <t>标</t>
        </is>
      </c>
      <c r="I121" s="16" t="inlineStr">
        <is>
          <t>Brand-Anonymized</t>
        </is>
      </c>
      <c r="J121" s="18" t="n">
        <v>200</v>
      </c>
      <c r="K121" s="18" t="inlineStr">
        <is>
          <t>C</t>
        </is>
      </c>
      <c r="L121" s="18">
        <f>IFERROR(VLOOKUP(A121,[1]按需!A$1:A$65536,1,FALSE),"")</f>
        <v/>
      </c>
      <c r="M121" s="18" t="inlineStr">
        <is>
          <t>价</t>
        </is>
      </c>
      <c r="N121" s="9" t="n">
        <v>0</v>
      </c>
      <c r="O121" s="9" t="n">
        <v>9.007999999999999</v>
      </c>
      <c r="P121" s="9" t="n">
        <v>0</v>
      </c>
      <c r="Q121" s="9" t="n">
        <v>8.992000000000001</v>
      </c>
      <c r="R121" s="9" t="n">
        <v>0</v>
      </c>
    </row>
    <row r="122">
      <c r="A122" s="15" t="inlineStr">
        <is>
          <t>SKU-3D7D2993</t>
        </is>
      </c>
      <c r="B122" s="15" t="n">
        <v>100</v>
      </c>
      <c r="C122" s="10" t="inlineStr">
        <is>
          <t>Product-E884C607</t>
        </is>
      </c>
      <c r="D122" s="16" t="n">
        <v>3</v>
      </c>
      <c r="E122" s="12" t="n">
        <v>26.2</v>
      </c>
      <c r="F122" s="13" t="n">
        <v>1.244</v>
      </c>
      <c r="G122" s="15" t="inlineStr"/>
      <c r="H122" s="18" t="inlineStr"/>
      <c r="I122" s="16" t="inlineStr">
        <is>
          <t>Brand-Anonymized</t>
        </is>
      </c>
      <c r="J122" s="18" t="n">
        <v>200</v>
      </c>
      <c r="K122" s="18" t="n"/>
      <c r="L122" s="18">
        <f>IFERROR(VLOOKUP(A122,[1]按需!A$1:A$65536,1,FALSE),"")</f>
        <v/>
      </c>
      <c r="M122" s="18" t="inlineStr"/>
      <c r="N122" s="9" t="n"/>
      <c r="O122" s="9" t="n"/>
      <c r="P122" s="9" t="n"/>
      <c r="Q122" s="9" t="n"/>
      <c r="R122" s="9" t="n"/>
    </row>
    <row r="123">
      <c r="A123" s="15" t="inlineStr">
        <is>
          <t>SKU-00283049</t>
        </is>
      </c>
      <c r="B123" s="15" t="n">
        <v>100</v>
      </c>
      <c r="C123" s="23" t="inlineStr">
        <is>
          <t>Product-BAE8A1A9</t>
        </is>
      </c>
      <c r="D123" s="31" t="n">
        <v>1</v>
      </c>
      <c r="E123" s="12" t="n">
        <v>0</v>
      </c>
      <c r="F123" s="13" t="n">
        <v>0</v>
      </c>
      <c r="G123" s="15" t="inlineStr"/>
      <c r="H123" s="18" t="inlineStr"/>
      <c r="I123" s="16" t="inlineStr">
        <is>
          <t>Brand-Anonymized</t>
        </is>
      </c>
      <c r="J123" s="18" t="n">
        <v>200</v>
      </c>
      <c r="K123" s="18" t="n"/>
      <c r="L123" s="18">
        <f>IFERROR(VLOOKUP(A123,[1]按需!A$1:A$65536,1,FALSE),"")</f>
        <v/>
      </c>
      <c r="M123" s="18" t="inlineStr"/>
      <c r="N123" s="9" t="n"/>
      <c r="O123" s="9" t="n"/>
      <c r="P123" s="9" t="n"/>
      <c r="Q123" s="9" t="n"/>
      <c r="R123" s="9" t="n"/>
    </row>
    <row r="124">
      <c r="A124" s="15" t="inlineStr">
        <is>
          <t>SKU-57DA0ABE</t>
        </is>
      </c>
      <c r="B124" s="15" t="n">
        <v>100</v>
      </c>
      <c r="C124" s="21" t="inlineStr">
        <is>
          <t>Product-5A310CDE</t>
        </is>
      </c>
      <c r="D124" s="31" t="n">
        <v>1</v>
      </c>
      <c r="E124" s="12" t="n">
        <v>10</v>
      </c>
      <c r="F124" s="13" t="n">
        <v>0</v>
      </c>
      <c r="G124" s="15" t="inlineStr">
        <is>
          <t>X</t>
        </is>
      </c>
      <c r="H124" s="18" t="inlineStr">
        <is>
          <t>细</t>
        </is>
      </c>
      <c r="I124" s="16" t="inlineStr">
        <is>
          <t>Brand-Anonymized</t>
        </is>
      </c>
      <c r="J124" s="18" t="n">
        <v>200</v>
      </c>
      <c r="K124" s="18" t="inlineStr">
        <is>
          <t>C</t>
        </is>
      </c>
      <c r="L124" s="18">
        <f>IFERROR(VLOOKUP(A124,[1]按需!A$1:A$65536,1,FALSE),"")</f>
        <v/>
      </c>
      <c r="M124" s="18" t="inlineStr"/>
      <c r="N124" s="9" t="n">
        <v>0</v>
      </c>
      <c r="O124" s="9" t="n">
        <v>0</v>
      </c>
      <c r="P124" s="9" t="n">
        <v>5</v>
      </c>
      <c r="Q124" s="9" t="n">
        <v>0</v>
      </c>
      <c r="R124" s="9" t="n">
        <v>5</v>
      </c>
    </row>
    <row r="125">
      <c r="A125" s="15" t="inlineStr">
        <is>
          <t>SKU-BB75DCA2</t>
        </is>
      </c>
      <c r="B125" s="15" t="n">
        <v>100</v>
      </c>
      <c r="C125" s="10" t="inlineStr">
        <is>
          <t>Product-BEB895B0</t>
        </is>
      </c>
      <c r="D125" s="16" t="n">
        <v>2</v>
      </c>
      <c r="E125" s="12" t="n">
        <v>17.3</v>
      </c>
      <c r="F125" s="13" t="n">
        <v>1.128</v>
      </c>
      <c r="G125" s="15" t="inlineStr"/>
      <c r="H125" s="18" t="inlineStr"/>
      <c r="I125" s="16" t="inlineStr">
        <is>
          <t>Brand-Anonymized</t>
        </is>
      </c>
      <c r="J125" s="18" t="n">
        <v>200</v>
      </c>
      <c r="K125" s="18" t="n"/>
      <c r="L125" s="18">
        <f>IFERROR(VLOOKUP(A125,[1]按需!A$1:A$65536,1,FALSE),"")</f>
        <v/>
      </c>
      <c r="M125" s="18" t="inlineStr">
        <is>
          <t>价</t>
        </is>
      </c>
      <c r="N125" s="9" t="n"/>
      <c r="O125" s="9" t="n"/>
      <c r="P125" s="9" t="n"/>
      <c r="Q125" s="9" t="n"/>
      <c r="R125" s="9" t="n"/>
    </row>
    <row r="126">
      <c r="A126" s="15" t="inlineStr">
        <is>
          <t>SKU-388666F4</t>
        </is>
      </c>
      <c r="B126" s="15" t="n">
        <v>100</v>
      </c>
      <c r="C126" s="24" t="inlineStr">
        <is>
          <t>Product-6CBA44B1</t>
        </is>
      </c>
      <c r="D126" s="16" t="n">
        <v>3</v>
      </c>
      <c r="E126" s="12" t="n">
        <v>0</v>
      </c>
      <c r="F126" s="13" t="n">
        <v>0</v>
      </c>
      <c r="G126" s="20" t="inlineStr"/>
      <c r="H126" s="18" t="inlineStr"/>
      <c r="I126" s="16" t="inlineStr">
        <is>
          <t>Brand-Anonymized</t>
        </is>
      </c>
      <c r="J126" s="18" t="n">
        <v>200</v>
      </c>
      <c r="K126" s="18" t="n"/>
      <c r="L126" s="18">
        <f>IFERROR(VLOOKUP(A126,[1]按需!A$1:A$65536,1,FALSE),"")</f>
        <v/>
      </c>
      <c r="M126" s="18" t="inlineStr"/>
      <c r="N126" s="9" t="n"/>
      <c r="O126" s="9" t="n"/>
      <c r="P126" s="9" t="n"/>
      <c r="Q126" s="9" t="n"/>
      <c r="R126" s="9" t="n"/>
    </row>
    <row r="127">
      <c r="A127" s="15" t="inlineStr">
        <is>
          <t>SKU-817B132C</t>
        </is>
      </c>
      <c r="B127" s="15" t="n">
        <v>100</v>
      </c>
      <c r="C127" s="10" t="inlineStr">
        <is>
          <t>Product-9CA542CA</t>
        </is>
      </c>
      <c r="D127" s="16" t="n">
        <v>3</v>
      </c>
      <c r="E127" s="12" t="n">
        <v>711</v>
      </c>
      <c r="F127" s="13" t="n">
        <v>334.364</v>
      </c>
      <c r="G127" s="20" t="inlineStr">
        <is>
          <t>T</t>
        </is>
      </c>
      <c r="H127" s="18" t="inlineStr"/>
      <c r="I127" s="16" t="inlineStr">
        <is>
          <t>Brand-Anonymized</t>
        </is>
      </c>
      <c r="J127" s="18" t="n">
        <v>200</v>
      </c>
      <c r="K127" s="18" t="n"/>
      <c r="L127" s="18">
        <f>IFERROR(VLOOKUP(A127,[1]按需!A$1:A$65536,1,FALSE),"")</f>
        <v/>
      </c>
      <c r="M127" s="18" t="inlineStr"/>
      <c r="N127" s="9" t="n"/>
      <c r="O127" s="9" t="n"/>
      <c r="P127" s="9" t="n"/>
      <c r="Q127" s="9" t="n"/>
      <c r="R127" s="9" t="n"/>
    </row>
    <row r="128">
      <c r="A128" s="15" t="inlineStr">
        <is>
          <t>SKU-CE68A1C3</t>
        </is>
      </c>
      <c r="B128" s="15" t="n">
        <v>100</v>
      </c>
      <c r="C128" s="10" t="inlineStr">
        <is>
          <t>Product-40217E2C</t>
        </is>
      </c>
      <c r="D128" s="16" t="n">
        <v>1</v>
      </c>
      <c r="E128" s="12" t="n">
        <v>54</v>
      </c>
      <c r="F128" s="13" t="n">
        <v>41.892</v>
      </c>
      <c r="G128" s="15" t="inlineStr">
        <is>
          <t>X</t>
        </is>
      </c>
      <c r="H128" s="18" t="inlineStr">
        <is>
          <t>细</t>
        </is>
      </c>
      <c r="I128" s="16" t="inlineStr">
        <is>
          <t>Brand-Anonymized</t>
        </is>
      </c>
      <c r="J128" s="18" t="n">
        <v>200</v>
      </c>
      <c r="K128" s="18" t="inlineStr">
        <is>
          <t>C</t>
        </is>
      </c>
      <c r="L128" s="18">
        <f>IFERROR(VLOOKUP(A128,[1]按需!A$1:A$65536,1,FALSE),"")</f>
        <v/>
      </c>
      <c r="M128" s="18" t="inlineStr"/>
      <c r="N128" s="9" t="inlineStr">
        <is>
          <t>0</t>
        </is>
      </c>
      <c r="O128" s="9" t="n">
        <v>27.012</v>
      </c>
      <c r="P128" s="9" t="n">
        <v>0</v>
      </c>
      <c r="Q128" s="9" t="n">
        <v>26.988</v>
      </c>
      <c r="R128" s="9" t="inlineStr">
        <is>
          <t>0</t>
        </is>
      </c>
    </row>
    <row r="129">
      <c r="A129" s="15" t="inlineStr">
        <is>
          <t>SKU-71660307</t>
        </is>
      </c>
      <c r="B129" s="15" t="n">
        <v>100</v>
      </c>
      <c r="C129" s="24" t="inlineStr">
        <is>
          <t>Product-72199E85</t>
        </is>
      </c>
      <c r="D129" s="16" t="n">
        <v>1</v>
      </c>
      <c r="E129" s="12" t="n">
        <v>0</v>
      </c>
      <c r="F129" s="13" t="n">
        <v>0</v>
      </c>
      <c r="G129" s="15" t="inlineStr"/>
      <c r="H129" s="18" t="inlineStr">
        <is>
          <t>方</t>
        </is>
      </c>
      <c r="I129" s="16" t="inlineStr">
        <is>
          <t>Brand-Anonymized</t>
        </is>
      </c>
      <c r="J129" s="18" t="n">
        <v>200</v>
      </c>
      <c r="K129" s="18" t="inlineStr">
        <is>
          <t>C</t>
        </is>
      </c>
      <c r="L129" s="18">
        <f>IFERROR(VLOOKUP(A129,[1]按需!A$1:A$65536,1,FALSE),"")</f>
        <v/>
      </c>
      <c r="M129" s="18" t="inlineStr"/>
      <c r="N129" s="9" t="n"/>
      <c r="O129" s="9" t="n"/>
      <c r="P129" s="9" t="n"/>
      <c r="Q129" s="9" t="n"/>
      <c r="R129" s="9" t="n"/>
    </row>
    <row r="130">
      <c r="A130" s="15" t="inlineStr">
        <is>
          <t>SKU-4945E111</t>
        </is>
      </c>
      <c r="B130" s="15" t="n">
        <v>100</v>
      </c>
      <c r="C130" s="10" t="inlineStr">
        <is>
          <t>Product-A927BD78</t>
        </is>
      </c>
      <c r="D130" s="16" t="n">
        <v>2</v>
      </c>
      <c r="E130" s="12" t="n">
        <v>570</v>
      </c>
      <c r="F130" s="13" t="n">
        <v>273.32</v>
      </c>
      <c r="G130" s="15" t="inlineStr">
        <is>
          <t>C</t>
        </is>
      </c>
      <c r="H130" s="18" t="inlineStr">
        <is>
          <t>长</t>
        </is>
      </c>
      <c r="I130" s="16" t="inlineStr">
        <is>
          <t>Brand-Anonymized</t>
        </is>
      </c>
      <c r="J130" s="18" t="n">
        <v>200</v>
      </c>
      <c r="K130" s="18" t="inlineStr">
        <is>
          <t>C</t>
        </is>
      </c>
      <c r="L130" s="18">
        <f>IFERROR(VLOOKUP(A130,[1]按需!A$1:A$65536,1,FALSE),"")</f>
        <v/>
      </c>
      <c r="M130" s="18" t="inlineStr">
        <is>
          <t>价</t>
        </is>
      </c>
      <c r="N130" s="9" t="n">
        <v>115</v>
      </c>
      <c r="O130" s="9" t="n">
        <v>115</v>
      </c>
      <c r="P130" s="9" t="n">
        <v>115</v>
      </c>
      <c r="Q130" s="9" t="n">
        <v>115</v>
      </c>
      <c r="R130" s="9" t="n">
        <v>110</v>
      </c>
    </row>
    <row r="131">
      <c r="A131" s="15" t="inlineStr">
        <is>
          <t>SKU-823A2107</t>
        </is>
      </c>
      <c r="B131" s="15" t="n">
        <v>100</v>
      </c>
      <c r="C131" s="10" t="inlineStr">
        <is>
          <t>Product-0D4369D8</t>
        </is>
      </c>
      <c r="D131" s="16" t="n">
        <v>2</v>
      </c>
      <c r="E131" s="12" t="n">
        <v>290</v>
      </c>
      <c r="F131" s="13" t="n">
        <v>145.728</v>
      </c>
      <c r="G131" s="15" t="inlineStr">
        <is>
          <t>C</t>
        </is>
      </c>
      <c r="H131" s="18" t="inlineStr">
        <is>
          <t>长</t>
        </is>
      </c>
      <c r="I131" s="16" t="inlineStr">
        <is>
          <t>Brand-Anonymized</t>
        </is>
      </c>
      <c r="J131" s="18" t="n">
        <v>200</v>
      </c>
      <c r="K131" s="18" t="inlineStr">
        <is>
          <t>C</t>
        </is>
      </c>
      <c r="L131" s="18">
        <f>IFERROR(VLOOKUP(A131,[1]按需!A$1:A$65536,1,FALSE),"")</f>
        <v/>
      </c>
      <c r="M131" s="18" t="inlineStr">
        <is>
          <t>价</t>
        </is>
      </c>
      <c r="N131" s="9" t="n">
        <v>60</v>
      </c>
      <c r="O131" s="9" t="n">
        <v>60.008</v>
      </c>
      <c r="P131" s="9" t="n">
        <v>60</v>
      </c>
      <c r="Q131" s="9" t="n">
        <v>60</v>
      </c>
      <c r="R131" s="9" t="n">
        <v>49.992</v>
      </c>
    </row>
    <row r="132">
      <c r="A132" s="15" t="inlineStr">
        <is>
          <t>SKU-C4DEF3A3</t>
        </is>
      </c>
      <c r="B132" s="15" t="n">
        <v>100</v>
      </c>
      <c r="C132" s="10" t="inlineStr">
        <is>
          <t>Product-49C45F99</t>
        </is>
      </c>
      <c r="D132" s="16" t="n">
        <v>1</v>
      </c>
      <c r="E132" s="12" t="n">
        <v>50</v>
      </c>
      <c r="F132" s="13" t="n">
        <v>46.692</v>
      </c>
      <c r="G132" s="15" t="inlineStr">
        <is>
          <t>C</t>
        </is>
      </c>
      <c r="H132" s="18" t="inlineStr">
        <is>
          <t>长</t>
        </is>
      </c>
      <c r="I132" s="16" t="inlineStr">
        <is>
          <t>Brand-Anonymized</t>
        </is>
      </c>
      <c r="J132" s="18" t="n">
        <v>200</v>
      </c>
      <c r="K132" s="18" t="inlineStr">
        <is>
          <t>C</t>
        </is>
      </c>
      <c r="L132" s="18">
        <f>IFERROR(VLOOKUP(A132,[1]按需!A$1:A$65536,1,FALSE),"")</f>
        <v/>
      </c>
      <c r="M132" s="18" t="inlineStr">
        <is>
          <t>价</t>
        </is>
      </c>
      <c r="N132" s="9" t="n">
        <v>0</v>
      </c>
      <c r="O132" s="9" t="n">
        <v>25.012</v>
      </c>
      <c r="P132" s="9" t="n">
        <v>0</v>
      </c>
      <c r="Q132" s="9" t="n">
        <v>24.988</v>
      </c>
      <c r="R132" s="9" t="n">
        <v>0</v>
      </c>
    </row>
    <row r="133">
      <c r="A133" s="15" t="inlineStr">
        <is>
          <t>SKU-02903B09</t>
        </is>
      </c>
      <c r="B133" s="15" t="n">
        <v>100</v>
      </c>
      <c r="C133" s="24" t="inlineStr">
        <is>
          <t>Product-F3B4F9FB</t>
        </is>
      </c>
      <c r="D133" s="31" t="n">
        <v>3</v>
      </c>
      <c r="E133" s="12" t="n">
        <v>0</v>
      </c>
      <c r="F133" s="13" t="n">
        <v>0</v>
      </c>
      <c r="G133" s="20" t="inlineStr"/>
      <c r="H133" s="18" t="inlineStr"/>
      <c r="I133" s="16" t="inlineStr">
        <is>
          <t>Brand-Anonymized</t>
        </is>
      </c>
      <c r="J133" s="18" t="n">
        <v>200</v>
      </c>
      <c r="K133" s="18" t="n"/>
      <c r="L133" s="18">
        <f>IFERROR(VLOOKUP(A133,[1]按需!A$1:A$65536,1,FALSE),"")</f>
        <v/>
      </c>
      <c r="M133" s="18" t="inlineStr"/>
      <c r="N133" s="9" t="n"/>
      <c r="O133" s="9" t="n"/>
      <c r="P133" s="9" t="n"/>
      <c r="Q133" s="9" t="n"/>
      <c r="R133" s="9" t="n"/>
    </row>
    <row r="134">
      <c r="A134" s="15" t="inlineStr">
        <is>
          <t>SKU-D7B2F623</t>
        </is>
      </c>
      <c r="B134" s="15" t="n">
        <v>100</v>
      </c>
      <c r="C134" s="24" t="inlineStr">
        <is>
          <t>Product-419EF208</t>
        </is>
      </c>
      <c r="D134" s="16" t="n">
        <v>3</v>
      </c>
      <c r="E134" s="12" t="n">
        <v>0</v>
      </c>
      <c r="F134" s="13" t="n">
        <v>0</v>
      </c>
      <c r="G134" s="15" t="inlineStr"/>
      <c r="H134" s="18" t="inlineStr">
        <is>
          <t>标</t>
        </is>
      </c>
      <c r="I134" s="16" t="inlineStr">
        <is>
          <t>Brand-Anonymized</t>
        </is>
      </c>
      <c r="J134" s="18" t="n">
        <v>200</v>
      </c>
      <c r="K134" s="18" t="inlineStr">
        <is>
          <t>C</t>
        </is>
      </c>
      <c r="L134" s="18">
        <f>IFERROR(VLOOKUP(A134,[1]按需!A$1:A$65536,1,FALSE),"")</f>
        <v/>
      </c>
      <c r="M134" s="18" t="inlineStr"/>
      <c r="N134" s="9" t="n"/>
      <c r="O134" s="9" t="n"/>
      <c r="P134" s="9" t="n"/>
      <c r="Q134" s="9" t="n"/>
      <c r="R134" s="9" t="n"/>
    </row>
    <row r="135">
      <c r="A135" s="15" t="inlineStr">
        <is>
          <t>SKU-5C6A175C</t>
        </is>
      </c>
      <c r="B135" s="15" t="n">
        <v>100</v>
      </c>
      <c r="C135" s="10" t="inlineStr">
        <is>
          <t>Product-F200B9C7</t>
        </is>
      </c>
      <c r="D135" s="16" t="n">
        <v>2</v>
      </c>
      <c r="E135" s="12" t="n">
        <v>132.744</v>
      </c>
      <c r="F135" s="13" t="n">
        <v>2.348</v>
      </c>
      <c r="G135" s="15" t="inlineStr"/>
      <c r="H135" s="18" t="inlineStr">
        <is>
          <t>细</t>
        </is>
      </c>
      <c r="I135" s="16" t="inlineStr">
        <is>
          <t>Brand-Anonymized</t>
        </is>
      </c>
      <c r="J135" s="18" t="n">
        <v>200</v>
      </c>
      <c r="K135" s="18" t="inlineStr">
        <is>
          <t>C</t>
        </is>
      </c>
      <c r="L135" s="18">
        <f>IFERROR(VLOOKUP(A135,[1]按需!A$1:A$65536,1,FALSE),"")</f>
        <v/>
      </c>
      <c r="M135" s="18" t="inlineStr">
        <is>
          <t>价</t>
        </is>
      </c>
      <c r="N135" s="9" t="n"/>
      <c r="O135" s="9" t="n"/>
      <c r="P135" s="28" t="n"/>
      <c r="Q135" s="9" t="n"/>
      <c r="R135" s="9" t="n"/>
    </row>
    <row r="136">
      <c r="A136" s="15" t="inlineStr">
        <is>
          <t>SKU-C6295A43</t>
        </is>
      </c>
      <c r="B136" s="15" t="n">
        <v>100</v>
      </c>
      <c r="C136" s="19" t="inlineStr">
        <is>
          <t>Product-C41500E8</t>
        </is>
      </c>
      <c r="D136" s="16" t="n">
        <v>1</v>
      </c>
      <c r="E136" s="12" t="n">
        <v>0</v>
      </c>
      <c r="F136" s="13" t="n">
        <v>0</v>
      </c>
      <c r="G136" s="15" t="inlineStr"/>
      <c r="H136" s="18" t="inlineStr">
        <is>
          <t>方</t>
        </is>
      </c>
      <c r="I136" s="16" t="inlineStr">
        <is>
          <t>Brand-Anonymized</t>
        </is>
      </c>
      <c r="J136" s="18" t="n">
        <v>200</v>
      </c>
      <c r="K136" s="18" t="inlineStr">
        <is>
          <t>C</t>
        </is>
      </c>
      <c r="L136" s="18">
        <f>IFERROR(VLOOKUP(A136,[1]按需!A$1:A$65536,1,FALSE),"")</f>
        <v/>
      </c>
      <c r="M136" s="18" t="inlineStr"/>
      <c r="N136" s="9" t="n"/>
      <c r="O136" s="9" t="n"/>
      <c r="P136" s="9" t="n"/>
      <c r="Q136" s="9" t="n"/>
      <c r="R136" s="9" t="n"/>
    </row>
    <row r="137">
      <c r="A137" s="15" t="inlineStr">
        <is>
          <t>SKU-68E2C9C2</t>
        </is>
      </c>
      <c r="B137" s="15" t="n">
        <v>100</v>
      </c>
      <c r="C137" s="10" t="inlineStr">
        <is>
          <t>Product-61D75507</t>
        </is>
      </c>
      <c r="D137" s="16" t="n">
        <v>1</v>
      </c>
      <c r="E137" s="12" t="n">
        <v>21.5</v>
      </c>
      <c r="F137" s="13" t="n">
        <v>24.644</v>
      </c>
      <c r="G137" s="15" t="inlineStr"/>
      <c r="H137" s="18" t="inlineStr"/>
      <c r="I137" s="16" t="inlineStr">
        <is>
          <t>Brand-Anonymized</t>
        </is>
      </c>
      <c r="J137" s="18" t="n">
        <v>200</v>
      </c>
      <c r="K137" s="18" t="n"/>
      <c r="L137" s="18">
        <f>IFERROR(VLOOKUP(A137,[1]按需!A$1:A$65536,1,FALSE),"")</f>
        <v/>
      </c>
      <c r="M137" s="18" t="inlineStr">
        <is>
          <t>价</t>
        </is>
      </c>
      <c r="N137" s="9" t="n"/>
      <c r="O137" s="9" t="n"/>
      <c r="P137" s="9" t="n"/>
      <c r="Q137" s="9" t="n"/>
      <c r="R137" s="9" t="n"/>
    </row>
    <row r="138">
      <c r="A138" s="15" t="inlineStr">
        <is>
          <t>SKU-3821C959</t>
        </is>
      </c>
      <c r="B138" s="15" t="n">
        <v>100</v>
      </c>
      <c r="C138" s="10" t="inlineStr">
        <is>
          <t>Product-E665821D</t>
        </is>
      </c>
      <c r="D138" s="16" t="n">
        <v>1</v>
      </c>
      <c r="E138" s="12" t="n">
        <v>18</v>
      </c>
      <c r="F138" s="13" t="n">
        <v>16.272</v>
      </c>
      <c r="G138" s="15" t="inlineStr">
        <is>
          <t>X</t>
        </is>
      </c>
      <c r="H138" s="18" t="inlineStr">
        <is>
          <t>标</t>
        </is>
      </c>
      <c r="I138" s="16" t="inlineStr">
        <is>
          <t>Brand-Anonymized</t>
        </is>
      </c>
      <c r="J138" s="18" t="n">
        <v>200</v>
      </c>
      <c r="K138" s="18" t="inlineStr">
        <is>
          <t>C</t>
        </is>
      </c>
      <c r="L138" s="18">
        <f>IFERROR(VLOOKUP(A138,[1]按需!A$1:A$65536,1,FALSE),"")</f>
        <v/>
      </c>
      <c r="M138" s="18" t="inlineStr">
        <is>
          <t>价</t>
        </is>
      </c>
      <c r="N138" s="9" t="n">
        <v>0</v>
      </c>
      <c r="O138" s="9" t="n">
        <v>9.007999999999999</v>
      </c>
      <c r="P138" s="9" t="n">
        <v>0</v>
      </c>
      <c r="Q138" s="9" t="n">
        <v>8.992000000000001</v>
      </c>
      <c r="R138" s="9" t="n">
        <v>0</v>
      </c>
    </row>
    <row r="139">
      <c r="A139" s="15" t="inlineStr">
        <is>
          <t>SKU-22F094B2</t>
        </is>
      </c>
      <c r="B139" s="15" t="n">
        <v>100</v>
      </c>
      <c r="C139" s="10" t="inlineStr">
        <is>
          <t>Product-A2C9FA4B</t>
        </is>
      </c>
      <c r="D139" s="16" t="n">
        <v>3</v>
      </c>
      <c r="E139" s="12" t="n">
        <v>70</v>
      </c>
      <c r="F139" s="13" t="n">
        <v>40.564</v>
      </c>
      <c r="G139" s="20" t="inlineStr">
        <is>
          <t>T</t>
        </is>
      </c>
      <c r="H139" s="18" t="inlineStr">
        <is>
          <t>标</t>
        </is>
      </c>
      <c r="I139" s="16" t="inlineStr">
        <is>
          <t>Brand-Anonymized</t>
        </is>
      </c>
      <c r="J139" s="18" t="n">
        <v>200</v>
      </c>
      <c r="K139" s="18" t="inlineStr">
        <is>
          <t>C</t>
        </is>
      </c>
      <c r="L139" s="18">
        <f>IFERROR(VLOOKUP(A139,[1]按需!A$1:A$65536,1,FALSE),"")</f>
        <v/>
      </c>
      <c r="M139" s="18" t="inlineStr"/>
      <c r="N139" s="9" t="n"/>
      <c r="O139" s="9" t="n"/>
      <c r="P139" s="9" t="n"/>
      <c r="Q139" s="9" t="n"/>
      <c r="R139" s="9" t="n"/>
    </row>
    <row r="140">
      <c r="A140" s="15" t="inlineStr">
        <is>
          <t>SKU-A00C82DC</t>
        </is>
      </c>
      <c r="B140" s="15" t="n">
        <v>100</v>
      </c>
      <c r="C140" s="10" t="inlineStr">
        <is>
          <t>Product-C42233E0</t>
        </is>
      </c>
      <c r="D140" s="16" t="n">
        <v>1</v>
      </c>
      <c r="E140" s="12" t="n">
        <v>0</v>
      </c>
      <c r="F140" s="13" t="n">
        <v>2.004</v>
      </c>
      <c r="G140" s="15" t="inlineStr">
        <is>
          <t>X</t>
        </is>
      </c>
      <c r="H140" s="18" t="inlineStr">
        <is>
          <t>长</t>
        </is>
      </c>
      <c r="I140" s="16" t="inlineStr">
        <is>
          <t>Brand-Anonymized</t>
        </is>
      </c>
      <c r="J140" s="18" t="n">
        <v>200</v>
      </c>
      <c r="K140" s="18" t="inlineStr">
        <is>
          <t>C</t>
        </is>
      </c>
      <c r="L140" s="32" t="inlineStr">
        <is>
          <t>需</t>
        </is>
      </c>
      <c r="M140" s="18" t="inlineStr"/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</row>
    <row r="141">
      <c r="A141" s="15" t="inlineStr">
        <is>
          <t>SKU-85EB87C2</t>
        </is>
      </c>
      <c r="B141" s="15" t="n">
        <v>100</v>
      </c>
      <c r="C141" s="23" t="inlineStr">
        <is>
          <t>Product-21719E56</t>
        </is>
      </c>
      <c r="D141" s="16" t="n">
        <v>3</v>
      </c>
      <c r="E141" s="12" t="n">
        <v>0</v>
      </c>
      <c r="F141" s="13" t="n">
        <v>0</v>
      </c>
      <c r="G141" s="20" t="inlineStr"/>
      <c r="H141" s="18" t="inlineStr"/>
      <c r="I141" s="16" t="inlineStr">
        <is>
          <t>Brand-Anonymized</t>
        </is>
      </c>
      <c r="J141" s="18" t="n">
        <v>200</v>
      </c>
      <c r="K141" s="18" t="n"/>
      <c r="L141" s="18">
        <f>IFERROR(VLOOKUP(A141,[1]按需!A$1:A$65536,1,FALSE),"")</f>
        <v/>
      </c>
      <c r="M141" s="18" t="inlineStr"/>
      <c r="N141" s="9" t="n"/>
      <c r="O141" s="9" t="n"/>
      <c r="P141" s="9" t="n"/>
      <c r="Q141" s="9" t="n"/>
      <c r="R141" s="9" t="n"/>
    </row>
    <row r="142">
      <c r="A142" s="15" t="inlineStr">
        <is>
          <t>SKU-D52742FC</t>
        </is>
      </c>
      <c r="B142" s="15" t="n">
        <v>100</v>
      </c>
      <c r="C142" s="10" t="inlineStr">
        <is>
          <t>Product-651736B9</t>
        </is>
      </c>
      <c r="D142" s="16" t="n">
        <v>1</v>
      </c>
      <c r="E142" s="12" t="n">
        <v>139.9</v>
      </c>
      <c r="F142" s="13" t="n">
        <v>40.872</v>
      </c>
      <c r="G142" s="15" t="inlineStr"/>
      <c r="H142" s="18" t="inlineStr"/>
      <c r="I142" s="16" t="inlineStr">
        <is>
          <t>Brand-Anonymized</t>
        </is>
      </c>
      <c r="J142" s="18" t="n">
        <v>200</v>
      </c>
      <c r="K142" s="18" t="n"/>
      <c r="L142" s="18">
        <f>IFERROR(VLOOKUP(A142,[1]按需!A$1:A$65536,1,FALSE),"")</f>
        <v/>
      </c>
      <c r="M142" s="18" t="inlineStr">
        <is>
          <t>价</t>
        </is>
      </c>
      <c r="N142" s="9" t="n"/>
      <c r="O142" s="9" t="n"/>
      <c r="P142" s="9" t="n"/>
      <c r="Q142" s="9" t="n"/>
      <c r="R142" s="9" t="n"/>
    </row>
    <row r="143">
      <c r="A143" s="15" t="inlineStr">
        <is>
          <t>SKU-D4326C5A</t>
        </is>
      </c>
      <c r="B143" s="15" t="n">
        <v>100</v>
      </c>
      <c r="C143" s="10" t="inlineStr">
        <is>
          <t>Product-E1F8C543</t>
        </is>
      </c>
      <c r="D143" s="16" t="n">
        <v>3</v>
      </c>
      <c r="E143" s="12" t="n">
        <v>976</v>
      </c>
      <c r="F143" s="13" t="n">
        <v>313.78</v>
      </c>
      <c r="G143" s="15" t="inlineStr"/>
      <c r="H143" s="18" t="inlineStr"/>
      <c r="I143" s="16" t="inlineStr">
        <is>
          <t>Brand-Anonymized</t>
        </is>
      </c>
      <c r="J143" s="18" t="n">
        <v>200</v>
      </c>
      <c r="K143" s="18" t="n"/>
      <c r="L143" s="18">
        <f>IFERROR(VLOOKUP(A143,[1]按需!A$1:A$65536,1,FALSE),"")</f>
        <v/>
      </c>
      <c r="M143" s="18" t="inlineStr"/>
      <c r="N143" s="9" t="n"/>
      <c r="O143" s="9" t="n"/>
      <c r="P143" s="9" t="n"/>
      <c r="Q143" s="9" t="n"/>
      <c r="R143" s="9" t="n"/>
    </row>
    <row r="144">
      <c r="A144" s="15" t="inlineStr">
        <is>
          <t>SKU-7882C790</t>
        </is>
      </c>
      <c r="B144" s="15" t="n">
        <v>100</v>
      </c>
      <c r="C144" s="23" t="inlineStr">
        <is>
          <t>Product-F864C796</t>
        </is>
      </c>
      <c r="D144" s="16" t="n">
        <v>3</v>
      </c>
      <c r="E144" s="12" t="n">
        <v>0</v>
      </c>
      <c r="F144" s="13" t="n">
        <v>0</v>
      </c>
      <c r="G144" s="15" t="inlineStr"/>
      <c r="H144" s="18" t="inlineStr"/>
      <c r="I144" s="16" t="inlineStr">
        <is>
          <t>Brand-Anonymized</t>
        </is>
      </c>
      <c r="J144" s="18" t="n">
        <v>200</v>
      </c>
      <c r="K144" s="18" t="n"/>
      <c r="L144" s="18">
        <f>IFERROR(VLOOKUP(A144,[1]按需!A$1:A$65536,1,FALSE),"")</f>
        <v/>
      </c>
      <c r="M144" s="18" t="inlineStr"/>
      <c r="N144" s="9" t="n"/>
      <c r="O144" s="9" t="n"/>
      <c r="P144" s="9" t="n"/>
      <c r="Q144" s="9" t="n"/>
      <c r="R144" s="9" t="n"/>
    </row>
    <row r="145">
      <c r="A145" s="15" t="inlineStr">
        <is>
          <t>SKU-9A453BC6</t>
        </is>
      </c>
      <c r="B145" s="15" t="n">
        <v>100</v>
      </c>
      <c r="C145" s="10" t="inlineStr">
        <is>
          <t>Product-C344580B</t>
        </is>
      </c>
      <c r="D145" s="16" t="n">
        <v>2</v>
      </c>
      <c r="E145" s="12" t="n">
        <v>296.2</v>
      </c>
      <c r="F145" s="13" t="n">
        <v>184.092</v>
      </c>
      <c r="G145" s="15" t="inlineStr"/>
      <c r="H145" s="18" t="inlineStr"/>
      <c r="I145" s="16" t="inlineStr">
        <is>
          <t>Brand-Anonymized</t>
        </is>
      </c>
      <c r="J145" s="18" t="n">
        <v>200</v>
      </c>
      <c r="K145" s="18" t="n"/>
      <c r="L145" s="18">
        <f>IFERROR(VLOOKUP(A145,[1]按需!A$1:A$65536,1,FALSE),"")</f>
        <v/>
      </c>
      <c r="M145" s="18" t="inlineStr">
        <is>
          <t>价</t>
        </is>
      </c>
      <c r="N145" s="9" t="n"/>
      <c r="O145" s="9" t="n"/>
      <c r="P145" s="9" t="n"/>
      <c r="Q145" s="9" t="n"/>
      <c r="R145" s="9" t="n"/>
    </row>
    <row r="146">
      <c r="A146" s="15" t="inlineStr">
        <is>
          <t>SKU-EE07E257</t>
        </is>
      </c>
      <c r="B146" s="15" t="n">
        <v>100</v>
      </c>
      <c r="C146" s="10" t="inlineStr">
        <is>
          <t>Product-1F0D9429</t>
        </is>
      </c>
      <c r="D146" s="16" t="n">
        <v>2</v>
      </c>
      <c r="E146" s="12" t="n">
        <v>558</v>
      </c>
      <c r="F146" s="13" t="n">
        <v>306.984</v>
      </c>
      <c r="G146" s="15" t="inlineStr"/>
      <c r="H146" s="18" t="inlineStr">
        <is>
          <t>细</t>
        </is>
      </c>
      <c r="I146" s="16" t="inlineStr">
        <is>
          <t>Brand-Anonymized</t>
        </is>
      </c>
      <c r="J146" s="18" t="n">
        <v>200</v>
      </c>
      <c r="K146" s="18" t="inlineStr">
        <is>
          <t>C</t>
        </is>
      </c>
      <c r="L146" s="18">
        <f>IFERROR(VLOOKUP(A146,[1]按需!A$1:A$65536,1,FALSE),"")</f>
        <v/>
      </c>
      <c r="M146" s="18" t="inlineStr">
        <is>
          <t>价</t>
        </is>
      </c>
      <c r="N146" s="9" t="n"/>
      <c r="O146" s="9" t="n"/>
      <c r="P146" s="9" t="n"/>
      <c r="Q146" s="9" t="n"/>
      <c r="R146" s="9" t="n"/>
    </row>
    <row r="147">
      <c r="A147" s="33" t="inlineStr">
        <is>
          <t>SKU-49DCD58C</t>
        </is>
      </c>
      <c r="B147" s="15" t="n">
        <v>100</v>
      </c>
      <c r="C147" s="19" t="inlineStr">
        <is>
          <t>Product-BF9865D9</t>
        </is>
      </c>
      <c r="D147" s="16" t="n">
        <v>1</v>
      </c>
      <c r="E147" s="12" t="n">
        <v>0</v>
      </c>
      <c r="F147" s="13" t="n">
        <v>0</v>
      </c>
      <c r="G147" s="34" t="inlineStr"/>
      <c r="H147" s="35" t="inlineStr">
        <is>
          <t>方</t>
        </is>
      </c>
      <c r="I147" s="36" t="inlineStr">
        <is>
          <t>Brand-Anonymized</t>
        </is>
      </c>
      <c r="J147" s="35" t="n">
        <v>200</v>
      </c>
      <c r="K147" s="35" t="inlineStr">
        <is>
          <t>C</t>
        </is>
      </c>
      <c r="L147" s="35">
        <f>IFERROR(VLOOKUP(A147,[1]按需!A$1:A$65536,1,FALSE),"")</f>
        <v/>
      </c>
      <c r="M147" s="35" t="inlineStr"/>
      <c r="N147" s="9" t="n"/>
      <c r="O147" s="9" t="n"/>
      <c r="P147" s="9" t="n"/>
      <c r="Q147" s="9" t="n"/>
      <c r="R147" s="9" t="n"/>
    </row>
    <row r="148">
      <c r="A148" s="15" t="inlineStr">
        <is>
          <t>SKU-5D621FD4</t>
        </is>
      </c>
      <c r="B148" s="15" t="n">
        <v>100</v>
      </c>
      <c r="C148" s="10" t="inlineStr">
        <is>
          <t>Product-26631748</t>
        </is>
      </c>
      <c r="D148" s="16" t="n">
        <v>1</v>
      </c>
      <c r="E148" s="12" t="n">
        <v>18.3</v>
      </c>
      <c r="F148" s="13" t="n">
        <v>4.8</v>
      </c>
      <c r="G148" s="34" t="inlineStr"/>
      <c r="H148" s="35" t="inlineStr">
        <is>
          <t>细</t>
        </is>
      </c>
      <c r="I148" s="36" t="inlineStr">
        <is>
          <t>Brand-Anonymized</t>
        </is>
      </c>
      <c r="J148" s="35" t="n">
        <v>200</v>
      </c>
      <c r="K148" s="35" t="inlineStr">
        <is>
          <t>C</t>
        </is>
      </c>
      <c r="L148" s="35">
        <f>IFERROR(VLOOKUP(A148,[1]按需!A$1:A$65536,1,FALSE),"")</f>
        <v/>
      </c>
      <c r="M148" s="35" t="inlineStr">
        <is>
          <t>价</t>
        </is>
      </c>
      <c r="N148" s="9" t="n"/>
      <c r="O148" s="9" t="n"/>
      <c r="P148" s="9" t="n"/>
      <c r="Q148" s="9" t="n"/>
      <c r="R148" s="9" t="n"/>
    </row>
    <row r="149">
      <c r="A149" s="15" t="inlineStr">
        <is>
          <t>SKU-CA16AEB9</t>
        </is>
      </c>
      <c r="B149" s="15" t="n">
        <v>100</v>
      </c>
      <c r="C149" s="10" t="inlineStr">
        <is>
          <t>Product-4B7D4BD1</t>
        </is>
      </c>
      <c r="D149" s="16" t="n">
        <v>1</v>
      </c>
      <c r="E149" s="12" t="n">
        <v>7</v>
      </c>
      <c r="F149" s="13" t="n">
        <v>0.888</v>
      </c>
      <c r="G149" s="15" t="inlineStr">
        <is>
          <t>C</t>
        </is>
      </c>
      <c r="H149" s="18" t="inlineStr">
        <is>
          <t>细</t>
        </is>
      </c>
      <c r="I149" s="16" t="inlineStr">
        <is>
          <t>Brand-Anonymized</t>
        </is>
      </c>
      <c r="J149" s="18" t="n">
        <v>200</v>
      </c>
      <c r="K149" s="18" t="inlineStr">
        <is>
          <t>C</t>
        </is>
      </c>
      <c r="L149" s="32" t="inlineStr">
        <is>
          <t>需</t>
        </is>
      </c>
      <c r="M149" s="18" t="inlineStr">
        <is>
          <t>价</t>
        </is>
      </c>
      <c r="N149" s="9" t="n">
        <v>0</v>
      </c>
      <c r="O149" s="9" t="n">
        <v>7</v>
      </c>
      <c r="P149" s="9" t="n">
        <v>0</v>
      </c>
      <c r="Q149" s="9" t="n">
        <v>0</v>
      </c>
      <c r="R149" s="9" t="n">
        <v>0</v>
      </c>
    </row>
    <row r="150">
      <c r="A150" s="15" t="inlineStr">
        <is>
          <t>SKU-8ED723E3</t>
        </is>
      </c>
      <c r="B150" s="15" t="n">
        <v>100</v>
      </c>
      <c r="C150" s="10" t="inlineStr">
        <is>
          <t>Product-E8BD5CCF</t>
        </is>
      </c>
      <c r="D150" s="16" t="n">
        <v>1</v>
      </c>
      <c r="E150" s="12" t="n">
        <v>180</v>
      </c>
      <c r="F150" s="13" t="n">
        <v>62.344</v>
      </c>
      <c r="G150" s="15" t="inlineStr">
        <is>
          <t>X</t>
        </is>
      </c>
      <c r="H150" s="18" t="inlineStr">
        <is>
          <t>细</t>
        </is>
      </c>
      <c r="I150" s="16" t="inlineStr">
        <is>
          <t>Brand-Anonymized</t>
        </is>
      </c>
      <c r="J150" s="18" t="n">
        <v>200</v>
      </c>
      <c r="K150" s="18" t="inlineStr">
        <is>
          <t>C</t>
        </is>
      </c>
      <c r="L150" s="18">
        <f>IFERROR(VLOOKUP(A150,[1]按需!A$1:A$65536,1,FALSE),"")</f>
        <v/>
      </c>
      <c r="M150" s="18" t="inlineStr">
        <is>
          <t>价</t>
        </is>
      </c>
      <c r="N150" s="9" t="n">
        <v>60</v>
      </c>
      <c r="O150" s="9" t="n">
        <v>0</v>
      </c>
      <c r="P150" s="9" t="n">
        <v>60</v>
      </c>
      <c r="Q150" s="9" t="n">
        <v>0</v>
      </c>
      <c r="R150" s="9" t="n">
        <v>60</v>
      </c>
    </row>
    <row r="151">
      <c r="A151" s="15" t="inlineStr">
        <is>
          <t>SKU-DBA86E65</t>
        </is>
      </c>
      <c r="B151" s="15" t="n">
        <v>100</v>
      </c>
      <c r="C151" s="21" t="inlineStr">
        <is>
          <t>Product-621BB3A5</t>
        </is>
      </c>
      <c r="D151" s="16" t="n">
        <v>1</v>
      </c>
      <c r="E151" s="12" t="n">
        <v>5</v>
      </c>
      <c r="F151" s="13" t="n">
        <v>0.296</v>
      </c>
      <c r="G151" s="15" t="inlineStr">
        <is>
          <t>X</t>
        </is>
      </c>
      <c r="H151" s="18" t="inlineStr">
        <is>
          <t>标</t>
        </is>
      </c>
      <c r="I151" s="16" t="inlineStr">
        <is>
          <t>Brand-Anonymized</t>
        </is>
      </c>
      <c r="J151" s="18" t="n">
        <v>200</v>
      </c>
      <c r="K151" s="18" t="inlineStr">
        <is>
          <t>C</t>
        </is>
      </c>
      <c r="L151" s="18">
        <f>IFERROR(VLOOKUP(A151,[1]按需!A$1:A$65536,1,FALSE),"")</f>
        <v/>
      </c>
      <c r="M151" s="18" t="inlineStr"/>
      <c r="N151" s="9" t="n">
        <v>0</v>
      </c>
      <c r="O151" s="9" t="n">
        <v>0</v>
      </c>
      <c r="P151" s="9" t="n">
        <v>0</v>
      </c>
      <c r="Q151" s="9" t="n">
        <v>5</v>
      </c>
      <c r="R151" s="9" t="n">
        <v>0</v>
      </c>
    </row>
    <row r="152">
      <c r="A152" s="15" t="inlineStr">
        <is>
          <t>SKU-B757BD73</t>
        </is>
      </c>
      <c r="B152" s="15" t="n">
        <v>100</v>
      </c>
      <c r="C152" s="21" t="inlineStr">
        <is>
          <t>Product-3A2FFD27</t>
        </is>
      </c>
      <c r="D152" s="16" t="n">
        <v>3</v>
      </c>
      <c r="E152" s="12" t="n">
        <v>613</v>
      </c>
      <c r="F152" s="13" t="n">
        <v>302.98</v>
      </c>
      <c r="G152" s="20" t="inlineStr">
        <is>
          <t>T</t>
        </is>
      </c>
      <c r="H152" s="18" t="inlineStr"/>
      <c r="I152" s="16" t="inlineStr">
        <is>
          <t>Brand-Anonymized</t>
        </is>
      </c>
      <c r="J152" s="18" t="n">
        <v>200</v>
      </c>
      <c r="K152" s="18" t="n"/>
      <c r="L152" s="18">
        <f>IFERROR(VLOOKUP(A152,[1]按需!A$1:A$65536,1,FALSE),"")</f>
        <v/>
      </c>
      <c r="M152" s="18" t="inlineStr"/>
      <c r="N152" s="9" t="n"/>
      <c r="O152" s="9" t="n"/>
      <c r="P152" s="9" t="n"/>
      <c r="Q152" s="9" t="n"/>
      <c r="R152" s="9" t="n"/>
    </row>
    <row r="153">
      <c r="A153" s="15" t="inlineStr">
        <is>
          <t>SKU-73F9B5D4</t>
        </is>
      </c>
      <c r="B153" s="15" t="n">
        <v>100</v>
      </c>
      <c r="C153" s="23" t="inlineStr">
        <is>
          <t>Product-E50899B3</t>
        </is>
      </c>
      <c r="D153" s="16" t="n">
        <v>2</v>
      </c>
      <c r="E153" s="12" t="n">
        <v>0</v>
      </c>
      <c r="F153" s="13" t="n">
        <v>0</v>
      </c>
      <c r="G153" s="15" t="inlineStr"/>
      <c r="H153" s="18" t="inlineStr"/>
      <c r="I153" s="16" t="inlineStr">
        <is>
          <t>Brand-Anonymized</t>
        </is>
      </c>
      <c r="J153" s="18" t="n">
        <v>200</v>
      </c>
      <c r="K153" s="18" t="n"/>
      <c r="L153" s="18">
        <f>IFERROR(VLOOKUP(A153,[1]按需!A$1:A$65536,1,FALSE),"")</f>
        <v/>
      </c>
      <c r="M153" s="18" t="inlineStr"/>
      <c r="N153" s="9" t="n"/>
      <c r="O153" s="9" t="n"/>
      <c r="P153" s="9" t="n"/>
      <c r="Q153" s="9" t="n"/>
      <c r="R153" s="9" t="n"/>
    </row>
    <row r="154">
      <c r="A154" s="15" t="inlineStr">
        <is>
          <t>SKU-7C4AE0E1</t>
        </is>
      </c>
      <c r="B154" s="15" t="n">
        <v>100</v>
      </c>
      <c r="C154" s="10" t="inlineStr">
        <is>
          <t>Product-69803ED8</t>
        </is>
      </c>
      <c r="D154" s="16" t="n">
        <v>1</v>
      </c>
      <c r="E154" s="12" t="n">
        <v>27</v>
      </c>
      <c r="F154" s="26" t="n">
        <v>16.764</v>
      </c>
      <c r="G154" s="15" t="inlineStr">
        <is>
          <t>C</t>
        </is>
      </c>
      <c r="H154" s="18" t="inlineStr">
        <is>
          <t>长</t>
        </is>
      </c>
      <c r="I154" s="16" t="inlineStr">
        <is>
          <t>Brand-Anonymized</t>
        </is>
      </c>
      <c r="J154" s="18" t="n">
        <v>200</v>
      </c>
      <c r="K154" s="18" t="inlineStr">
        <is>
          <t>C</t>
        </is>
      </c>
      <c r="L154" s="18">
        <f>IFERROR(VLOOKUP(A154,[1]按需!A$1:A$65536,1,FALSE),"")</f>
        <v/>
      </c>
      <c r="M154" s="18" t="inlineStr">
        <is>
          <t>价</t>
        </is>
      </c>
      <c r="N154" s="27" t="n">
        <v>14</v>
      </c>
      <c r="O154" s="27" t="n">
        <v>0</v>
      </c>
      <c r="P154" s="27" t="n">
        <v>13</v>
      </c>
      <c r="Q154" s="27" t="n">
        <v>0</v>
      </c>
      <c r="R154" s="27" t="n">
        <v>0</v>
      </c>
    </row>
    <row r="155">
      <c r="A155" s="15" t="inlineStr">
        <is>
          <t>SKU-38CF6D81</t>
        </is>
      </c>
      <c r="B155" s="15" t="n">
        <v>100</v>
      </c>
      <c r="C155" s="10" t="inlineStr">
        <is>
          <t>Product-770D085E</t>
        </is>
      </c>
      <c r="D155" s="16" t="n">
        <v>3</v>
      </c>
      <c r="E155" s="12" t="n">
        <v>573.9</v>
      </c>
      <c r="F155" s="13" t="n">
        <v>128.82</v>
      </c>
      <c r="G155" s="15" t="inlineStr"/>
      <c r="H155" s="18" t="inlineStr"/>
      <c r="I155" s="16" t="inlineStr">
        <is>
          <t>Brand-Anonymized</t>
        </is>
      </c>
      <c r="J155" s="18" t="n">
        <v>200</v>
      </c>
      <c r="K155" s="18" t="n"/>
      <c r="L155" s="18">
        <f>IFERROR(VLOOKUP(A155,[1]按需!A$1:A$65536,1,FALSE),"")</f>
        <v/>
      </c>
      <c r="M155" s="18" t="inlineStr"/>
      <c r="N155" s="9" t="n"/>
      <c r="O155" s="9" t="n"/>
      <c r="P155" s="9" t="n"/>
      <c r="Q155" s="9" t="n"/>
      <c r="R155" s="9" t="n"/>
    </row>
    <row r="156">
      <c r="A156" s="15" t="inlineStr">
        <is>
          <t>SKU-87F8B8AB</t>
        </is>
      </c>
      <c r="B156" s="15" t="n">
        <v>100</v>
      </c>
      <c r="C156" s="10" t="inlineStr">
        <is>
          <t>Product-7BF3E316</t>
        </is>
      </c>
      <c r="D156" s="16" t="n">
        <v>2</v>
      </c>
      <c r="E156" s="12" t="n">
        <v>470.9</v>
      </c>
      <c r="F156" s="13" t="n">
        <v>135.036</v>
      </c>
      <c r="G156" s="15" t="inlineStr"/>
      <c r="H156" s="18" t="inlineStr">
        <is>
          <t>细</t>
        </is>
      </c>
      <c r="I156" s="16" t="inlineStr">
        <is>
          <t>Brand-Anonymized</t>
        </is>
      </c>
      <c r="J156" s="18" t="n">
        <v>200</v>
      </c>
      <c r="K156" s="18" t="inlineStr">
        <is>
          <t>C</t>
        </is>
      </c>
      <c r="L156" s="18">
        <f>IFERROR(VLOOKUP(A156,[1]按需!A$1:A$65536,1,FALSE),"")</f>
        <v/>
      </c>
      <c r="M156" s="18" t="inlineStr">
        <is>
          <t>价</t>
        </is>
      </c>
      <c r="N156" s="9" t="n"/>
      <c r="O156" s="9" t="n"/>
      <c r="P156" s="9" t="n"/>
      <c r="Q156" s="9" t="n"/>
      <c r="R156" s="9" t="n"/>
    </row>
    <row r="157">
      <c r="A157" s="15" t="inlineStr">
        <is>
          <t>SKU-2BECE586</t>
        </is>
      </c>
      <c r="B157" s="15" t="n">
        <v>100</v>
      </c>
      <c r="C157" s="10" t="inlineStr">
        <is>
          <t>Product-AECED13C</t>
        </is>
      </c>
      <c r="D157" s="16" t="n">
        <v>1</v>
      </c>
      <c r="E157" s="12" t="n">
        <v>34.8</v>
      </c>
      <c r="F157" s="13" t="n">
        <v>3.488</v>
      </c>
      <c r="G157" s="15" t="inlineStr"/>
      <c r="H157" s="18" t="inlineStr">
        <is>
          <t>标</t>
        </is>
      </c>
      <c r="I157" s="16" t="inlineStr">
        <is>
          <t>Brand-Anonymized</t>
        </is>
      </c>
      <c r="J157" s="18" t="n">
        <v>200</v>
      </c>
      <c r="K157" s="18" t="inlineStr">
        <is>
          <t>C</t>
        </is>
      </c>
      <c r="L157" s="18">
        <f>IFERROR(VLOOKUP(A157,[1]按需!A$1:A$65536,1,FALSE),"")</f>
        <v/>
      </c>
      <c r="M157" s="18" t="inlineStr">
        <is>
          <t>价</t>
        </is>
      </c>
      <c r="N157" s="9" t="n"/>
      <c r="O157" s="9" t="n"/>
      <c r="P157" s="9" t="n"/>
      <c r="Q157" s="9" t="n"/>
      <c r="R157" s="9" t="n"/>
    </row>
    <row r="158">
      <c r="A158" s="15" t="inlineStr">
        <is>
          <t>SKU-E2A6D7B2</t>
        </is>
      </c>
      <c r="B158" s="15" t="n">
        <v>100</v>
      </c>
      <c r="C158" s="10" t="inlineStr">
        <is>
          <t>Product-7068DBFE</t>
        </is>
      </c>
      <c r="D158" s="16" t="n">
        <v>3</v>
      </c>
      <c r="E158" s="12" t="n">
        <v>297.7</v>
      </c>
      <c r="F158" s="13" t="n">
        <v>80.40000000000001</v>
      </c>
      <c r="G158" s="15" t="inlineStr"/>
      <c r="H158" s="18" t="inlineStr"/>
      <c r="I158" s="16" t="inlineStr">
        <is>
          <t>Brand-Anonymized</t>
        </is>
      </c>
      <c r="J158" s="18" t="n">
        <v>200</v>
      </c>
      <c r="K158" s="18" t="n"/>
      <c r="L158" s="18">
        <f>IFERROR(VLOOKUP(A158,[1]按需!A$1:A$65536,1,FALSE),"")</f>
        <v/>
      </c>
      <c r="M158" s="18" t="inlineStr"/>
      <c r="N158" s="9" t="n"/>
      <c r="O158" s="9" t="n"/>
      <c r="P158" s="9" t="n"/>
      <c r="Q158" s="9" t="n"/>
      <c r="R158" s="9" t="n"/>
    </row>
    <row r="159">
      <c r="A159" s="15" t="inlineStr">
        <is>
          <t>SKU-DF4C456E</t>
        </is>
      </c>
      <c r="B159" s="15" t="n">
        <v>100</v>
      </c>
      <c r="C159" s="10" t="inlineStr">
        <is>
          <t>Product-2194AF5F</t>
        </is>
      </c>
      <c r="D159" s="16" t="n">
        <v>2</v>
      </c>
      <c r="E159" s="12" t="n">
        <v>526.4</v>
      </c>
      <c r="F159" s="13" t="n">
        <v>136.832</v>
      </c>
      <c r="G159" s="15" t="inlineStr"/>
      <c r="H159" s="18" t="inlineStr">
        <is>
          <t>标</t>
        </is>
      </c>
      <c r="I159" s="16" t="inlineStr">
        <is>
          <t>Brand-Anonymized</t>
        </is>
      </c>
      <c r="J159" s="18" t="n">
        <v>200</v>
      </c>
      <c r="K159" s="18" t="inlineStr">
        <is>
          <t>C</t>
        </is>
      </c>
      <c r="L159" s="18">
        <f>IFERROR(VLOOKUP(A159,[1]按需!A$1:A$65536,1,FALSE),"")</f>
        <v/>
      </c>
      <c r="M159" s="18" t="inlineStr">
        <is>
          <t>价</t>
        </is>
      </c>
      <c r="N159" s="9" t="n"/>
      <c r="O159" s="9" t="n"/>
      <c r="P159" s="9" t="n"/>
      <c r="Q159" s="9" t="n"/>
      <c r="R159" s="9" t="n"/>
    </row>
    <row r="160">
      <c r="A160" s="15" t="inlineStr">
        <is>
          <t>SKU-346CCBE7</t>
        </is>
      </c>
      <c r="B160" s="15" t="n">
        <v>100</v>
      </c>
      <c r="C160" s="10" t="inlineStr">
        <is>
          <t>Product-5785945E</t>
        </is>
      </c>
      <c r="D160" s="16" t="n">
        <v>1</v>
      </c>
      <c r="E160" s="12" t="n">
        <v>4</v>
      </c>
      <c r="F160" s="13" t="n">
        <v>0.36</v>
      </c>
      <c r="G160" s="15" t="inlineStr">
        <is>
          <t>C</t>
        </is>
      </c>
      <c r="H160" s="18" t="inlineStr">
        <is>
          <t>标</t>
        </is>
      </c>
      <c r="I160" s="16" t="inlineStr">
        <is>
          <t>Brand-Anonymized</t>
        </is>
      </c>
      <c r="J160" s="18" t="n">
        <v>200</v>
      </c>
      <c r="K160" s="18" t="inlineStr">
        <is>
          <t>C</t>
        </is>
      </c>
      <c r="L160" s="18">
        <f>IFERROR(VLOOKUP(A160,[1]按需!A$1:A$65536,1,FALSE),"")</f>
        <v/>
      </c>
      <c r="M160" s="18" t="inlineStr">
        <is>
          <t>价</t>
        </is>
      </c>
      <c r="N160" s="9" t="n">
        <v>0</v>
      </c>
      <c r="O160" s="9" t="n">
        <v>0</v>
      </c>
      <c r="P160" s="9" t="n">
        <v>0</v>
      </c>
      <c r="Q160" s="9" t="n">
        <v>4</v>
      </c>
      <c r="R160" s="9" t="n">
        <v>0</v>
      </c>
    </row>
    <row r="161">
      <c r="A161" s="15" t="inlineStr">
        <is>
          <t>SKU-DF067F13</t>
        </is>
      </c>
      <c r="B161" s="15" t="n">
        <v>100</v>
      </c>
      <c r="C161" s="10" t="inlineStr">
        <is>
          <t>Product-2FB2C039</t>
        </is>
      </c>
      <c r="D161" s="16" t="n">
        <v>2</v>
      </c>
      <c r="E161" s="12" t="n">
        <v>259.6</v>
      </c>
      <c r="F161" s="13" t="n">
        <v>79.396</v>
      </c>
      <c r="G161" s="15" t="inlineStr"/>
      <c r="H161" s="18" t="inlineStr"/>
      <c r="I161" s="16" t="inlineStr">
        <is>
          <t>Brand-Anonymized</t>
        </is>
      </c>
      <c r="J161" s="18" t="n">
        <v>200</v>
      </c>
      <c r="K161" s="18" t="n"/>
      <c r="L161" s="18">
        <f>IFERROR(VLOOKUP(A161,[1]按需!A$1:A$65536,1,FALSE),"")</f>
        <v/>
      </c>
      <c r="M161" s="18" t="inlineStr">
        <is>
          <t>价</t>
        </is>
      </c>
      <c r="N161" s="9" t="n"/>
      <c r="O161" s="9" t="n"/>
      <c r="P161" s="9" t="n"/>
      <c r="Q161" s="9" t="n"/>
      <c r="R161" s="9" t="n"/>
    </row>
    <row r="162">
      <c r="A162" s="15" t="inlineStr">
        <is>
          <t>SKU-B6FC5230</t>
        </is>
      </c>
      <c r="B162" s="15" t="n">
        <v>100</v>
      </c>
      <c r="C162" s="10" t="inlineStr">
        <is>
          <t>Product-A90CE342</t>
        </is>
      </c>
      <c r="D162" s="16" t="n">
        <v>1</v>
      </c>
      <c r="E162" s="12" t="n">
        <v>40</v>
      </c>
      <c r="F162" s="13" t="n">
        <v>1.72</v>
      </c>
      <c r="G162" s="15" t="inlineStr">
        <is>
          <t>C</t>
        </is>
      </c>
      <c r="H162" s="18" t="inlineStr">
        <is>
          <t>长</t>
        </is>
      </c>
      <c r="I162" s="16" t="inlineStr">
        <is>
          <t>Brand-Anonymized</t>
        </is>
      </c>
      <c r="J162" s="18" t="n">
        <v>200</v>
      </c>
      <c r="K162" s="18" t="inlineStr">
        <is>
          <t>C</t>
        </is>
      </c>
      <c r="L162" s="25" t="inlineStr">
        <is>
          <t>需</t>
        </is>
      </c>
      <c r="M162" s="18" t="inlineStr"/>
      <c r="N162" s="9" t="n">
        <v>0</v>
      </c>
      <c r="O162" s="9" t="n">
        <v>0</v>
      </c>
      <c r="P162" s="28" t="n">
        <v>0</v>
      </c>
      <c r="Q162" s="9" t="n">
        <v>40</v>
      </c>
      <c r="R162" s="9" t="n">
        <v>0</v>
      </c>
    </row>
    <row r="163">
      <c r="A163" s="15" t="inlineStr">
        <is>
          <t>SKU-AD42A3A6</t>
        </is>
      </c>
      <c r="B163" s="15" t="n">
        <v>100</v>
      </c>
      <c r="C163" s="19" t="inlineStr">
        <is>
          <t>Product-1A22EAD1</t>
        </is>
      </c>
      <c r="D163" s="16" t="n">
        <v>1</v>
      </c>
      <c r="E163" s="12" t="n">
        <v>0</v>
      </c>
      <c r="F163" s="13" t="n">
        <v>0</v>
      </c>
      <c r="G163" s="15" t="inlineStr"/>
      <c r="H163" s="18" t="inlineStr">
        <is>
          <t>方</t>
        </is>
      </c>
      <c r="I163" s="16" t="inlineStr">
        <is>
          <t>Brand-Anonymized</t>
        </is>
      </c>
      <c r="J163" s="18" t="n">
        <v>200</v>
      </c>
      <c r="K163" s="18" t="inlineStr">
        <is>
          <t>C</t>
        </is>
      </c>
      <c r="L163" s="18">
        <f>IFERROR(VLOOKUP(A163,[1]按需!A$1:A$65536,1,FALSE),"")</f>
        <v/>
      </c>
      <c r="M163" s="18" t="inlineStr"/>
      <c r="N163" s="9" t="n"/>
      <c r="O163" s="9" t="n"/>
      <c r="P163" s="9" t="n"/>
      <c r="Q163" s="9" t="n"/>
      <c r="R163" s="9" t="n"/>
    </row>
    <row r="164">
      <c r="A164" s="15" t="inlineStr">
        <is>
          <t>SKU-E1FD63A2</t>
        </is>
      </c>
      <c r="B164" s="15" t="n">
        <v>100</v>
      </c>
      <c r="C164" s="10" t="inlineStr">
        <is>
          <t>Product-56A72B94</t>
        </is>
      </c>
      <c r="D164" s="16" t="n">
        <v>1</v>
      </c>
      <c r="E164" s="12" t="n">
        <v>310</v>
      </c>
      <c r="F164" s="13" t="n">
        <v>226.248</v>
      </c>
      <c r="G164" s="15" t="inlineStr">
        <is>
          <t>C</t>
        </is>
      </c>
      <c r="H164" s="18" t="inlineStr">
        <is>
          <t>长</t>
        </is>
      </c>
      <c r="I164" s="16" t="inlineStr">
        <is>
          <t>Brand-Anonymized</t>
        </is>
      </c>
      <c r="J164" s="18" t="n">
        <v>200</v>
      </c>
      <c r="K164" s="18" t="inlineStr">
        <is>
          <t>C</t>
        </is>
      </c>
      <c r="L164" s="18">
        <f>IFERROR(VLOOKUP(A164,[1]按需!A$1:A$65536,1,FALSE),"")</f>
        <v/>
      </c>
      <c r="M164" s="18" t="inlineStr">
        <is>
          <t>价</t>
        </is>
      </c>
      <c r="N164" s="9" t="n">
        <v>60</v>
      </c>
      <c r="O164" s="9" t="n">
        <v>65.004</v>
      </c>
      <c r="P164" s="9" t="n">
        <v>60</v>
      </c>
      <c r="Q164" s="9" t="n">
        <v>65</v>
      </c>
      <c r="R164" s="9" t="n">
        <v>59.996</v>
      </c>
    </row>
    <row r="165">
      <c r="A165" s="15" t="inlineStr">
        <is>
          <t>SKU-AE256B22</t>
        </is>
      </c>
      <c r="B165" s="15" t="n">
        <v>100</v>
      </c>
      <c r="C165" s="10" t="inlineStr">
        <is>
          <t>Product-7D4E9E50</t>
        </is>
      </c>
      <c r="D165" s="16" t="n">
        <v>1</v>
      </c>
      <c r="E165" s="12" t="n">
        <v>32</v>
      </c>
      <c r="F165" s="26" t="n">
        <v>11.228</v>
      </c>
      <c r="G165" s="15" t="inlineStr">
        <is>
          <t>X</t>
        </is>
      </c>
      <c r="H165" s="18" t="inlineStr">
        <is>
          <t>细</t>
        </is>
      </c>
      <c r="I165" s="16" t="inlineStr">
        <is>
          <t>Brand-Anonymized</t>
        </is>
      </c>
      <c r="J165" s="18" t="n">
        <v>200</v>
      </c>
      <c r="K165" s="18" t="inlineStr">
        <is>
          <t>C</t>
        </is>
      </c>
      <c r="L165" s="18">
        <f>IFERROR(VLOOKUP(A165,[1]按需!A$1:A$65536,1,FALSE),"")</f>
        <v/>
      </c>
      <c r="M165" s="18" t="inlineStr"/>
      <c r="N165" s="27" t="n">
        <v>11</v>
      </c>
      <c r="O165" s="9" t="n">
        <v>0</v>
      </c>
      <c r="P165" s="9" t="n">
        <v>11</v>
      </c>
      <c r="Q165" s="9" t="n">
        <v>0</v>
      </c>
      <c r="R165" s="9" t="n">
        <v>10</v>
      </c>
    </row>
    <row r="166">
      <c r="A166" s="15" t="inlineStr">
        <is>
          <t>SKU-4824EA3C</t>
        </is>
      </c>
      <c r="B166" s="15" t="n">
        <v>100</v>
      </c>
      <c r="C166" s="21" t="inlineStr">
        <is>
          <t>Product-45B4B1EB</t>
        </is>
      </c>
      <c r="D166" s="16" t="n">
        <v>1</v>
      </c>
      <c r="E166" s="12" t="n">
        <v>20</v>
      </c>
      <c r="F166" s="13" t="n">
        <v>1.88</v>
      </c>
      <c r="G166" s="15" t="inlineStr">
        <is>
          <t>X</t>
        </is>
      </c>
      <c r="H166" s="18" t="inlineStr">
        <is>
          <t>细</t>
        </is>
      </c>
      <c r="I166" s="16" t="inlineStr">
        <is>
          <t>Brand-Anonymized</t>
        </is>
      </c>
      <c r="J166" s="18" t="n">
        <v>200</v>
      </c>
      <c r="K166" s="18" t="inlineStr">
        <is>
          <t>C</t>
        </is>
      </c>
      <c r="L166" s="18">
        <f>IFERROR(VLOOKUP(A166,[1]按需!A$1:A$65536,1,FALSE),"")</f>
        <v/>
      </c>
      <c r="M166" s="18" t="inlineStr"/>
      <c r="N166" s="9" t="n">
        <v>0</v>
      </c>
      <c r="O166" s="9" t="n">
        <v>10.012</v>
      </c>
      <c r="P166" s="9" t="n">
        <v>0</v>
      </c>
      <c r="Q166" s="9" t="n">
        <v>9.988</v>
      </c>
      <c r="R166" s="9" t="n">
        <v>0</v>
      </c>
    </row>
    <row r="167">
      <c r="A167" s="15" t="inlineStr">
        <is>
          <t>SKU-322FEDC4</t>
        </is>
      </c>
      <c r="B167" s="15" t="n">
        <v>100</v>
      </c>
      <c r="C167" s="21" t="inlineStr">
        <is>
          <t>Product-4D350FD9</t>
        </is>
      </c>
      <c r="D167" s="16" t="n">
        <v>1</v>
      </c>
      <c r="E167" s="12" t="n">
        <v>1</v>
      </c>
      <c r="F167" s="13" t="n">
        <v>0.496</v>
      </c>
      <c r="G167" s="15" t="inlineStr">
        <is>
          <t>X</t>
        </is>
      </c>
      <c r="H167" s="18" t="inlineStr">
        <is>
          <t>细</t>
        </is>
      </c>
      <c r="I167" s="16" t="inlineStr">
        <is>
          <t>Brand-Anonymized</t>
        </is>
      </c>
      <c r="J167" s="18" t="n">
        <v>200</v>
      </c>
      <c r="K167" s="18" t="inlineStr">
        <is>
          <t>C</t>
        </is>
      </c>
      <c r="L167" s="18">
        <f>IFERROR(VLOOKUP(A167,[1]按需!A$1:A$65536,1,FALSE),"")</f>
        <v/>
      </c>
      <c r="M167" s="18" t="inlineStr"/>
      <c r="N167" s="9" t="n">
        <v>0</v>
      </c>
      <c r="O167" s="9" t="n">
        <v>0</v>
      </c>
      <c r="P167" s="9" t="n">
        <v>0</v>
      </c>
      <c r="Q167" s="9" t="n">
        <v>1</v>
      </c>
      <c r="R167" s="9" t="n">
        <v>0</v>
      </c>
    </row>
    <row r="168">
      <c r="A168" s="15" t="inlineStr">
        <is>
          <t>SKU-5C2451E8</t>
        </is>
      </c>
      <c r="B168" s="15" t="n">
        <v>100</v>
      </c>
      <c r="C168" s="24" t="inlineStr">
        <is>
          <t>Product-094CF930</t>
        </is>
      </c>
      <c r="D168" s="16" t="n">
        <v>3</v>
      </c>
      <c r="E168" s="12" t="n">
        <v>0</v>
      </c>
      <c r="F168" s="13" t="n">
        <v>0</v>
      </c>
      <c r="G168" s="15" t="inlineStr"/>
      <c r="H168" s="18" t="inlineStr"/>
      <c r="I168" s="16" t="inlineStr">
        <is>
          <t>Brand-Anonymized</t>
        </is>
      </c>
      <c r="J168" s="18" t="n">
        <v>200</v>
      </c>
      <c r="K168" s="18" t="n"/>
      <c r="L168" s="18">
        <f>IFERROR(VLOOKUP(A168,[1]按需!A$1:A$65536,1,FALSE),"")</f>
        <v/>
      </c>
      <c r="M168" s="18" t="inlineStr"/>
      <c r="N168" s="9" t="n"/>
      <c r="O168" s="9" t="n"/>
      <c r="P168" s="9" t="n"/>
      <c r="Q168" s="9" t="n"/>
      <c r="R168" s="9" t="n"/>
    </row>
    <row r="169">
      <c r="A169" s="15" t="inlineStr">
        <is>
          <t>SKU-8456C17F</t>
        </is>
      </c>
      <c r="B169" s="15" t="n">
        <v>100</v>
      </c>
      <c r="C169" s="10" t="inlineStr">
        <is>
          <t>Product-C5A74F5E</t>
        </is>
      </c>
      <c r="D169" s="16" t="n">
        <v>1</v>
      </c>
      <c r="E169" s="12" t="n">
        <v>522</v>
      </c>
      <c r="F169" s="13" t="n">
        <v>346.288</v>
      </c>
      <c r="G169" s="15" t="inlineStr"/>
      <c r="H169" s="18" t="inlineStr"/>
      <c r="I169" s="16" t="inlineStr">
        <is>
          <t>Brand-Anonymized</t>
        </is>
      </c>
      <c r="J169" s="18" t="n">
        <v>200</v>
      </c>
      <c r="K169" s="18" t="n"/>
      <c r="L169" s="18">
        <f>IFERROR(VLOOKUP(A169,[1]按需!A$1:A$65536,1,FALSE),"")</f>
        <v/>
      </c>
      <c r="M169" s="18" t="inlineStr">
        <is>
          <t>价</t>
        </is>
      </c>
      <c r="N169" s="9" t="n"/>
      <c r="O169" s="9" t="n"/>
      <c r="P169" s="9" t="n"/>
      <c r="Q169" s="9" t="n"/>
      <c r="R169" s="9" t="n"/>
    </row>
    <row r="170">
      <c r="A170" s="15" t="inlineStr">
        <is>
          <t>SKU-51089BE2</t>
        </is>
      </c>
      <c r="B170" s="15" t="n">
        <v>100</v>
      </c>
      <c r="C170" s="10" t="inlineStr">
        <is>
          <t>Product-0FD5ABF4</t>
        </is>
      </c>
      <c r="D170" s="16" t="n">
        <v>2</v>
      </c>
      <c r="E170" s="12" t="n">
        <v>249.9</v>
      </c>
      <c r="F170" s="13" t="n">
        <v>98.02</v>
      </c>
      <c r="G170" s="15" t="inlineStr"/>
      <c r="H170" s="18" t="inlineStr"/>
      <c r="I170" s="16" t="inlineStr">
        <is>
          <t>Brand-Anonymized</t>
        </is>
      </c>
      <c r="J170" s="18" t="n">
        <v>200</v>
      </c>
      <c r="K170" s="18" t="n"/>
      <c r="L170" s="18">
        <f>IFERROR(VLOOKUP(A170,[1]按需!A$1:A$65536,1,FALSE),"")</f>
        <v/>
      </c>
      <c r="M170" s="18" t="inlineStr">
        <is>
          <t>价</t>
        </is>
      </c>
      <c r="N170" s="9" t="n"/>
      <c r="O170" s="9" t="n"/>
      <c r="P170" s="9" t="n"/>
      <c r="Q170" s="9" t="n"/>
      <c r="R170" s="9" t="n"/>
    </row>
    <row r="171">
      <c r="A171" s="15" t="inlineStr">
        <is>
          <t>SKU-FFE04C4D</t>
        </is>
      </c>
      <c r="B171" s="15" t="n">
        <v>100</v>
      </c>
      <c r="C171" s="10" t="inlineStr">
        <is>
          <t>Product-B83DCFA4</t>
        </is>
      </c>
      <c r="D171" s="16" t="n">
        <v>1</v>
      </c>
      <c r="E171" s="12" t="n">
        <v>100.4</v>
      </c>
      <c r="F171" s="13" t="n">
        <v>48.476</v>
      </c>
      <c r="G171" s="15" t="inlineStr"/>
      <c r="H171" s="18" t="inlineStr"/>
      <c r="I171" s="16" t="inlineStr">
        <is>
          <t>Brand-Anonymized</t>
        </is>
      </c>
      <c r="J171" s="18" t="n">
        <v>200</v>
      </c>
      <c r="K171" s="18" t="n"/>
      <c r="L171" s="18">
        <f>IFERROR(VLOOKUP(A171,[1]按需!A$1:A$65536,1,FALSE),"")</f>
        <v/>
      </c>
      <c r="M171" s="18" t="inlineStr">
        <is>
          <t>价</t>
        </is>
      </c>
      <c r="N171" s="9" t="n"/>
      <c r="O171" s="9" t="n"/>
      <c r="P171" s="9" t="n"/>
      <c r="Q171" s="9" t="n"/>
      <c r="R171" s="9" t="n"/>
    </row>
    <row r="172">
      <c r="A172" s="15" t="inlineStr">
        <is>
          <t>SKU-97F868AB</t>
        </is>
      </c>
      <c r="B172" s="15" t="n">
        <v>100</v>
      </c>
      <c r="C172" s="10" t="inlineStr">
        <is>
          <t>Product-C62E3340</t>
        </is>
      </c>
      <c r="D172" s="16" t="n">
        <v>2</v>
      </c>
      <c r="E172" s="12" t="n">
        <v>923</v>
      </c>
      <c r="F172" s="13" t="n">
        <v>428.8</v>
      </c>
      <c r="G172" s="15" t="inlineStr">
        <is>
          <t>T</t>
        </is>
      </c>
      <c r="H172" s="18" t="inlineStr">
        <is>
          <t>细</t>
        </is>
      </c>
      <c r="I172" s="16" t="inlineStr">
        <is>
          <t>Brand-Anonymized</t>
        </is>
      </c>
      <c r="J172" s="18" t="n">
        <v>200</v>
      </c>
      <c r="K172" s="18" t="inlineStr">
        <is>
          <t>C</t>
        </is>
      </c>
      <c r="L172" s="18">
        <f>IFERROR(VLOOKUP(A172,[1]按需!A$1:A$65536,1,FALSE),"")</f>
        <v/>
      </c>
      <c r="M172" s="18" t="inlineStr">
        <is>
          <t>价</t>
        </is>
      </c>
      <c r="N172" s="9" t="n"/>
      <c r="O172" s="9" t="n"/>
      <c r="P172" s="9" t="n"/>
      <c r="Q172" s="9" t="n"/>
      <c r="R172" s="9" t="n"/>
    </row>
    <row r="173">
      <c r="A173" s="15" t="inlineStr">
        <is>
          <t>SKU-8D644BC3</t>
        </is>
      </c>
      <c r="B173" s="15" t="n">
        <v>100</v>
      </c>
      <c r="C173" s="10" t="inlineStr">
        <is>
          <t>Product-DE90CB9B</t>
        </is>
      </c>
      <c r="D173" s="16" t="n">
        <v>1</v>
      </c>
      <c r="E173" s="12" t="n">
        <v>145</v>
      </c>
      <c r="F173" s="13" t="n">
        <v>143.612</v>
      </c>
      <c r="G173" s="15" t="inlineStr">
        <is>
          <t>C</t>
        </is>
      </c>
      <c r="H173" s="18" t="inlineStr">
        <is>
          <t>标</t>
        </is>
      </c>
      <c r="I173" s="16" t="inlineStr">
        <is>
          <t>Brand-Anonymized</t>
        </is>
      </c>
      <c r="J173" s="18" t="n">
        <v>200</v>
      </c>
      <c r="K173" s="18" t="inlineStr">
        <is>
          <t>C</t>
        </is>
      </c>
      <c r="L173" s="18">
        <f>IFERROR(VLOOKUP(A173,[1]按需!A$1:A$65536,1,FALSE),"")</f>
        <v/>
      </c>
      <c r="M173" s="18" t="inlineStr">
        <is>
          <t>价</t>
        </is>
      </c>
      <c r="N173" s="9" t="n">
        <v>50</v>
      </c>
      <c r="O173" s="9" t="n">
        <v>0</v>
      </c>
      <c r="P173" s="9" t="n">
        <v>50</v>
      </c>
      <c r="Q173" s="9" t="n">
        <v>0</v>
      </c>
      <c r="R173" s="9" t="n">
        <v>45</v>
      </c>
    </row>
    <row r="174">
      <c r="A174" s="15" t="inlineStr">
        <is>
          <t>SKU-51C17194</t>
        </is>
      </c>
      <c r="B174" s="15" t="n">
        <v>100</v>
      </c>
      <c r="C174" s="23" t="inlineStr">
        <is>
          <t>Product-7D9B1112</t>
        </is>
      </c>
      <c r="D174" s="16" t="n">
        <v>2</v>
      </c>
      <c r="E174" s="12" t="n">
        <v>0</v>
      </c>
      <c r="F174" s="13" t="n">
        <v>0</v>
      </c>
      <c r="G174" s="15" t="inlineStr"/>
      <c r="H174" s="18" t="inlineStr"/>
      <c r="I174" s="16" t="inlineStr">
        <is>
          <t>Brand-Anonymized</t>
        </is>
      </c>
      <c r="J174" s="18" t="n">
        <v>200</v>
      </c>
      <c r="K174" s="18" t="n"/>
      <c r="L174" s="18">
        <f>IFERROR(VLOOKUP(A174,[1]按需!A$1:A$65536,1,FALSE),"")</f>
        <v/>
      </c>
      <c r="M174" s="18" t="inlineStr"/>
      <c r="N174" s="9" t="n"/>
      <c r="O174" s="9" t="n"/>
      <c r="P174" s="9" t="n"/>
      <c r="Q174" s="9" t="n"/>
      <c r="R174" s="9" t="n"/>
    </row>
    <row r="175">
      <c r="A175" s="15" t="inlineStr">
        <is>
          <t>SKU-318D1B8B</t>
        </is>
      </c>
      <c r="B175" s="15" t="n">
        <v>100</v>
      </c>
      <c r="C175" s="10" t="inlineStr">
        <is>
          <t>Product-C93E013F</t>
        </is>
      </c>
      <c r="D175" s="16" t="n">
        <v>1</v>
      </c>
      <c r="E175" s="12" t="n">
        <v>8</v>
      </c>
      <c r="F175" s="26" t="n">
        <v>4.528</v>
      </c>
      <c r="G175" s="15" t="inlineStr">
        <is>
          <t>C</t>
        </is>
      </c>
      <c r="H175" s="18" t="inlineStr">
        <is>
          <t>标</t>
        </is>
      </c>
      <c r="I175" s="16" t="inlineStr">
        <is>
          <t>Brand-Anonymized</t>
        </is>
      </c>
      <c r="J175" s="18" t="n">
        <v>200</v>
      </c>
      <c r="K175" s="18" t="inlineStr">
        <is>
          <t>C</t>
        </is>
      </c>
      <c r="L175" s="18">
        <f>IFERROR(VLOOKUP(A175,[1]按需!A$1:A$65536,1,FALSE),"")</f>
        <v/>
      </c>
      <c r="M175" s="18" t="inlineStr">
        <is>
          <t>价</t>
        </is>
      </c>
      <c r="N175" s="27" t="n">
        <v>0</v>
      </c>
      <c r="O175" s="9" t="n">
        <v>8</v>
      </c>
      <c r="P175" s="9" t="n">
        <v>0</v>
      </c>
      <c r="Q175" s="9" t="n">
        <v>0</v>
      </c>
      <c r="R175" s="9" t="n">
        <v>0</v>
      </c>
    </row>
    <row r="176">
      <c r="A176" s="15" t="inlineStr">
        <is>
          <t>SKU-A744A038</t>
        </is>
      </c>
      <c r="B176" s="15" t="n">
        <v>100</v>
      </c>
      <c r="C176" s="10" t="inlineStr">
        <is>
          <t>Product-DDF99E26</t>
        </is>
      </c>
      <c r="D176" s="16" t="n">
        <v>1</v>
      </c>
      <c r="E176" s="12" t="n">
        <v>81.8</v>
      </c>
      <c r="F176" s="13" t="n">
        <v>75.104</v>
      </c>
      <c r="G176" s="15" t="inlineStr"/>
      <c r="H176" s="18" t="inlineStr">
        <is>
          <t>细</t>
        </is>
      </c>
      <c r="I176" s="16" t="inlineStr">
        <is>
          <t>Brand-Anonymized</t>
        </is>
      </c>
      <c r="J176" s="18" t="n">
        <v>200</v>
      </c>
      <c r="K176" s="18" t="inlineStr">
        <is>
          <t>C</t>
        </is>
      </c>
      <c r="L176" s="18">
        <f>IFERROR(VLOOKUP(A176,[1]按需!A$1:A$65536,1,FALSE),"")</f>
        <v/>
      </c>
      <c r="M176" s="18" t="inlineStr">
        <is>
          <t>价</t>
        </is>
      </c>
      <c r="N176" s="9" t="n"/>
      <c r="O176" s="9" t="n"/>
      <c r="P176" s="9" t="n"/>
      <c r="Q176" s="9" t="n"/>
      <c r="R176" s="9" t="n"/>
    </row>
    <row r="177">
      <c r="A177" s="15" t="inlineStr">
        <is>
          <t>SKU-56C78667</t>
        </is>
      </c>
      <c r="B177" s="15" t="n">
        <v>100</v>
      </c>
      <c r="C177" s="10" t="inlineStr">
        <is>
          <t>Product-B81DC6F4</t>
        </is>
      </c>
      <c r="D177" s="16" t="n">
        <v>1</v>
      </c>
      <c r="E177" s="12" t="n">
        <v>136.8</v>
      </c>
      <c r="F177" s="13" t="n">
        <v>119.52</v>
      </c>
      <c r="G177" s="15" t="inlineStr"/>
      <c r="H177" s="18" t="inlineStr"/>
      <c r="I177" s="16" t="inlineStr">
        <is>
          <t>Brand-Anonymized</t>
        </is>
      </c>
      <c r="J177" s="18" t="n">
        <v>200</v>
      </c>
      <c r="K177" s="18" t="n"/>
      <c r="L177" s="18">
        <f>IFERROR(VLOOKUP(A177,[1]按需!A$1:A$65536,1,FALSE),"")</f>
        <v/>
      </c>
      <c r="M177" s="18" t="inlineStr">
        <is>
          <t>价</t>
        </is>
      </c>
      <c r="N177" s="9" t="n"/>
      <c r="O177" s="9" t="n"/>
      <c r="P177" s="28" t="n"/>
      <c r="Q177" s="9" t="n"/>
      <c r="R177" s="9" t="n"/>
    </row>
    <row r="178">
      <c r="A178" s="15" t="inlineStr">
        <is>
          <t>SKU-20ABB28F</t>
        </is>
      </c>
      <c r="B178" s="15" t="n">
        <v>100</v>
      </c>
      <c r="C178" s="10" t="inlineStr">
        <is>
          <t>Product-0B2EAF74</t>
        </is>
      </c>
      <c r="D178" s="16" t="n">
        <v>1</v>
      </c>
      <c r="E178" s="12" t="n">
        <v>0</v>
      </c>
      <c r="F178" s="13" t="n">
        <v>0</v>
      </c>
      <c r="G178" s="15" t="inlineStr"/>
      <c r="H178" s="18" t="inlineStr">
        <is>
          <t>长</t>
        </is>
      </c>
      <c r="I178" s="16" t="inlineStr">
        <is>
          <t>Brand-Anonymized</t>
        </is>
      </c>
      <c r="J178" s="18" t="n">
        <v>200</v>
      </c>
      <c r="K178" s="18" t="inlineStr">
        <is>
          <t>C</t>
        </is>
      </c>
      <c r="L178" s="18">
        <f>IFERROR(VLOOKUP(A178,[1]按需!A$1:A$65536,1,FALSE),"")</f>
        <v/>
      </c>
      <c r="M178" s="18" t="inlineStr"/>
      <c r="N178" s="9" t="n"/>
      <c r="O178" s="9" t="n"/>
      <c r="P178" s="9" t="n"/>
      <c r="Q178" s="9" t="n"/>
      <c r="R178" s="9" t="n"/>
    </row>
    <row r="179">
      <c r="A179" s="15" t="inlineStr">
        <is>
          <t>SKU-19F38467</t>
        </is>
      </c>
      <c r="B179" s="15" t="n">
        <v>100</v>
      </c>
      <c r="C179" s="10" t="inlineStr">
        <is>
          <t>Product-9435255B</t>
        </is>
      </c>
      <c r="D179" s="16" t="n">
        <v>1</v>
      </c>
      <c r="E179" s="12" t="n">
        <v>8</v>
      </c>
      <c r="F179" s="13" t="n">
        <v>1.34</v>
      </c>
      <c r="G179" s="15" t="inlineStr">
        <is>
          <t>C</t>
        </is>
      </c>
      <c r="H179" s="18" t="inlineStr">
        <is>
          <t>标</t>
        </is>
      </c>
      <c r="I179" s="16" t="inlineStr">
        <is>
          <t>Brand-Anonymized</t>
        </is>
      </c>
      <c r="J179" s="18" t="n">
        <v>200</v>
      </c>
      <c r="K179" s="18" t="inlineStr">
        <is>
          <t>C</t>
        </is>
      </c>
      <c r="L179" s="18">
        <f>IFERROR(VLOOKUP(A179,[1]按需!A$1:A$65536,1,FALSE),"")</f>
        <v/>
      </c>
      <c r="M179" s="18" t="inlineStr">
        <is>
          <t>价</t>
        </is>
      </c>
      <c r="N179" s="9" t="n">
        <v>0</v>
      </c>
      <c r="O179" s="9" t="n">
        <v>8</v>
      </c>
      <c r="P179" s="9" t="n">
        <v>0</v>
      </c>
      <c r="Q179" s="9" t="n">
        <v>0</v>
      </c>
      <c r="R179" s="9" t="n">
        <v>0</v>
      </c>
    </row>
    <row r="180">
      <c r="A180" s="15" t="inlineStr">
        <is>
          <t>SKU-07EAC1B8</t>
        </is>
      </c>
      <c r="B180" s="15" t="n">
        <v>100</v>
      </c>
      <c r="C180" s="10" t="inlineStr">
        <is>
          <t>Product-E14FEADC</t>
        </is>
      </c>
      <c r="D180" s="16" t="n">
        <v>1</v>
      </c>
      <c r="E180" s="12" t="n">
        <v>6</v>
      </c>
      <c r="F180" s="13" t="n">
        <v>0.972</v>
      </c>
      <c r="G180" s="15" t="inlineStr">
        <is>
          <t>C</t>
        </is>
      </c>
      <c r="H180" s="18" t="inlineStr">
        <is>
          <t>标</t>
        </is>
      </c>
      <c r="I180" s="16" t="inlineStr">
        <is>
          <t>Brand-Anonymized</t>
        </is>
      </c>
      <c r="J180" s="18" t="n">
        <v>200</v>
      </c>
      <c r="K180" s="18" t="inlineStr">
        <is>
          <t>C</t>
        </is>
      </c>
      <c r="L180" s="18">
        <f>IFERROR(VLOOKUP(A180,[1]按需!A$1:A$65536,1,FALSE),"")</f>
        <v/>
      </c>
      <c r="M180" s="18" t="inlineStr">
        <is>
          <t>价</t>
        </is>
      </c>
      <c r="N180" s="9" t="n">
        <v>0</v>
      </c>
      <c r="O180" s="9" t="n">
        <v>0</v>
      </c>
      <c r="P180" s="9" t="n">
        <v>6</v>
      </c>
      <c r="Q180" s="9" t="n">
        <v>0</v>
      </c>
      <c r="R180" s="9" t="n">
        <v>0</v>
      </c>
    </row>
    <row r="181">
      <c r="A181" s="15" t="inlineStr">
        <is>
          <t>SKU-35C24552</t>
        </is>
      </c>
      <c r="B181" s="15" t="n">
        <v>100</v>
      </c>
      <c r="C181" s="10" t="inlineStr">
        <is>
          <t>Product-37D16B86</t>
        </is>
      </c>
      <c r="D181" s="16" t="n">
        <v>1</v>
      </c>
      <c r="E181" s="12" t="n">
        <v>110</v>
      </c>
      <c r="F181" s="13" t="n">
        <v>72.628</v>
      </c>
      <c r="G181" s="15" t="inlineStr">
        <is>
          <t>C</t>
        </is>
      </c>
      <c r="H181" s="18" t="inlineStr">
        <is>
          <t>长</t>
        </is>
      </c>
      <c r="I181" s="16" t="inlineStr">
        <is>
          <t>Brand-Anonymized</t>
        </is>
      </c>
      <c r="J181" s="18" t="n">
        <v>200</v>
      </c>
      <c r="K181" s="18" t="inlineStr">
        <is>
          <t>C</t>
        </is>
      </c>
      <c r="L181" s="18">
        <f>IFERROR(VLOOKUP(A181,[1]按需!A$1:A$65536,1,FALSE),"")</f>
        <v/>
      </c>
      <c r="M181" s="18" t="inlineStr">
        <is>
          <t>价</t>
        </is>
      </c>
      <c r="N181" s="9" t="n">
        <v>0</v>
      </c>
      <c r="O181" s="9" t="n">
        <v>55.008</v>
      </c>
      <c r="P181" s="9" t="n">
        <v>0</v>
      </c>
      <c r="Q181" s="9" t="n">
        <v>54.992</v>
      </c>
      <c r="R181" s="9" t="n">
        <v>0</v>
      </c>
    </row>
    <row r="182">
      <c r="A182" s="15" t="inlineStr">
        <is>
          <t>SKU-2E4B7F7A</t>
        </is>
      </c>
      <c r="B182" s="15" t="n">
        <v>100</v>
      </c>
      <c r="C182" s="10" t="inlineStr">
        <is>
          <t>Product-114C3CE1</t>
        </is>
      </c>
      <c r="D182" s="16" t="n">
        <v>1</v>
      </c>
      <c r="E182" s="12" t="n">
        <v>16</v>
      </c>
      <c r="F182" s="13" t="n">
        <v>2.736</v>
      </c>
      <c r="G182" s="15" t="inlineStr">
        <is>
          <t>C</t>
        </is>
      </c>
      <c r="H182" s="18" t="inlineStr">
        <is>
          <t>长</t>
        </is>
      </c>
      <c r="I182" s="16" t="inlineStr">
        <is>
          <t>Brand-Anonymized</t>
        </is>
      </c>
      <c r="J182" s="18" t="n">
        <v>200</v>
      </c>
      <c r="K182" s="18" t="inlineStr">
        <is>
          <t>C</t>
        </is>
      </c>
      <c r="L182" s="32" t="inlineStr">
        <is>
          <t>需</t>
        </is>
      </c>
      <c r="M182" s="18" t="inlineStr">
        <is>
          <t>价</t>
        </is>
      </c>
      <c r="N182" s="9" t="n">
        <v>0</v>
      </c>
      <c r="O182" s="9" t="n">
        <v>0</v>
      </c>
      <c r="P182" s="9" t="n">
        <v>0</v>
      </c>
      <c r="Q182" s="9" t="n">
        <v>16</v>
      </c>
      <c r="R182" s="9" t="n">
        <v>0</v>
      </c>
    </row>
    <row r="183">
      <c r="A183" s="15" t="inlineStr">
        <is>
          <t>SKU-C36EE9D8</t>
        </is>
      </c>
      <c r="B183" s="15" t="n">
        <v>100</v>
      </c>
      <c r="C183" s="10" t="inlineStr">
        <is>
          <t>Product-63311DDA</t>
        </is>
      </c>
      <c r="D183" s="16" t="n">
        <v>1</v>
      </c>
      <c r="E183" s="12" t="n">
        <v>6</v>
      </c>
      <c r="F183" s="13" t="n">
        <v>1.232</v>
      </c>
      <c r="G183" s="15" t="inlineStr">
        <is>
          <t>X</t>
        </is>
      </c>
      <c r="H183" s="18" t="inlineStr">
        <is>
          <t>长</t>
        </is>
      </c>
      <c r="I183" s="16" t="inlineStr">
        <is>
          <t>Brand-Anonymized</t>
        </is>
      </c>
      <c r="J183" s="18" t="n">
        <v>160</v>
      </c>
      <c r="K183" s="18" t="inlineStr">
        <is>
          <t>C</t>
        </is>
      </c>
      <c r="L183" s="18">
        <f>IFERROR(VLOOKUP(A183,[1]按需!A$1:A$65536,1,FALSE),"")</f>
        <v/>
      </c>
      <c r="M183" s="18" t="inlineStr">
        <is>
          <t>价</t>
        </is>
      </c>
      <c r="N183" s="9" t="n">
        <v>0</v>
      </c>
      <c r="O183" s="9" t="n">
        <v>0</v>
      </c>
      <c r="P183" s="9" t="n">
        <v>0</v>
      </c>
      <c r="Q183" s="9" t="n">
        <v>6</v>
      </c>
      <c r="R183" s="9" t="n">
        <v>0</v>
      </c>
    </row>
    <row r="184">
      <c r="A184" s="15" t="inlineStr">
        <is>
          <t>SKU-0235E86E</t>
        </is>
      </c>
      <c r="B184" s="15" t="n">
        <v>100</v>
      </c>
      <c r="C184" s="21" t="inlineStr">
        <is>
          <t>Product-985CF026</t>
        </is>
      </c>
      <c r="D184" s="16" t="n">
        <v>1</v>
      </c>
      <c r="E184" s="12" t="n">
        <v>40</v>
      </c>
      <c r="F184" s="13" t="n">
        <v>0.784</v>
      </c>
      <c r="G184" s="15" t="inlineStr">
        <is>
          <t>X</t>
        </is>
      </c>
      <c r="H184" s="18" t="inlineStr">
        <is>
          <t>细</t>
        </is>
      </c>
      <c r="I184" s="16" t="inlineStr">
        <is>
          <t>Brand-Anonymized</t>
        </is>
      </c>
      <c r="J184" s="18" t="n">
        <v>200</v>
      </c>
      <c r="K184" s="18" t="inlineStr">
        <is>
          <t>C</t>
        </is>
      </c>
      <c r="L184" s="18">
        <f>IFERROR(VLOOKUP(A184,[1]按需!A$1:A$65536,1,FALSE),"")</f>
        <v/>
      </c>
      <c r="M184" s="18" t="inlineStr"/>
      <c r="N184" s="9" t="n">
        <v>0</v>
      </c>
      <c r="O184" s="9" t="n">
        <v>0</v>
      </c>
      <c r="P184" s="9" t="n">
        <v>20</v>
      </c>
      <c r="Q184" s="9" t="n">
        <v>0</v>
      </c>
      <c r="R184" s="9" t="n">
        <v>20</v>
      </c>
    </row>
    <row r="185">
      <c r="A185" s="15" t="inlineStr">
        <is>
          <t>SKU-DD695261</t>
        </is>
      </c>
      <c r="B185" s="15" t="n">
        <v>100</v>
      </c>
      <c r="C185" s="21" t="inlineStr">
        <is>
          <t>Product-1F89A3EA</t>
        </is>
      </c>
      <c r="D185" s="16" t="n">
        <v>1</v>
      </c>
      <c r="E185" s="12" t="n">
        <v>40</v>
      </c>
      <c r="F185" s="13" t="n">
        <v>56.392</v>
      </c>
      <c r="G185" s="15" t="inlineStr">
        <is>
          <t>X</t>
        </is>
      </c>
      <c r="H185" s="18" t="inlineStr">
        <is>
          <t>细</t>
        </is>
      </c>
      <c r="I185" s="16" t="inlineStr">
        <is>
          <t>Brand-Anonymized</t>
        </is>
      </c>
      <c r="J185" s="18" t="n">
        <v>200</v>
      </c>
      <c r="K185" s="18" t="inlineStr">
        <is>
          <t>C</t>
        </is>
      </c>
      <c r="L185" s="18">
        <f>IFERROR(VLOOKUP(A185,[1]按需!A$1:A$65536,1,FALSE),"")</f>
        <v/>
      </c>
      <c r="M185" s="18" t="inlineStr"/>
      <c r="N185" s="9" t="n">
        <v>8</v>
      </c>
      <c r="O185" s="9" t="n">
        <v>8</v>
      </c>
      <c r="P185" s="9" t="n">
        <v>8</v>
      </c>
      <c r="Q185" s="9" t="n">
        <v>8</v>
      </c>
      <c r="R185" s="9" t="n">
        <v>8</v>
      </c>
    </row>
    <row r="186">
      <c r="A186" s="15" t="inlineStr">
        <is>
          <t>SKU-90D85FFD</t>
        </is>
      </c>
      <c r="B186" s="15" t="n">
        <v>100</v>
      </c>
      <c r="C186" s="24" t="inlineStr">
        <is>
          <t>Product-8495CF82</t>
        </is>
      </c>
      <c r="D186" s="16" t="n">
        <v>3</v>
      </c>
      <c r="E186" s="12" t="n">
        <v>0</v>
      </c>
      <c r="F186" s="13" t="n">
        <v>0</v>
      </c>
      <c r="G186" s="15" t="inlineStr"/>
      <c r="H186" s="18" t="inlineStr"/>
      <c r="I186" s="16" t="inlineStr">
        <is>
          <t>Brand-Anonymized</t>
        </is>
      </c>
      <c r="J186" s="18" t="n">
        <v>200</v>
      </c>
      <c r="K186" s="18" t="n"/>
      <c r="L186" s="18">
        <f>IFERROR(VLOOKUP(A186,[1]按需!A$1:A$65536,1,FALSE),"")</f>
        <v/>
      </c>
      <c r="M186" s="18" t="inlineStr"/>
      <c r="N186" s="9" t="n"/>
      <c r="O186" s="9" t="n"/>
      <c r="P186" s="9" t="n"/>
      <c r="Q186" s="9" t="n"/>
      <c r="R186" s="9" t="n"/>
    </row>
    <row r="187">
      <c r="A187" s="15" t="inlineStr">
        <is>
          <t>SKU-0CA1EAE0</t>
        </is>
      </c>
      <c r="B187" s="15" t="n">
        <v>100</v>
      </c>
      <c r="C187" s="10" t="inlineStr">
        <is>
          <t>Product-3E742E78</t>
        </is>
      </c>
      <c r="D187" s="16" t="n">
        <v>3</v>
      </c>
      <c r="E187" s="12" t="n">
        <v>345</v>
      </c>
      <c r="F187" s="13" t="n">
        <v>127.4</v>
      </c>
      <c r="G187" s="20" t="inlineStr">
        <is>
          <t>T</t>
        </is>
      </c>
      <c r="H187" s="18" t="inlineStr"/>
      <c r="I187" s="16" t="inlineStr">
        <is>
          <t>Brand-Anonymized</t>
        </is>
      </c>
      <c r="J187" s="18" t="n">
        <v>200</v>
      </c>
      <c r="K187" s="18" t="n"/>
      <c r="L187" s="18">
        <f>IFERROR(VLOOKUP(A187,[1]按需!A$1:A$65536,1,FALSE),"")</f>
        <v/>
      </c>
      <c r="M187" s="18" t="inlineStr"/>
      <c r="N187" s="9" t="n"/>
      <c r="O187" s="9" t="n"/>
      <c r="P187" s="9" t="n"/>
      <c r="Q187" s="9" t="n"/>
      <c r="R187" s="9" t="n"/>
    </row>
    <row r="188">
      <c r="A188" s="15" t="inlineStr">
        <is>
          <t>SKU-1A13518F</t>
        </is>
      </c>
      <c r="B188" s="15" t="n">
        <v>100</v>
      </c>
      <c r="C188" s="10" t="inlineStr">
        <is>
          <t>Product-8FB93E92</t>
        </is>
      </c>
      <c r="D188" s="16" t="n">
        <v>1</v>
      </c>
      <c r="E188" s="12" t="n">
        <v>10</v>
      </c>
      <c r="F188" s="13" t="n">
        <v>1.28</v>
      </c>
      <c r="G188" s="15" t="inlineStr">
        <is>
          <t>X</t>
        </is>
      </c>
      <c r="H188" s="18" t="inlineStr">
        <is>
          <t>长</t>
        </is>
      </c>
      <c r="I188" s="16" t="inlineStr">
        <is>
          <t>Brand-Anonymized</t>
        </is>
      </c>
      <c r="J188" s="18" t="n">
        <v>200</v>
      </c>
      <c r="K188" s="18" t="inlineStr">
        <is>
          <t>C</t>
        </is>
      </c>
      <c r="L188" s="18">
        <f>IFERROR(VLOOKUP(A188,[1]按需!A$1:A$65536,1,FALSE),"")</f>
        <v/>
      </c>
      <c r="M188" s="18" t="inlineStr"/>
      <c r="N188" s="9" t="n">
        <v>0</v>
      </c>
      <c r="O188" s="9" t="n">
        <v>0</v>
      </c>
      <c r="P188" s="9" t="n">
        <v>0</v>
      </c>
      <c r="Q188" s="9" t="n">
        <v>10</v>
      </c>
      <c r="R188" s="9" t="n">
        <v>0</v>
      </c>
    </row>
    <row r="189">
      <c r="A189" s="15" t="inlineStr">
        <is>
          <t>SKU-2A4BA231</t>
        </is>
      </c>
      <c r="B189" s="15" t="n">
        <v>100</v>
      </c>
      <c r="C189" s="21" t="inlineStr">
        <is>
          <t>Product-A79881AA</t>
        </is>
      </c>
      <c r="D189" s="16" t="n">
        <v>2</v>
      </c>
      <c r="E189" s="12" t="n">
        <v>125</v>
      </c>
      <c r="F189" s="13" t="n">
        <v>37.78</v>
      </c>
      <c r="G189" s="15" t="inlineStr">
        <is>
          <t>X</t>
        </is>
      </c>
      <c r="H189" s="18" t="inlineStr">
        <is>
          <t>细</t>
        </is>
      </c>
      <c r="I189" s="16" t="inlineStr">
        <is>
          <t>Brand-Anonymized</t>
        </is>
      </c>
      <c r="J189" s="18" t="n">
        <v>200</v>
      </c>
      <c r="K189" s="18" t="inlineStr">
        <is>
          <t>C</t>
        </is>
      </c>
      <c r="L189" s="18">
        <f>IFERROR(VLOOKUP(A189,[1]按需!A$1:A$65536,1,FALSE),"")</f>
        <v/>
      </c>
      <c r="M189" s="18" t="inlineStr">
        <is>
          <t>价</t>
        </is>
      </c>
      <c r="N189" s="9" t="n">
        <v>0</v>
      </c>
      <c r="O189" s="9" t="n">
        <v>0</v>
      </c>
      <c r="P189" s="9" t="n">
        <v>65</v>
      </c>
      <c r="Q189" s="9" t="n">
        <v>0</v>
      </c>
      <c r="R189" s="9" t="n">
        <v>60</v>
      </c>
    </row>
    <row r="190">
      <c r="A190" s="15" t="inlineStr">
        <is>
          <t>SKU-ED5BD0B6</t>
        </is>
      </c>
      <c r="B190" s="15" t="n">
        <v>100</v>
      </c>
      <c r="C190" s="10" t="inlineStr">
        <is>
          <t>Product-37500256</t>
        </is>
      </c>
      <c r="D190" s="16" t="n">
        <v>1</v>
      </c>
      <c r="E190" s="12" t="n">
        <v>3.764</v>
      </c>
      <c r="F190" s="13" t="n">
        <v>10.192</v>
      </c>
      <c r="G190" s="15" t="inlineStr">
        <is>
          <t>C</t>
        </is>
      </c>
      <c r="H190" s="18" t="inlineStr">
        <is>
          <t>标</t>
        </is>
      </c>
      <c r="I190" s="16" t="inlineStr">
        <is>
          <t>Brand-Anonymized</t>
        </is>
      </c>
      <c r="J190" s="18" t="n">
        <v>200</v>
      </c>
      <c r="K190" s="18" t="inlineStr">
        <is>
          <t>C</t>
        </is>
      </c>
      <c r="L190" s="18">
        <f>IFERROR(VLOOKUP(A190,[1]按需!A$1:A$65536,1,FALSE),"")</f>
        <v/>
      </c>
      <c r="M190" s="18" t="inlineStr">
        <is>
          <t>价</t>
        </is>
      </c>
      <c r="N190" s="9" t="n">
        <v>3.764</v>
      </c>
      <c r="O190" s="9" t="n">
        <v>0</v>
      </c>
      <c r="P190" s="9" t="n">
        <v>0</v>
      </c>
      <c r="Q190" s="9" t="n">
        <v>0</v>
      </c>
      <c r="R190" s="9" t="n">
        <v>0</v>
      </c>
    </row>
    <row r="191">
      <c r="A191" s="15" t="inlineStr">
        <is>
          <t>SKU-CC550B39</t>
        </is>
      </c>
      <c r="B191" s="15" t="n">
        <v>100</v>
      </c>
      <c r="C191" s="10" t="inlineStr">
        <is>
          <t>Product-A79881AA</t>
        </is>
      </c>
      <c r="D191" s="16" t="n">
        <v>2</v>
      </c>
      <c r="E191" s="12" t="n">
        <v>0</v>
      </c>
      <c r="F191" s="13" t="n">
        <v>0</v>
      </c>
      <c r="G191" s="15" t="inlineStr"/>
      <c r="H191" s="18" t="inlineStr">
        <is>
          <t>细</t>
        </is>
      </c>
      <c r="I191" s="16" t="inlineStr">
        <is>
          <t>Brand-Anonymized</t>
        </is>
      </c>
      <c r="J191" s="18" t="n">
        <v>200</v>
      </c>
      <c r="K191" s="18" t="inlineStr">
        <is>
          <t>C</t>
        </is>
      </c>
      <c r="L191" s="18">
        <f>IFERROR(VLOOKUP(A191,[1]按需!A$1:A$65536,1,FALSE),"")</f>
        <v/>
      </c>
      <c r="M191" s="18" t="inlineStr"/>
      <c r="N191" s="9" t="n"/>
      <c r="O191" s="9" t="n"/>
      <c r="P191" s="9" t="n"/>
      <c r="Q191" s="9" t="n"/>
      <c r="R191" s="9" t="n"/>
    </row>
    <row r="192">
      <c r="A192" s="15" t="inlineStr">
        <is>
          <t>SKU-B8E6833E</t>
        </is>
      </c>
      <c r="B192" s="15" t="n">
        <v>100</v>
      </c>
      <c r="C192" s="10" t="inlineStr">
        <is>
          <t>Product-54830959</t>
        </is>
      </c>
      <c r="D192" s="16" t="n">
        <v>1</v>
      </c>
      <c r="E192" s="12" t="n">
        <v>10</v>
      </c>
      <c r="F192" s="13" t="n">
        <v>11.08</v>
      </c>
      <c r="G192" s="15" t="inlineStr">
        <is>
          <t>C</t>
        </is>
      </c>
      <c r="H192" s="18" t="inlineStr">
        <is>
          <t>标</t>
        </is>
      </c>
      <c r="I192" s="16" t="inlineStr">
        <is>
          <t>Brand-Anonymized</t>
        </is>
      </c>
      <c r="J192" s="18" t="n">
        <v>200</v>
      </c>
      <c r="K192" s="18" t="inlineStr">
        <is>
          <t>C</t>
        </is>
      </c>
      <c r="L192" s="18">
        <f>IFERROR(VLOOKUP(A192,[1]按需!A$1:A$65536,1,FALSE),"")</f>
        <v/>
      </c>
      <c r="M192" s="18" t="inlineStr">
        <is>
          <t>价</t>
        </is>
      </c>
      <c r="N192" s="9" t="n">
        <v>0</v>
      </c>
      <c r="O192" s="9" t="n">
        <v>5.016</v>
      </c>
      <c r="P192" s="9" t="n">
        <v>0</v>
      </c>
      <c r="Q192" s="9" t="n">
        <v>4.984</v>
      </c>
      <c r="R192" s="9" t="n">
        <v>0</v>
      </c>
    </row>
    <row r="193">
      <c r="A193" s="15" t="inlineStr">
        <is>
          <t>SKU-BDBE5AF3</t>
        </is>
      </c>
      <c r="B193" s="15" t="n">
        <v>100</v>
      </c>
      <c r="C193" s="10" t="inlineStr">
        <is>
          <t>Product-D0D1552E</t>
        </is>
      </c>
      <c r="D193" s="16" t="n">
        <v>1</v>
      </c>
      <c r="E193" s="12" t="n">
        <v>5</v>
      </c>
      <c r="F193" s="13" t="n">
        <v>2.624</v>
      </c>
      <c r="G193" s="15" t="inlineStr">
        <is>
          <t>X</t>
        </is>
      </c>
      <c r="H193" s="18" t="inlineStr">
        <is>
          <t>标</t>
        </is>
      </c>
      <c r="I193" s="16" t="inlineStr">
        <is>
          <t>Brand-Anonymized</t>
        </is>
      </c>
      <c r="J193" s="18" t="n">
        <v>200</v>
      </c>
      <c r="K193" s="18" t="inlineStr">
        <is>
          <t>C</t>
        </is>
      </c>
      <c r="L193" s="18">
        <f>IFERROR(VLOOKUP(A193,[1]按需!A$1:A$65536,1,FALSE),"")</f>
        <v/>
      </c>
      <c r="M193" s="18" t="inlineStr"/>
      <c r="N193" s="9" t="n">
        <v>0</v>
      </c>
      <c r="O193" s="9" t="n">
        <v>0</v>
      </c>
      <c r="P193" s="9" t="n">
        <v>5</v>
      </c>
      <c r="Q193" s="9" t="n">
        <v>0</v>
      </c>
      <c r="R193" s="9" t="n">
        <v>0</v>
      </c>
    </row>
    <row r="194">
      <c r="A194" s="15" t="inlineStr">
        <is>
          <t>SKU-79826401</t>
        </is>
      </c>
      <c r="B194" s="15" t="n">
        <v>100</v>
      </c>
      <c r="C194" s="10" t="inlineStr">
        <is>
          <t>Product-452F733D</t>
        </is>
      </c>
      <c r="D194" s="16" t="n">
        <v>3</v>
      </c>
      <c r="E194" s="12" t="n">
        <v>190.044</v>
      </c>
      <c r="F194" s="13" t="n">
        <v>31.74</v>
      </c>
      <c r="G194" s="15" t="inlineStr"/>
      <c r="H194" s="18" t="inlineStr"/>
      <c r="I194" s="16" t="inlineStr">
        <is>
          <t>Brand-Anonymized</t>
        </is>
      </c>
      <c r="J194" s="18" t="n">
        <v>200</v>
      </c>
      <c r="K194" s="18" t="n"/>
      <c r="L194" s="18">
        <f>IFERROR(VLOOKUP(A194,[1]按需!A$1:A$65536,1,FALSE),"")</f>
        <v/>
      </c>
      <c r="M194" s="18" t="inlineStr"/>
      <c r="N194" s="9" t="n"/>
      <c r="O194" s="9" t="n"/>
      <c r="P194" s="9" t="n"/>
      <c r="Q194" s="9" t="n"/>
      <c r="R194" s="9" t="n"/>
    </row>
    <row r="195">
      <c r="A195" s="15" t="inlineStr">
        <is>
          <t>SKU-DB6C02A0</t>
        </is>
      </c>
      <c r="B195" s="15" t="n">
        <v>100</v>
      </c>
      <c r="C195" s="10" t="inlineStr">
        <is>
          <t>Product-18DC03C1</t>
        </is>
      </c>
      <c r="D195" s="16" t="n">
        <v>2</v>
      </c>
      <c r="E195" s="12" t="n">
        <v>110.6</v>
      </c>
      <c r="F195" s="13" t="n">
        <v>1.428</v>
      </c>
      <c r="G195" s="15" t="inlineStr"/>
      <c r="H195" s="18" t="inlineStr"/>
      <c r="I195" s="16" t="inlineStr">
        <is>
          <t>Brand-Anonymized</t>
        </is>
      </c>
      <c r="J195" s="18" t="n">
        <v>200</v>
      </c>
      <c r="K195" s="18" t="n"/>
      <c r="L195" s="18">
        <f>IFERROR(VLOOKUP(A195,[1]按需!A$1:A$65536,1,FALSE),"")</f>
        <v/>
      </c>
      <c r="M195" s="18" t="inlineStr">
        <is>
          <t>价</t>
        </is>
      </c>
      <c r="N195" s="9" t="n"/>
      <c r="O195" s="9" t="n"/>
      <c r="P195" s="9" t="n"/>
      <c r="Q195" s="9" t="n"/>
      <c r="R195" s="9" t="n"/>
    </row>
    <row r="196">
      <c r="A196" s="15" t="inlineStr">
        <is>
          <t>SKU-E14497CA</t>
        </is>
      </c>
      <c r="B196" s="15" t="n">
        <v>100</v>
      </c>
      <c r="C196" s="10" t="inlineStr">
        <is>
          <t>Product-AC3C224F</t>
        </is>
      </c>
      <c r="D196" s="16" t="n">
        <v>1</v>
      </c>
      <c r="E196" s="12" t="n">
        <v>267.7</v>
      </c>
      <c r="F196" s="13" t="n">
        <v>174.06</v>
      </c>
      <c r="G196" s="15" t="inlineStr"/>
      <c r="H196" s="18" t="inlineStr"/>
      <c r="I196" s="16" t="inlineStr">
        <is>
          <t>Brand-Anonymized</t>
        </is>
      </c>
      <c r="J196" s="18" t="n">
        <v>200</v>
      </c>
      <c r="K196" s="18" t="n"/>
      <c r="L196" s="18">
        <f>IFERROR(VLOOKUP(A196,[1]按需!A$1:A$65536,1,FALSE),"")</f>
        <v/>
      </c>
      <c r="M196" s="18" t="inlineStr">
        <is>
          <t>价</t>
        </is>
      </c>
      <c r="N196" s="9" t="n"/>
      <c r="O196" s="9" t="n"/>
      <c r="P196" s="9" t="n"/>
      <c r="Q196" s="9" t="n"/>
      <c r="R196" s="9" t="n"/>
    </row>
    <row r="197">
      <c r="A197" s="15" t="inlineStr">
        <is>
          <t>SKU-6CCA830B</t>
        </is>
      </c>
      <c r="B197" s="15" t="n">
        <v>100</v>
      </c>
      <c r="C197" s="24" t="inlineStr">
        <is>
          <t>Product-CA7C0C7F</t>
        </is>
      </c>
      <c r="D197" s="16" t="n">
        <v>1</v>
      </c>
      <c r="E197" s="12" t="n">
        <v>0</v>
      </c>
      <c r="F197" s="13" t="n">
        <v>0</v>
      </c>
      <c r="G197" s="15" t="inlineStr"/>
      <c r="H197" s="18" t="inlineStr">
        <is>
          <t>标</t>
        </is>
      </c>
      <c r="I197" s="16" t="inlineStr">
        <is>
          <t>Brand-Anonymized</t>
        </is>
      </c>
      <c r="J197" s="18" t="n">
        <v>200</v>
      </c>
      <c r="K197" s="18" t="inlineStr">
        <is>
          <t>C</t>
        </is>
      </c>
      <c r="L197" s="18">
        <f>IFERROR(VLOOKUP(A197,[1]按需!A$1:A$65536,1,FALSE),"")</f>
        <v/>
      </c>
      <c r="M197" s="18" t="inlineStr"/>
      <c r="N197" s="9" t="n"/>
      <c r="O197" s="9" t="n"/>
      <c r="P197" s="9" t="n"/>
      <c r="Q197" s="9" t="n"/>
      <c r="R197" s="9" t="n"/>
    </row>
    <row r="198">
      <c r="A198" s="15" t="inlineStr">
        <is>
          <t>SKU-E3215199</t>
        </is>
      </c>
      <c r="B198" s="15" t="n">
        <v>100</v>
      </c>
      <c r="C198" s="10" t="inlineStr">
        <is>
          <t>Product-785E134D</t>
        </is>
      </c>
      <c r="D198" s="16" t="n">
        <v>1</v>
      </c>
      <c r="E198" s="12" t="n">
        <v>100.4</v>
      </c>
      <c r="F198" s="13" t="n">
        <v>64.788</v>
      </c>
      <c r="G198" s="15" t="inlineStr"/>
      <c r="H198" s="18" t="inlineStr">
        <is>
          <t>细</t>
        </is>
      </c>
      <c r="I198" s="16" t="inlineStr">
        <is>
          <t>Brand-Anonymized</t>
        </is>
      </c>
      <c r="J198" s="18" t="n">
        <v>200</v>
      </c>
      <c r="K198" s="18" t="inlineStr">
        <is>
          <t>C</t>
        </is>
      </c>
      <c r="L198" s="18">
        <f>IFERROR(VLOOKUP(A198,[1]按需!A$1:A$65536,1,FALSE),"")</f>
        <v/>
      </c>
      <c r="M198" s="18" t="inlineStr">
        <is>
          <t>价</t>
        </is>
      </c>
      <c r="N198" s="9" t="n"/>
      <c r="O198" s="9" t="n"/>
      <c r="P198" s="9" t="n"/>
      <c r="Q198" s="9" t="n"/>
      <c r="R198" s="9" t="n"/>
    </row>
    <row r="199">
      <c r="A199" s="15" t="inlineStr">
        <is>
          <t>SKU-68F79613</t>
        </is>
      </c>
      <c r="B199" s="15" t="n">
        <v>100</v>
      </c>
      <c r="C199" s="10" t="inlineStr">
        <is>
          <t>Product-4107E6DB</t>
        </is>
      </c>
      <c r="D199" s="16" t="n">
        <v>1</v>
      </c>
      <c r="E199" s="12" t="n">
        <v>16</v>
      </c>
      <c r="F199" s="13" t="n">
        <v>2.34</v>
      </c>
      <c r="G199" s="15" t="inlineStr">
        <is>
          <t>C</t>
        </is>
      </c>
      <c r="H199" s="18" t="inlineStr">
        <is>
          <t>方</t>
        </is>
      </c>
      <c r="I199" s="16" t="inlineStr">
        <is>
          <t>Brand-Anonymized</t>
        </is>
      </c>
      <c r="J199" s="18" t="n">
        <v>200</v>
      </c>
      <c r="K199" s="18" t="inlineStr">
        <is>
          <t>C</t>
        </is>
      </c>
      <c r="L199" s="25" t="inlineStr">
        <is>
          <t>需</t>
        </is>
      </c>
      <c r="M199" s="18" t="inlineStr"/>
      <c r="N199" s="9" t="n">
        <v>0</v>
      </c>
      <c r="O199" s="9" t="n">
        <v>0</v>
      </c>
      <c r="P199" s="9" t="n">
        <v>16</v>
      </c>
      <c r="Q199" s="9" t="n">
        <v>0</v>
      </c>
      <c r="R199" s="9" t="n">
        <v>0</v>
      </c>
    </row>
    <row r="200">
      <c r="A200" s="15" t="inlineStr">
        <is>
          <t>SKU-6E0FD480</t>
        </is>
      </c>
      <c r="B200" s="15" t="n">
        <v>100</v>
      </c>
      <c r="C200" s="23" t="inlineStr">
        <is>
          <t>Product-0D40CFCC</t>
        </is>
      </c>
      <c r="D200" s="16" t="n">
        <v>1</v>
      </c>
      <c r="E200" s="12" t="n">
        <v>0</v>
      </c>
      <c r="F200" s="13" t="n">
        <v>0</v>
      </c>
      <c r="G200" s="15" t="inlineStr"/>
      <c r="H200" s="18" t="inlineStr">
        <is>
          <t>标</t>
        </is>
      </c>
      <c r="I200" s="16" t="inlineStr">
        <is>
          <t>Brand-Anonymized</t>
        </is>
      </c>
      <c r="J200" s="18" t="n">
        <v>200</v>
      </c>
      <c r="K200" s="18" t="inlineStr">
        <is>
          <t>C</t>
        </is>
      </c>
      <c r="L200" s="18">
        <f>IFERROR(VLOOKUP(A200,[1]按需!A$1:A$65536,1,FALSE),"")</f>
        <v/>
      </c>
      <c r="M200" s="18" t="inlineStr"/>
      <c r="N200" s="9" t="n"/>
      <c r="O200" s="9" t="n"/>
      <c r="P200" s="9" t="n"/>
      <c r="Q200" s="9" t="n"/>
      <c r="R200" s="9" t="n"/>
    </row>
    <row r="201">
      <c r="A201" s="15" t="inlineStr">
        <is>
          <t>SKU-72F9B4C9</t>
        </is>
      </c>
      <c r="B201" s="15" t="n">
        <v>100</v>
      </c>
      <c r="C201" s="21" t="inlineStr">
        <is>
          <t>Product-3E6ACFC9</t>
        </is>
      </c>
      <c r="D201" s="16" t="n">
        <v>1</v>
      </c>
      <c r="E201" s="12" t="n">
        <v>4</v>
      </c>
      <c r="F201" s="26" t="n">
        <v>2.672</v>
      </c>
      <c r="G201" s="15" t="inlineStr">
        <is>
          <t>X</t>
        </is>
      </c>
      <c r="H201" s="18" t="inlineStr">
        <is>
          <t>标</t>
        </is>
      </c>
      <c r="I201" s="16" t="inlineStr">
        <is>
          <t>Brand-Anonymized</t>
        </is>
      </c>
      <c r="J201" s="18" t="n">
        <v>200</v>
      </c>
      <c r="K201" s="18" t="inlineStr">
        <is>
          <t>C</t>
        </is>
      </c>
      <c r="L201" s="18">
        <f>IFERROR(VLOOKUP(A201,[1]按需!A$1:A$65536,1,FALSE),"")</f>
        <v/>
      </c>
      <c r="M201" s="18" t="inlineStr"/>
      <c r="N201" s="27" t="n">
        <v>2.6</v>
      </c>
      <c r="O201" s="9" t="n">
        <v>0</v>
      </c>
      <c r="P201" s="9" t="n">
        <v>1.4</v>
      </c>
      <c r="Q201" s="9" t="n">
        <v>0</v>
      </c>
      <c r="R201" s="9" t="n">
        <v>0</v>
      </c>
    </row>
    <row r="202">
      <c r="A202" s="15" t="inlineStr">
        <is>
          <t>SKU-1F2C7CE6</t>
        </is>
      </c>
      <c r="B202" s="15" t="n">
        <v>100</v>
      </c>
      <c r="C202" s="21" t="inlineStr">
        <is>
          <t>Product-54D1E3E5</t>
        </is>
      </c>
      <c r="D202" s="16" t="n">
        <v>1</v>
      </c>
      <c r="E202" s="12" t="n">
        <v>60</v>
      </c>
      <c r="F202" s="26" t="n">
        <v>17.216</v>
      </c>
      <c r="G202" s="15" t="inlineStr">
        <is>
          <t>X</t>
        </is>
      </c>
      <c r="H202" s="18" t="inlineStr">
        <is>
          <t>细</t>
        </is>
      </c>
      <c r="I202" s="16" t="inlineStr">
        <is>
          <t>Brand-Anonymized</t>
        </is>
      </c>
      <c r="J202" s="18" t="n">
        <v>200</v>
      </c>
      <c r="K202" s="18" t="inlineStr">
        <is>
          <t>C</t>
        </is>
      </c>
      <c r="L202" s="18">
        <f>IFERROR(VLOOKUP(A202,[1]按需!A$1:A$65536,1,FALSE),"")</f>
        <v/>
      </c>
      <c r="M202" s="18" t="inlineStr"/>
      <c r="N202" s="27" t="n">
        <v>17</v>
      </c>
      <c r="O202" s="9" t="n">
        <v>0</v>
      </c>
      <c r="P202" s="9" t="n">
        <v>22</v>
      </c>
      <c r="Q202" s="9" t="n">
        <v>0</v>
      </c>
      <c r="R202" s="9" t="n">
        <v>21</v>
      </c>
    </row>
    <row r="203">
      <c r="A203" s="15" t="inlineStr">
        <is>
          <t>SKU-BA48AA06</t>
        </is>
      </c>
      <c r="B203" s="15" t="n">
        <v>100</v>
      </c>
      <c r="C203" s="21" t="inlineStr">
        <is>
          <t>Product-51A3BAAC</t>
        </is>
      </c>
      <c r="D203" s="16" t="n">
        <v>1</v>
      </c>
      <c r="E203" s="12" t="n">
        <v>30</v>
      </c>
      <c r="F203" s="26" t="n">
        <v>5.672</v>
      </c>
      <c r="G203" s="15" t="inlineStr">
        <is>
          <t>X</t>
        </is>
      </c>
      <c r="H203" s="18" t="inlineStr">
        <is>
          <t>标</t>
        </is>
      </c>
      <c r="I203" s="16" t="inlineStr">
        <is>
          <t>Brand-Anonymized</t>
        </is>
      </c>
      <c r="J203" s="18" t="n">
        <v>200</v>
      </c>
      <c r="K203" s="18" t="inlineStr">
        <is>
          <t>C</t>
        </is>
      </c>
      <c r="L203" s="18">
        <f>IFERROR(VLOOKUP(A203,[1]按需!A$1:A$65536,1,FALSE),"")</f>
        <v/>
      </c>
      <c r="M203" s="18" t="inlineStr"/>
      <c r="N203" s="27" t="n">
        <v>0</v>
      </c>
      <c r="O203" s="9" t="n">
        <v>0</v>
      </c>
      <c r="P203" s="28" t="n">
        <v>11.8</v>
      </c>
      <c r="Q203" s="9" t="n">
        <v>0</v>
      </c>
      <c r="R203" s="9" t="n">
        <v>18.2</v>
      </c>
    </row>
    <row r="204">
      <c r="A204" s="15" t="inlineStr">
        <is>
          <t>SKU-CD13E71E</t>
        </is>
      </c>
      <c r="B204" s="15" t="n">
        <v>100</v>
      </c>
      <c r="C204" s="10" t="inlineStr">
        <is>
          <t>Product-EA59DDCC</t>
        </is>
      </c>
      <c r="D204" s="16" t="n">
        <v>2</v>
      </c>
      <c r="E204" s="12" t="n">
        <v>30.7</v>
      </c>
      <c r="F204" s="13" t="n">
        <v>1.044</v>
      </c>
      <c r="G204" s="15" t="inlineStr">
        <is>
          <t>T</t>
        </is>
      </c>
      <c r="H204" s="18" t="inlineStr">
        <is>
          <t>标</t>
        </is>
      </c>
      <c r="I204" s="16" t="inlineStr">
        <is>
          <t>Brand-Anonymized</t>
        </is>
      </c>
      <c r="J204" s="18" t="n">
        <v>200</v>
      </c>
      <c r="K204" s="18" t="inlineStr">
        <is>
          <t>C</t>
        </is>
      </c>
      <c r="L204" s="18">
        <f>IFERROR(VLOOKUP(A204,[1]按需!A$1:A$65536,1,FALSE),"")</f>
        <v/>
      </c>
      <c r="M204" s="18" t="inlineStr">
        <is>
          <t>价</t>
        </is>
      </c>
      <c r="N204" s="9" t="n"/>
      <c r="O204" s="9" t="n"/>
      <c r="P204" s="9" t="n"/>
      <c r="Q204" s="9" t="n"/>
      <c r="R204" s="9" t="n"/>
    </row>
    <row r="205">
      <c r="A205" s="15" t="inlineStr">
        <is>
          <t>SKU-682BAA5A</t>
        </is>
      </c>
      <c r="B205" s="15" t="n">
        <v>100</v>
      </c>
      <c r="C205" s="10" t="inlineStr">
        <is>
          <t>Product-7E3AF14A</t>
        </is>
      </c>
      <c r="D205" s="16" t="n">
        <v>2</v>
      </c>
      <c r="E205" s="12" t="n">
        <v>94.90000000000001</v>
      </c>
      <c r="F205" s="13" t="n">
        <v>5.4</v>
      </c>
      <c r="G205" s="15" t="inlineStr"/>
      <c r="H205" s="18" t="inlineStr"/>
      <c r="I205" s="16" t="inlineStr">
        <is>
          <t>Brand-Anonymized</t>
        </is>
      </c>
      <c r="J205" s="18" t="n">
        <v>200</v>
      </c>
      <c r="K205" s="18" t="n"/>
      <c r="L205" s="18">
        <f>IFERROR(VLOOKUP(A205,[1]按需!A$1:A$65536,1,FALSE),"")</f>
        <v/>
      </c>
      <c r="M205" s="18" t="inlineStr">
        <is>
          <t>价</t>
        </is>
      </c>
      <c r="N205" s="9" t="n"/>
      <c r="O205" s="9" t="n"/>
      <c r="P205" s="9" t="n"/>
      <c r="Q205" s="9" t="n"/>
      <c r="R205" s="9" t="n"/>
    </row>
    <row r="206">
      <c r="A206" s="15" t="inlineStr">
        <is>
          <t>SKU-101252A9</t>
        </is>
      </c>
      <c r="B206" s="15" t="n">
        <v>100</v>
      </c>
      <c r="C206" s="19" t="inlineStr">
        <is>
          <t>Product-7A8380EF</t>
        </is>
      </c>
      <c r="D206" s="16" t="n">
        <v>1</v>
      </c>
      <c r="E206" s="12" t="n">
        <v>0</v>
      </c>
      <c r="F206" s="13" t="n">
        <v>0</v>
      </c>
      <c r="G206" s="15" t="inlineStr"/>
      <c r="H206" s="18" t="inlineStr"/>
      <c r="I206" s="16" t="inlineStr">
        <is>
          <t>Brand-Anonymized</t>
        </is>
      </c>
      <c r="J206" s="18" t="n">
        <v>200</v>
      </c>
      <c r="K206" s="18" t="n"/>
      <c r="L206" s="18">
        <f>IFERROR(VLOOKUP(A206,[1]按需!A$1:A$65536,1,FALSE),"")</f>
        <v/>
      </c>
      <c r="M206" s="18" t="inlineStr"/>
      <c r="N206" s="9" t="n"/>
      <c r="O206" s="9" t="n"/>
      <c r="P206" s="9" t="n"/>
      <c r="Q206" s="9" t="n"/>
      <c r="R206" s="9" t="n"/>
    </row>
    <row r="207">
      <c r="A207" s="15" t="inlineStr">
        <is>
          <t>SKU-77C0CC77</t>
        </is>
      </c>
      <c r="B207" s="15" t="n">
        <v>100</v>
      </c>
      <c r="C207" s="10" t="inlineStr">
        <is>
          <t>Product-429E8612</t>
        </is>
      </c>
      <c r="D207" s="16" t="n">
        <v>1</v>
      </c>
      <c r="E207" s="12" t="n">
        <v>16</v>
      </c>
      <c r="F207" s="13" t="n">
        <v>3.808</v>
      </c>
      <c r="G207" s="15" t="inlineStr">
        <is>
          <t>X</t>
        </is>
      </c>
      <c r="H207" s="18" t="inlineStr">
        <is>
          <t>细</t>
        </is>
      </c>
      <c r="I207" s="16" t="inlineStr">
        <is>
          <t>Brand-Anonymized</t>
        </is>
      </c>
      <c r="J207" s="18" t="n">
        <v>200</v>
      </c>
      <c r="K207" s="18" t="inlineStr">
        <is>
          <t>C</t>
        </is>
      </c>
      <c r="L207" s="18">
        <f>IFERROR(VLOOKUP(A207,[1]按需!A$1:A$65536,1,FALSE),"")</f>
        <v/>
      </c>
      <c r="M207" s="18" t="inlineStr"/>
      <c r="N207" s="9" t="n">
        <v>0</v>
      </c>
      <c r="O207" s="9" t="n">
        <v>0</v>
      </c>
      <c r="P207" s="9" t="n">
        <v>8</v>
      </c>
      <c r="Q207" s="9" t="n">
        <v>0</v>
      </c>
      <c r="R207" s="9" t="n">
        <v>8</v>
      </c>
    </row>
    <row r="208">
      <c r="A208" s="15" t="inlineStr">
        <is>
          <t>SKU-3BA438F1</t>
        </is>
      </c>
      <c r="B208" s="15" t="n">
        <v>100</v>
      </c>
      <c r="C208" s="10" t="inlineStr">
        <is>
          <t>Product-775BB8DC</t>
        </is>
      </c>
      <c r="D208" s="16" t="n">
        <v>2</v>
      </c>
      <c r="E208" s="12" t="n">
        <v>87.2</v>
      </c>
      <c r="F208" s="13" t="n">
        <v>57.44</v>
      </c>
      <c r="G208" s="15" t="inlineStr"/>
      <c r="H208" s="18" t="inlineStr">
        <is>
          <t>细</t>
        </is>
      </c>
      <c r="I208" s="16" t="inlineStr">
        <is>
          <t>Brand-Anonymized</t>
        </is>
      </c>
      <c r="J208" s="18" t="n">
        <v>200</v>
      </c>
      <c r="K208" s="18" t="inlineStr">
        <is>
          <t>C</t>
        </is>
      </c>
      <c r="L208" s="18">
        <f>IFERROR(VLOOKUP(A208,[1]按需!A$1:A$65536,1,FALSE),"")</f>
        <v/>
      </c>
      <c r="M208" s="18" t="inlineStr">
        <is>
          <t>价</t>
        </is>
      </c>
      <c r="N208" s="9" t="n"/>
      <c r="O208" s="9" t="n"/>
      <c r="P208" s="9" t="n"/>
      <c r="Q208" s="9" t="n"/>
      <c r="R208" s="9" t="n"/>
    </row>
    <row r="209">
      <c r="A209" s="15" t="inlineStr">
        <is>
          <t>SKU-D2E77FA5</t>
        </is>
      </c>
      <c r="B209" s="15" t="n">
        <v>100</v>
      </c>
      <c r="C209" s="10" t="inlineStr">
        <is>
          <t>Product-A722DB58</t>
        </is>
      </c>
      <c r="D209" s="16" t="n">
        <v>1</v>
      </c>
      <c r="E209" s="12" t="n">
        <v>83</v>
      </c>
      <c r="F209" s="13" t="n">
        <v>1.78</v>
      </c>
      <c r="G209" s="15" t="inlineStr"/>
      <c r="H209" s="18" t="inlineStr">
        <is>
          <t>细</t>
        </is>
      </c>
      <c r="I209" s="16" t="inlineStr">
        <is>
          <t>Brand-Anonymized</t>
        </is>
      </c>
      <c r="J209" s="18" t="n">
        <v>200</v>
      </c>
      <c r="K209" s="18" t="inlineStr">
        <is>
          <t>C</t>
        </is>
      </c>
      <c r="L209" s="18">
        <f>IFERROR(VLOOKUP(A209,[1]按需!A$1:A$65536,1,FALSE),"")</f>
        <v/>
      </c>
      <c r="M209" s="18" t="inlineStr">
        <is>
          <t>价</t>
        </is>
      </c>
      <c r="N209" s="9" t="n"/>
      <c r="O209" s="9" t="n"/>
      <c r="P209" s="9" t="n"/>
      <c r="Q209" s="9" t="n"/>
      <c r="R209" s="9" t="n"/>
    </row>
    <row r="210">
      <c r="A210" s="15" t="inlineStr">
        <is>
          <t>SKU-9FDA4198</t>
        </is>
      </c>
      <c r="B210" s="15" t="n">
        <v>100</v>
      </c>
      <c r="C210" s="10" t="inlineStr">
        <is>
          <t>Product-662CAB3A</t>
        </is>
      </c>
      <c r="D210" s="16" t="n">
        <v>1</v>
      </c>
      <c r="E210" s="12" t="n">
        <v>83.56399999999999</v>
      </c>
      <c r="F210" s="13" t="n">
        <v>63.028</v>
      </c>
      <c r="G210" s="15" t="inlineStr"/>
      <c r="H210" s="18" t="inlineStr"/>
      <c r="I210" s="16" t="inlineStr">
        <is>
          <t>Brand-Anonymized</t>
        </is>
      </c>
      <c r="J210" s="18" t="n">
        <v>200</v>
      </c>
      <c r="K210" s="18" t="n"/>
      <c r="L210" s="18">
        <f>IFERROR(VLOOKUP(A210,[1]按需!A$1:A$65536,1,FALSE),"")</f>
        <v/>
      </c>
      <c r="M210" s="18" t="inlineStr">
        <is>
          <t>价</t>
        </is>
      </c>
      <c r="N210" s="9" t="n"/>
      <c r="O210" s="9" t="n"/>
      <c r="P210" s="9" t="n"/>
      <c r="Q210" s="9" t="n"/>
      <c r="R210" s="9" t="n"/>
    </row>
    <row r="211">
      <c r="A211" s="15" t="inlineStr">
        <is>
          <t>SKU-7B3ED901</t>
        </is>
      </c>
      <c r="B211" s="15" t="n">
        <v>100</v>
      </c>
      <c r="C211" s="10" t="inlineStr">
        <is>
          <t>Product-98EF7A51</t>
        </is>
      </c>
      <c r="D211" s="16" t="n">
        <v>1</v>
      </c>
      <c r="E211" s="12" t="n">
        <v>0</v>
      </c>
      <c r="F211" s="13" t="n">
        <v>0</v>
      </c>
      <c r="G211" s="15" t="inlineStr"/>
      <c r="H211" s="18" t="inlineStr">
        <is>
          <t>细</t>
        </is>
      </c>
      <c r="I211" s="16" t="inlineStr">
        <is>
          <t>Brand-Anonymized</t>
        </is>
      </c>
      <c r="J211" s="18" t="n">
        <v>200</v>
      </c>
      <c r="K211" s="18" t="inlineStr">
        <is>
          <t>C</t>
        </is>
      </c>
      <c r="L211" s="18">
        <f>IFERROR(VLOOKUP(A211,[1]按需!A$1:A$65536,1,FALSE),"")</f>
        <v/>
      </c>
      <c r="M211" s="18" t="inlineStr"/>
      <c r="N211" s="9" t="n"/>
      <c r="O211" s="9" t="n"/>
      <c r="P211" s="9" t="n"/>
      <c r="Q211" s="9" t="n"/>
      <c r="R211" s="9" t="n"/>
    </row>
    <row r="212">
      <c r="A212" s="15" t="inlineStr">
        <is>
          <t>SKU-9285E4A0</t>
        </is>
      </c>
      <c r="B212" s="15" t="n">
        <v>100</v>
      </c>
      <c r="C212" s="10" t="inlineStr">
        <is>
          <t>Product-CCB8A5AE</t>
        </is>
      </c>
      <c r="D212" s="16" t="n">
        <v>1</v>
      </c>
      <c r="E212" s="12" t="n">
        <v>52</v>
      </c>
      <c r="F212" s="13" t="n">
        <v>32.352</v>
      </c>
      <c r="G212" s="15" t="inlineStr">
        <is>
          <t>C</t>
        </is>
      </c>
      <c r="H212" s="18" t="inlineStr">
        <is>
          <t>长</t>
        </is>
      </c>
      <c r="I212" s="16" t="inlineStr">
        <is>
          <t>Brand-Anonymized</t>
        </is>
      </c>
      <c r="J212" s="18" t="n">
        <v>200</v>
      </c>
      <c r="K212" s="18" t="inlineStr">
        <is>
          <t>C</t>
        </is>
      </c>
      <c r="L212" s="18">
        <f>IFERROR(VLOOKUP(A212,[1]按需!A$1:A$65536,1,FALSE),"")</f>
        <v/>
      </c>
      <c r="M212" s="18" t="inlineStr">
        <is>
          <t>价</t>
        </is>
      </c>
      <c r="N212" s="9" t="n">
        <v>0</v>
      </c>
      <c r="O212" s="9" t="n">
        <v>26.016</v>
      </c>
      <c r="P212" s="9" t="n">
        <v>0</v>
      </c>
      <c r="Q212" s="9" t="n">
        <v>25.984</v>
      </c>
      <c r="R212" s="9" t="n">
        <v>0</v>
      </c>
    </row>
    <row r="213">
      <c r="A213" s="15" t="inlineStr">
        <is>
          <t>SKU-8F111297</t>
        </is>
      </c>
      <c r="B213" s="15" t="n">
        <v>100</v>
      </c>
      <c r="C213" s="21" t="inlineStr">
        <is>
          <t>Product-FD75D2B3</t>
        </is>
      </c>
      <c r="D213" s="16" t="n">
        <v>1</v>
      </c>
      <c r="E213" s="12" t="n">
        <v>20</v>
      </c>
      <c r="F213" s="26" t="n">
        <v>1.508</v>
      </c>
      <c r="G213" s="15" t="inlineStr">
        <is>
          <t>X</t>
        </is>
      </c>
      <c r="H213" s="18" t="inlineStr">
        <is>
          <t>长</t>
        </is>
      </c>
      <c r="I213" s="16" t="inlineStr">
        <is>
          <t>Brand-Anonymized</t>
        </is>
      </c>
      <c r="J213" s="18" t="n">
        <v>200</v>
      </c>
      <c r="K213" s="18" t="inlineStr">
        <is>
          <t>C</t>
        </is>
      </c>
      <c r="L213" s="18">
        <f>IFERROR(VLOOKUP(A213,[1]按需!A$1:A$65536,1,FALSE),"")</f>
        <v/>
      </c>
      <c r="M213" s="18" t="inlineStr"/>
      <c r="N213" s="27" t="n">
        <v>0</v>
      </c>
      <c r="O213" s="9" t="n">
        <v>0</v>
      </c>
      <c r="P213" s="9" t="n">
        <v>10</v>
      </c>
      <c r="Q213" s="9" t="n">
        <v>0</v>
      </c>
      <c r="R213" s="9" t="n">
        <v>10</v>
      </c>
    </row>
    <row r="214">
      <c r="A214" s="15" t="inlineStr">
        <is>
          <t>SKU-29633089</t>
        </is>
      </c>
      <c r="B214" s="15" t="n">
        <v>100</v>
      </c>
      <c r="C214" s="24" t="inlineStr">
        <is>
          <t>Product-719E196F</t>
        </is>
      </c>
      <c r="D214" s="16" t="n">
        <v>3</v>
      </c>
      <c r="E214" s="12" t="n">
        <v>0</v>
      </c>
      <c r="F214" s="13" t="n">
        <v>0</v>
      </c>
      <c r="G214" s="15" t="inlineStr"/>
      <c r="H214" s="18" t="inlineStr">
        <is>
          <t>标</t>
        </is>
      </c>
      <c r="I214" s="16" t="inlineStr">
        <is>
          <t>Brand-Anonymized</t>
        </is>
      </c>
      <c r="J214" s="18" t="n">
        <v>200</v>
      </c>
      <c r="K214" s="18" t="inlineStr">
        <is>
          <t>C</t>
        </is>
      </c>
      <c r="L214" s="18">
        <f>IFERROR(VLOOKUP(A214,[1]按需!A$1:A$65536,1,FALSE),"")</f>
        <v/>
      </c>
      <c r="M214" s="18" t="inlineStr"/>
      <c r="N214" s="9" t="n"/>
      <c r="O214" s="9" t="n"/>
      <c r="P214" s="9" t="n"/>
      <c r="Q214" s="9" t="n"/>
      <c r="R214" s="9" t="n"/>
    </row>
    <row r="215">
      <c r="A215" s="15" t="inlineStr">
        <is>
          <t>SKU-5FFC4FAB</t>
        </is>
      </c>
      <c r="B215" s="15" t="n">
        <v>100</v>
      </c>
      <c r="C215" s="10" t="inlineStr">
        <is>
          <t>Product-0DACD2F6</t>
        </is>
      </c>
      <c r="D215" s="16" t="n">
        <v>2</v>
      </c>
      <c r="E215" s="12" t="n">
        <v>228.9</v>
      </c>
      <c r="F215" s="13" t="n">
        <v>114.96</v>
      </c>
      <c r="G215" s="15" t="inlineStr"/>
      <c r="H215" s="18" t="inlineStr">
        <is>
          <t>细</t>
        </is>
      </c>
      <c r="I215" s="16" t="inlineStr">
        <is>
          <t>Brand-Anonymized</t>
        </is>
      </c>
      <c r="J215" s="18" t="n">
        <v>200</v>
      </c>
      <c r="K215" s="18" t="inlineStr">
        <is>
          <t>C</t>
        </is>
      </c>
      <c r="L215" s="18">
        <f>IFERROR(VLOOKUP(A215,[1]按需!A$1:A$65536,1,FALSE),"")</f>
        <v/>
      </c>
      <c r="M215" s="18" t="inlineStr">
        <is>
          <t>价</t>
        </is>
      </c>
      <c r="N215" s="9" t="n"/>
      <c r="O215" s="9" t="n"/>
      <c r="P215" s="28" t="n"/>
      <c r="Q215" s="9" t="n"/>
      <c r="R215" s="9" t="n"/>
    </row>
    <row r="216">
      <c r="A216" s="15" t="inlineStr">
        <is>
          <t>SKU-B633AD53</t>
        </is>
      </c>
      <c r="B216" s="15" t="n">
        <v>100</v>
      </c>
      <c r="C216" s="10" t="inlineStr">
        <is>
          <t>Product-A5C01E33</t>
        </is>
      </c>
      <c r="D216" s="16" t="n">
        <v>1</v>
      </c>
      <c r="E216" s="12" t="n">
        <v>68.2</v>
      </c>
      <c r="F216" s="13" t="n">
        <v>72.128</v>
      </c>
      <c r="G216" s="15" t="inlineStr"/>
      <c r="H216" s="18" t="inlineStr">
        <is>
          <t>细</t>
        </is>
      </c>
      <c r="I216" s="16" t="inlineStr">
        <is>
          <t>Brand-Anonymized</t>
        </is>
      </c>
      <c r="J216" s="18" t="n">
        <v>200</v>
      </c>
      <c r="K216" s="18" t="inlineStr">
        <is>
          <t>C</t>
        </is>
      </c>
      <c r="L216" s="18">
        <f>IFERROR(VLOOKUP(A216,[1]按需!A$1:A$65536,1,FALSE),"")</f>
        <v/>
      </c>
      <c r="M216" s="18" t="inlineStr">
        <is>
          <t>价</t>
        </is>
      </c>
      <c r="N216" s="9" t="n"/>
      <c r="O216" s="9" t="n"/>
      <c r="P216" s="9" t="n"/>
      <c r="Q216" s="9" t="n"/>
      <c r="R216" s="9" t="n"/>
    </row>
    <row r="217">
      <c r="A217" s="15" t="inlineStr">
        <is>
          <t>SKU-F5C809B2</t>
        </is>
      </c>
      <c r="B217" s="15" t="n">
        <v>100</v>
      </c>
      <c r="C217" s="10" t="inlineStr">
        <is>
          <t>Product-5A7B99C4</t>
        </is>
      </c>
      <c r="D217" s="16" t="n">
        <v>1</v>
      </c>
      <c r="E217" s="12" t="n">
        <v>20.7</v>
      </c>
      <c r="F217" s="13" t="n">
        <v>3.056</v>
      </c>
      <c r="G217" s="15" t="inlineStr"/>
      <c r="H217" s="18" t="inlineStr">
        <is>
          <t>长</t>
        </is>
      </c>
      <c r="I217" s="16" t="inlineStr">
        <is>
          <t>Brand-Anonymized</t>
        </is>
      </c>
      <c r="J217" s="18" t="n">
        <v>200</v>
      </c>
      <c r="K217" s="18" t="inlineStr">
        <is>
          <t>C</t>
        </is>
      </c>
      <c r="L217" s="32" t="inlineStr">
        <is>
          <t>需</t>
        </is>
      </c>
      <c r="M217" s="18" t="inlineStr">
        <is>
          <t>价</t>
        </is>
      </c>
      <c r="N217" s="9" t="n"/>
      <c r="O217" s="9" t="n"/>
      <c r="P217" s="9" t="n"/>
      <c r="Q217" s="9" t="n"/>
      <c r="R217" s="9" t="n"/>
    </row>
    <row r="218">
      <c r="A218" s="15" t="inlineStr">
        <is>
          <t>SKU-85450BFD</t>
        </is>
      </c>
      <c r="B218" s="15" t="n">
        <v>100</v>
      </c>
      <c r="C218" s="37" t="inlineStr">
        <is>
          <t>Product-91F0DC53</t>
        </is>
      </c>
      <c r="D218" s="16" t="n">
        <v>1</v>
      </c>
      <c r="E218" s="12" t="n">
        <v>16.4</v>
      </c>
      <c r="F218" s="13" t="n">
        <v>2.78</v>
      </c>
      <c r="G218" s="15" t="inlineStr"/>
      <c r="H218" s="18" t="inlineStr">
        <is>
          <t>方</t>
        </is>
      </c>
      <c r="I218" s="16" t="inlineStr">
        <is>
          <t>Brand-Anonymized</t>
        </is>
      </c>
      <c r="J218" s="18" t="n">
        <v>200</v>
      </c>
      <c r="K218" s="18" t="inlineStr">
        <is>
          <t>C</t>
        </is>
      </c>
      <c r="L218" s="18">
        <f>IFERROR(VLOOKUP(A218,[1]按需!A$1:A$65536,1,FALSE),"")</f>
        <v/>
      </c>
      <c r="M218" s="18" t="inlineStr">
        <is>
          <t>价</t>
        </is>
      </c>
      <c r="N218" s="9" t="n"/>
      <c r="O218" s="9" t="n"/>
      <c r="P218" s="9" t="n"/>
      <c r="Q218" s="9" t="n"/>
      <c r="R218" s="9" t="n"/>
    </row>
    <row r="219">
      <c r="A219" s="15" t="inlineStr">
        <is>
          <t>SKU-EDF7920D</t>
        </is>
      </c>
      <c r="B219" s="15" t="n">
        <v>100</v>
      </c>
      <c r="C219" s="37" t="inlineStr">
        <is>
          <t>Product-CE4C0A22</t>
        </is>
      </c>
      <c r="D219" s="16" t="n">
        <v>1</v>
      </c>
      <c r="E219" s="12" t="n">
        <v>36.9</v>
      </c>
      <c r="F219" s="26" t="n">
        <v>7.1172</v>
      </c>
      <c r="G219" s="15" t="inlineStr">
        <is>
          <t>C</t>
        </is>
      </c>
      <c r="H219" s="18" t="inlineStr">
        <is>
          <t>长</t>
        </is>
      </c>
      <c r="I219" s="16" t="inlineStr">
        <is>
          <t>Brand-Anonymized</t>
        </is>
      </c>
      <c r="J219" s="18" t="n">
        <v>180</v>
      </c>
      <c r="K219" s="18" t="inlineStr">
        <is>
          <t>C</t>
        </is>
      </c>
      <c r="L219" s="18">
        <f>IFERROR(VLOOKUP(A219,[1]按需!A$1:A$65536,1,FALSE),"")</f>
        <v/>
      </c>
      <c r="M219" s="18" t="inlineStr">
        <is>
          <t>价</t>
        </is>
      </c>
      <c r="N219" s="27" t="n">
        <v>0</v>
      </c>
      <c r="O219" s="9" t="n">
        <v>0</v>
      </c>
      <c r="P219" s="9" t="n">
        <v>18.9</v>
      </c>
      <c r="Q219" s="9" t="n">
        <v>0</v>
      </c>
      <c r="R219" s="9" t="n">
        <v>18</v>
      </c>
    </row>
    <row r="220">
      <c r="A220" s="15" t="inlineStr">
        <is>
          <t>SKU-DD4DEF4E</t>
        </is>
      </c>
      <c r="B220" s="15" t="n">
        <v>100</v>
      </c>
      <c r="C220" s="37" t="inlineStr">
        <is>
          <t>Product-F3C53F7F</t>
        </is>
      </c>
      <c r="D220" s="16" t="n">
        <v>1</v>
      </c>
      <c r="E220" s="12" t="n">
        <v>6</v>
      </c>
      <c r="F220" s="13" t="n">
        <v>1.58</v>
      </c>
      <c r="G220" s="15" t="inlineStr">
        <is>
          <t>C</t>
        </is>
      </c>
      <c r="H220" s="18" t="inlineStr"/>
      <c r="I220" s="16" t="inlineStr">
        <is>
          <t>Brand-Anonymized</t>
        </is>
      </c>
      <c r="J220" s="18" t="n">
        <v>200</v>
      </c>
      <c r="K220" s="18" t="n"/>
      <c r="L220" s="18">
        <f>IFERROR(VLOOKUP(A220,[1]按需!A$1:A$65536,1,FALSE),"")</f>
        <v/>
      </c>
      <c r="M220" s="18" t="inlineStr">
        <is>
          <t>价</t>
        </is>
      </c>
      <c r="N220" s="9" t="n">
        <v>0</v>
      </c>
      <c r="O220" s="9" t="n">
        <v>0</v>
      </c>
      <c r="P220" s="9" t="n">
        <v>0</v>
      </c>
      <c r="Q220" s="9" t="n">
        <v>6</v>
      </c>
      <c r="R220" s="9" t="n">
        <v>0</v>
      </c>
    </row>
    <row r="221">
      <c r="A221" s="15" t="inlineStr">
        <is>
          <t>SKU-05047315</t>
        </is>
      </c>
      <c r="B221" s="15" t="n">
        <v>100</v>
      </c>
      <c r="C221" s="19" t="inlineStr">
        <is>
          <t>Product-81383D73</t>
        </is>
      </c>
      <c r="D221" s="16" t="n">
        <v>3</v>
      </c>
      <c r="E221" s="12" t="n">
        <v>0</v>
      </c>
      <c r="F221" s="13" t="n">
        <v>0</v>
      </c>
      <c r="G221" s="20" t="inlineStr"/>
      <c r="H221" s="18" t="inlineStr"/>
      <c r="I221" s="16" t="inlineStr">
        <is>
          <t>Brand-Anonymized</t>
        </is>
      </c>
      <c r="J221" s="18" t="n">
        <v>200</v>
      </c>
      <c r="K221" s="18" t="n"/>
      <c r="L221" s="18">
        <f>IFERROR(VLOOKUP(A221,[1]按需!A$1:A$65536,1,FALSE),"")</f>
        <v/>
      </c>
      <c r="M221" s="18" t="inlineStr"/>
      <c r="N221" s="9" t="n"/>
      <c r="O221" s="9" t="n"/>
      <c r="P221" s="9" t="n"/>
      <c r="Q221" s="9" t="n"/>
      <c r="R221" s="9" t="n"/>
    </row>
    <row r="222">
      <c r="A222" s="15" t="inlineStr">
        <is>
          <t>SKU-9CAB8B44</t>
        </is>
      </c>
      <c r="B222" s="15" t="n">
        <v>100</v>
      </c>
      <c r="C222" s="23" t="inlineStr">
        <is>
          <t>Product-410E9D24</t>
        </is>
      </c>
      <c r="D222" s="16" t="n">
        <v>1</v>
      </c>
      <c r="E222" s="12" t="n">
        <v>0</v>
      </c>
      <c r="F222" s="13" t="n">
        <v>0</v>
      </c>
      <c r="G222" s="15" t="inlineStr"/>
      <c r="H222" s="18" t="inlineStr">
        <is>
          <t>方</t>
        </is>
      </c>
      <c r="I222" s="16" t="inlineStr">
        <is>
          <t>Brand-Anonymized</t>
        </is>
      </c>
      <c r="J222" s="18" t="n">
        <v>200</v>
      </c>
      <c r="K222" s="18" t="inlineStr">
        <is>
          <t>C</t>
        </is>
      </c>
      <c r="L222" s="18">
        <f>IFERROR(VLOOKUP(A222,[1]按需!A$1:A$65536,1,FALSE),"")</f>
        <v/>
      </c>
      <c r="M222" s="18" t="inlineStr"/>
      <c r="N222" s="9" t="n"/>
      <c r="O222" s="9" t="n"/>
      <c r="P222" s="9" t="n"/>
      <c r="Q222" s="9" t="n"/>
      <c r="R222" s="9" t="n"/>
    </row>
    <row r="223">
      <c r="A223" s="15" t="inlineStr">
        <is>
          <t>SKU-2AAB30A8</t>
        </is>
      </c>
      <c r="B223" s="15" t="n">
        <v>100</v>
      </c>
      <c r="C223" s="10" t="inlineStr">
        <is>
          <t>Product-81383D73</t>
        </is>
      </c>
      <c r="D223" s="16" t="n">
        <v>3</v>
      </c>
      <c r="E223" s="12" t="n">
        <v>0</v>
      </c>
      <c r="F223" s="13" t="n">
        <v>0</v>
      </c>
      <c r="G223" s="20" t="inlineStr">
        <is>
          <t>T</t>
        </is>
      </c>
      <c r="H223" s="18" t="inlineStr"/>
      <c r="I223" s="16" t="inlineStr">
        <is>
          <t>Brand-Anonymized</t>
        </is>
      </c>
      <c r="J223" s="18" t="n">
        <v>200</v>
      </c>
      <c r="K223" s="18" t="n"/>
      <c r="L223" s="18">
        <f>IFERROR(VLOOKUP(A223,[1]按需!A$1:A$65536,1,FALSE),"")</f>
        <v/>
      </c>
      <c r="M223" s="18" t="inlineStr"/>
      <c r="N223" s="9" t="n"/>
      <c r="O223" s="9" t="n"/>
      <c r="P223" s="9" t="n"/>
      <c r="Q223" s="9" t="n"/>
      <c r="R223" s="9" t="n"/>
    </row>
    <row r="224">
      <c r="A224" s="15" t="inlineStr">
        <is>
          <t>SKU-D2308BA2</t>
        </is>
      </c>
      <c r="B224" s="15" t="n">
        <v>100</v>
      </c>
      <c r="C224" s="21" t="inlineStr">
        <is>
          <t>Product-81383D73</t>
        </is>
      </c>
      <c r="D224" s="16" t="n">
        <v>3</v>
      </c>
      <c r="E224" s="12" t="n">
        <v>231</v>
      </c>
      <c r="F224" s="13" t="n">
        <v>191.372</v>
      </c>
      <c r="G224" s="20" t="inlineStr">
        <is>
          <t>T</t>
        </is>
      </c>
      <c r="H224" s="18" t="inlineStr"/>
      <c r="I224" s="16" t="inlineStr">
        <is>
          <t>Brand-Anonymized</t>
        </is>
      </c>
      <c r="J224" s="18" t="n">
        <v>200</v>
      </c>
      <c r="K224" s="18" t="n"/>
      <c r="L224" s="18">
        <f>IFERROR(VLOOKUP(A224,[1]按需!A$1:A$65536,1,FALSE),"")</f>
        <v/>
      </c>
      <c r="M224" s="18" t="inlineStr"/>
      <c r="N224" s="9" t="n"/>
      <c r="O224" s="9" t="n"/>
      <c r="P224" s="9" t="n"/>
      <c r="Q224" s="9" t="n"/>
      <c r="R224" s="9" t="n"/>
    </row>
    <row r="225">
      <c r="A225" s="15" t="inlineStr">
        <is>
          <t>SKU-56549691</t>
        </is>
      </c>
      <c r="B225" s="15" t="n">
        <v>100</v>
      </c>
      <c r="C225" s="21" t="inlineStr">
        <is>
          <t>Product-A2BB61CB</t>
        </is>
      </c>
      <c r="D225" s="16" t="n">
        <v>1</v>
      </c>
      <c r="E225" s="12" t="n">
        <v>10</v>
      </c>
      <c r="F225" s="13" t="n">
        <v>1.8</v>
      </c>
      <c r="G225" s="15" t="inlineStr">
        <is>
          <t>X</t>
        </is>
      </c>
      <c r="H225" s="18" t="inlineStr">
        <is>
          <t>细</t>
        </is>
      </c>
      <c r="I225" s="16" t="inlineStr">
        <is>
          <t>Brand-Anonymized</t>
        </is>
      </c>
      <c r="J225" s="18" t="n">
        <v>200</v>
      </c>
      <c r="K225" s="18" t="inlineStr">
        <is>
          <t>C</t>
        </is>
      </c>
      <c r="L225" s="18">
        <f>IFERROR(VLOOKUP(A225,[1]按需!A$1:A$65536,1,FALSE),"")</f>
        <v/>
      </c>
      <c r="M225" s="18" t="inlineStr"/>
      <c r="N225" s="9" t="n">
        <v>0</v>
      </c>
      <c r="O225" s="9" t="n">
        <v>0</v>
      </c>
      <c r="P225" s="27" t="n">
        <v>5</v>
      </c>
      <c r="Q225" s="9" t="n">
        <v>0</v>
      </c>
      <c r="R225" s="9" t="n">
        <v>5</v>
      </c>
    </row>
    <row r="226">
      <c r="A226" s="15" t="inlineStr">
        <is>
          <t>SKU-96A04697</t>
        </is>
      </c>
      <c r="B226" s="15" t="n">
        <v>100</v>
      </c>
      <c r="C226" s="10" t="inlineStr">
        <is>
          <t>Product-28EE2E14</t>
        </is>
      </c>
      <c r="D226" s="16" t="n">
        <v>1</v>
      </c>
      <c r="E226" s="12" t="n">
        <v>0</v>
      </c>
      <c r="F226" s="13" t="n">
        <v>0.372</v>
      </c>
      <c r="G226" s="15" t="inlineStr">
        <is>
          <t>C</t>
        </is>
      </c>
      <c r="H226" s="18" t="inlineStr">
        <is>
          <t>标</t>
        </is>
      </c>
      <c r="I226" s="16" t="inlineStr">
        <is>
          <t>Brand-Anonymized</t>
        </is>
      </c>
      <c r="J226" s="18" t="n">
        <v>200</v>
      </c>
      <c r="K226" s="18" t="inlineStr">
        <is>
          <t>C</t>
        </is>
      </c>
      <c r="L226" s="18">
        <f>IFERROR(VLOOKUP(A226,[1]按需!A$1:A$65536,1,FALSE),"")</f>
        <v/>
      </c>
      <c r="M226" s="18" t="inlineStr">
        <is>
          <t>价</t>
        </is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0</v>
      </c>
    </row>
    <row r="227">
      <c r="A227" s="15" t="inlineStr">
        <is>
          <t>SKU-D5EF4CB5</t>
        </is>
      </c>
      <c r="B227" s="15" t="n">
        <v>100</v>
      </c>
      <c r="C227" s="10" t="inlineStr">
        <is>
          <t>Product-37275E77</t>
        </is>
      </c>
      <c r="D227" s="16" t="n">
        <v>3</v>
      </c>
      <c r="E227" s="12" t="n">
        <v>242.6</v>
      </c>
      <c r="F227" s="13" t="n">
        <v>82.372</v>
      </c>
      <c r="G227" s="15" t="inlineStr"/>
      <c r="H227" s="18" t="inlineStr"/>
      <c r="I227" s="16" t="inlineStr">
        <is>
          <t>Brand-Anonymized</t>
        </is>
      </c>
      <c r="J227" s="18" t="n">
        <v>200</v>
      </c>
      <c r="K227" s="18" t="n"/>
      <c r="L227" s="18">
        <f>IFERROR(VLOOKUP(A227,[1]按需!A$1:A$65536,1,FALSE),"")</f>
        <v/>
      </c>
      <c r="M227" s="18" t="inlineStr"/>
      <c r="N227" s="9" t="n"/>
      <c r="O227" s="9" t="n"/>
      <c r="P227" s="9" t="n"/>
      <c r="Q227" s="9" t="n"/>
      <c r="R227" s="9" t="n"/>
    </row>
    <row r="228">
      <c r="A228" s="15" t="inlineStr">
        <is>
          <t>SKU-74022443</t>
        </is>
      </c>
      <c r="B228" s="15" t="n">
        <v>100</v>
      </c>
      <c r="C228" s="10" t="inlineStr">
        <is>
          <t>Product-FC598C42</t>
        </is>
      </c>
      <c r="D228" s="16" t="n">
        <v>1</v>
      </c>
      <c r="E228" s="12" t="n">
        <v>448</v>
      </c>
      <c r="F228" s="13" t="n">
        <v>281.944</v>
      </c>
      <c r="G228" s="15" t="inlineStr">
        <is>
          <t>T</t>
        </is>
      </c>
      <c r="H228" s="18" t="inlineStr">
        <is>
          <t>细</t>
        </is>
      </c>
      <c r="I228" s="16" t="inlineStr">
        <is>
          <t>Brand-Anonymized</t>
        </is>
      </c>
      <c r="J228" s="18" t="n">
        <v>200</v>
      </c>
      <c r="K228" s="18" t="inlineStr">
        <is>
          <t>C</t>
        </is>
      </c>
      <c r="L228" s="18">
        <f>IFERROR(VLOOKUP(A228,[1]按需!A$1:A$65536,1,FALSE),"")</f>
        <v/>
      </c>
      <c r="M228" s="18" t="inlineStr">
        <is>
          <t>价</t>
        </is>
      </c>
      <c r="N228" s="9" t="n"/>
      <c r="O228" s="9" t="n"/>
      <c r="P228" s="9" t="n"/>
      <c r="Q228" s="9" t="n"/>
      <c r="R228" s="9" t="n"/>
    </row>
    <row r="229">
      <c r="A229" s="15" t="inlineStr">
        <is>
          <t>SKU-6F1556A7</t>
        </is>
      </c>
      <c r="B229" s="15" t="n">
        <v>100</v>
      </c>
      <c r="C229" s="10" t="inlineStr">
        <is>
          <t>Product-76A9C072</t>
        </is>
      </c>
      <c r="D229" s="16" t="n">
        <v>1</v>
      </c>
      <c r="E229" s="12" t="n">
        <v>3.764</v>
      </c>
      <c r="F229" s="13" t="n">
        <v>1.668</v>
      </c>
      <c r="G229" s="15" t="inlineStr">
        <is>
          <t>C</t>
        </is>
      </c>
      <c r="H229" s="18" t="inlineStr">
        <is>
          <t>长</t>
        </is>
      </c>
      <c r="I229" s="16" t="inlineStr">
        <is>
          <t>Brand-Anonymized</t>
        </is>
      </c>
      <c r="J229" s="18" t="n">
        <v>200</v>
      </c>
      <c r="K229" s="18" t="inlineStr">
        <is>
          <t>C</t>
        </is>
      </c>
      <c r="L229" s="18">
        <f>IFERROR(VLOOKUP(A229,[1]按需!A$1:A$65536,1,FALSE),"")</f>
        <v/>
      </c>
      <c r="M229" s="18" t="inlineStr">
        <is>
          <t>价</t>
        </is>
      </c>
      <c r="N229" s="9" t="n">
        <v>0</v>
      </c>
      <c r="O229" s="9" t="n">
        <v>0</v>
      </c>
      <c r="P229" s="9" t="n">
        <v>0</v>
      </c>
      <c r="Q229" s="9" t="n">
        <v>3.764</v>
      </c>
      <c r="R229" s="9" t="n">
        <v>0</v>
      </c>
    </row>
    <row r="230">
      <c r="A230" s="15" t="inlineStr">
        <is>
          <t>SKU-D9263F39</t>
        </is>
      </c>
      <c r="B230" s="15" t="n">
        <v>100</v>
      </c>
      <c r="C230" s="10" t="inlineStr">
        <is>
          <t>Product-D1698B4E</t>
        </is>
      </c>
      <c r="D230" s="16" t="n">
        <v>1</v>
      </c>
      <c r="E230" s="12" t="n">
        <v>209.2</v>
      </c>
      <c r="F230" s="13" t="n">
        <v>83.84399999999999</v>
      </c>
      <c r="G230" s="15" t="inlineStr"/>
      <c r="H230" s="18" t="inlineStr">
        <is>
          <t>细</t>
        </is>
      </c>
      <c r="I230" s="16" t="inlineStr">
        <is>
          <t>Brand-Anonymized</t>
        </is>
      </c>
      <c r="J230" s="18" t="n">
        <v>200</v>
      </c>
      <c r="K230" s="18" t="inlineStr">
        <is>
          <t>C</t>
        </is>
      </c>
      <c r="L230" s="18">
        <f>IFERROR(VLOOKUP(A230,[1]按需!A$1:A$65536,1,FALSE),"")</f>
        <v/>
      </c>
      <c r="M230" s="18" t="inlineStr">
        <is>
          <t>价</t>
        </is>
      </c>
      <c r="N230" s="9" t="n"/>
      <c r="O230" s="9" t="n"/>
      <c r="P230" s="9" t="n"/>
      <c r="Q230" s="9" t="n"/>
      <c r="R230" s="9" t="n"/>
    </row>
    <row r="231">
      <c r="A231" s="15" t="inlineStr">
        <is>
          <t>SKU-A2042F81</t>
        </is>
      </c>
      <c r="B231" s="15" t="n">
        <v>100</v>
      </c>
      <c r="C231" s="10" t="inlineStr">
        <is>
          <t>Product-1E515825</t>
        </is>
      </c>
      <c r="D231" s="16" t="n">
        <v>1</v>
      </c>
      <c r="E231" s="12" t="n">
        <v>1.316</v>
      </c>
      <c r="F231" s="13" t="n">
        <v>1.316</v>
      </c>
      <c r="G231" s="15" t="inlineStr">
        <is>
          <t>C</t>
        </is>
      </c>
      <c r="H231" s="18" t="inlineStr">
        <is>
          <t>长</t>
        </is>
      </c>
      <c r="I231" s="16" t="inlineStr">
        <is>
          <t>Brand-Anonymized</t>
        </is>
      </c>
      <c r="J231" s="18" t="n">
        <v>200</v>
      </c>
      <c r="K231" s="18" t="inlineStr">
        <is>
          <t>C</t>
        </is>
      </c>
      <c r="L231" s="18">
        <f>IFERROR(VLOOKUP(A231,[1]按需!A$1:A$65536,1,FALSE),"")</f>
        <v/>
      </c>
      <c r="M231" s="18" t="inlineStr"/>
      <c r="N231" s="9" t="n">
        <v>0</v>
      </c>
      <c r="O231" s="9" t="n">
        <v>0</v>
      </c>
      <c r="P231" s="9" t="n">
        <v>1.316</v>
      </c>
      <c r="Q231" s="9" t="n">
        <v>0</v>
      </c>
      <c r="R231" s="9" t="n">
        <v>0</v>
      </c>
    </row>
    <row r="232">
      <c r="A232" s="15" t="inlineStr">
        <is>
          <t>SKU-0A2F7001</t>
        </is>
      </c>
      <c r="B232" s="15" t="n">
        <v>100</v>
      </c>
      <c r="C232" s="10" t="inlineStr">
        <is>
          <t>Product-FCAC2E38</t>
        </is>
      </c>
      <c r="D232" s="16" t="n">
        <v>3</v>
      </c>
      <c r="E232" s="12" t="n">
        <v>532</v>
      </c>
      <c r="F232" s="13" t="n">
        <v>202.068</v>
      </c>
      <c r="G232" s="20" t="inlineStr">
        <is>
          <t>T</t>
        </is>
      </c>
      <c r="H232" s="18" t="inlineStr"/>
      <c r="I232" s="16" t="inlineStr">
        <is>
          <t>Brand-Anonymized</t>
        </is>
      </c>
      <c r="J232" s="18" t="n">
        <v>200</v>
      </c>
      <c r="K232" s="18" t="n"/>
      <c r="L232" s="18">
        <f>IFERROR(VLOOKUP(A232,[1]按需!A$1:A$65536,1,FALSE),"")</f>
        <v/>
      </c>
      <c r="M232" s="18" t="inlineStr"/>
      <c r="N232" s="9" t="n"/>
      <c r="O232" s="9" t="n"/>
      <c r="P232" s="9" t="n"/>
      <c r="Q232" s="9" t="n"/>
      <c r="R232" s="9" t="n"/>
    </row>
    <row r="233">
      <c r="A233" s="15" t="inlineStr">
        <is>
          <t>SKU-ED222C1F</t>
        </is>
      </c>
      <c r="B233" s="15" t="n">
        <v>100</v>
      </c>
      <c r="C233" s="10" t="inlineStr">
        <is>
          <t>Product-7064CA4A</t>
        </is>
      </c>
      <c r="D233" s="16" t="n">
        <v>1</v>
      </c>
      <c r="E233" s="12" t="n">
        <v>192.1</v>
      </c>
      <c r="F233" s="13" t="n">
        <v>200.184</v>
      </c>
      <c r="G233" s="15" t="inlineStr"/>
      <c r="H233" s="18" t="inlineStr"/>
      <c r="I233" s="16" t="inlineStr">
        <is>
          <t>Brand-Anonymized</t>
        </is>
      </c>
      <c r="J233" s="18" t="n">
        <v>200</v>
      </c>
      <c r="K233" s="18" t="n"/>
      <c r="L233" s="18">
        <f>IFERROR(VLOOKUP(A233,[1]按需!A$1:A$65536,1,FALSE),"")</f>
        <v/>
      </c>
      <c r="M233" s="18" t="inlineStr">
        <is>
          <t>价</t>
        </is>
      </c>
      <c r="N233" s="9" t="n"/>
      <c r="O233" s="9" t="n"/>
      <c r="P233" s="9" t="n"/>
      <c r="Q233" s="9" t="n"/>
      <c r="R233" s="9" t="n"/>
    </row>
    <row r="234">
      <c r="A234" s="15" t="inlineStr">
        <is>
          <t>SKU-0B9EE4CD</t>
        </is>
      </c>
      <c r="B234" s="15" t="n">
        <v>100</v>
      </c>
      <c r="C234" s="10" t="inlineStr">
        <is>
          <t>Product-326C7E91</t>
        </is>
      </c>
      <c r="D234" s="16" t="n">
        <v>2</v>
      </c>
      <c r="E234" s="12" t="n">
        <v>2760.2</v>
      </c>
      <c r="F234" s="13" t="n">
        <v>613.708</v>
      </c>
      <c r="G234" s="15" t="inlineStr"/>
      <c r="H234" s="18" t="inlineStr"/>
      <c r="I234" s="16" t="inlineStr">
        <is>
          <t>Brand-Anonymized</t>
        </is>
      </c>
      <c r="J234" s="18" t="n">
        <v>200</v>
      </c>
      <c r="K234" s="18" t="n"/>
      <c r="L234" s="18">
        <f>IFERROR(VLOOKUP(A234,[1]按需!A$1:A$65536,1,FALSE),"")</f>
        <v/>
      </c>
      <c r="M234" s="18" t="inlineStr">
        <is>
          <t>价</t>
        </is>
      </c>
      <c r="N234" s="9" t="n"/>
      <c r="O234" s="9" t="n"/>
      <c r="P234" s="9" t="n"/>
      <c r="Q234" s="9" t="n"/>
      <c r="R234" s="9" t="n"/>
    </row>
    <row r="235">
      <c r="A235" s="15" t="inlineStr">
        <is>
          <t>SKU-92F9812B</t>
        </is>
      </c>
      <c r="B235" s="15" t="n">
        <v>100</v>
      </c>
      <c r="C235" s="10" t="inlineStr">
        <is>
          <t>Product-68B82AAE</t>
        </is>
      </c>
      <c r="D235" s="16" t="n">
        <v>3</v>
      </c>
      <c r="E235" s="12" t="n">
        <v>631.7</v>
      </c>
      <c r="F235" s="13" t="n">
        <v>248.124</v>
      </c>
      <c r="G235" s="15" t="inlineStr"/>
      <c r="H235" s="18" t="inlineStr"/>
      <c r="I235" s="16" t="inlineStr">
        <is>
          <t>Brand-Anonymized</t>
        </is>
      </c>
      <c r="J235" s="18" t="n">
        <v>200</v>
      </c>
      <c r="K235" s="18" t="n"/>
      <c r="L235" s="18">
        <f>IFERROR(VLOOKUP(A235,[1]按需!A$1:A$65536,1,FALSE),"")</f>
        <v/>
      </c>
      <c r="M235" s="18" t="inlineStr"/>
      <c r="N235" s="9" t="n"/>
      <c r="O235" s="9" t="n"/>
      <c r="P235" s="9" t="n"/>
      <c r="Q235" s="9" t="n"/>
      <c r="R235" s="9" t="n"/>
    </row>
    <row r="236">
      <c r="A236" s="15" t="inlineStr">
        <is>
          <t>SKU-6D767F9B</t>
        </is>
      </c>
      <c r="B236" s="15" t="n">
        <v>100</v>
      </c>
      <c r="C236" s="10" t="inlineStr">
        <is>
          <t>Product-1D13312B</t>
        </is>
      </c>
      <c r="D236" s="16" t="n">
        <v>1</v>
      </c>
      <c r="E236" s="12" t="n">
        <v>6</v>
      </c>
      <c r="F236" s="26" t="n">
        <v>1.376</v>
      </c>
      <c r="G236" s="15" t="inlineStr">
        <is>
          <t>C</t>
        </is>
      </c>
      <c r="H236" s="18" t="inlineStr">
        <is>
          <t>标</t>
        </is>
      </c>
      <c r="I236" s="16" t="inlineStr">
        <is>
          <t>Brand-Anonymized</t>
        </is>
      </c>
      <c r="J236" s="18" t="n">
        <v>200</v>
      </c>
      <c r="K236" s="18" t="inlineStr">
        <is>
          <t>C</t>
        </is>
      </c>
      <c r="L236" s="18">
        <f>IFERROR(VLOOKUP(A236,[1]按需!A$1:A$65536,1,FALSE),"")</f>
        <v/>
      </c>
      <c r="M236" s="18" t="inlineStr">
        <is>
          <t>价</t>
        </is>
      </c>
      <c r="N236" s="27" t="n">
        <v>0</v>
      </c>
      <c r="O236" s="9" t="n">
        <v>0</v>
      </c>
      <c r="P236" s="9" t="n">
        <v>6</v>
      </c>
      <c r="Q236" s="9" t="n">
        <v>0</v>
      </c>
      <c r="R236" s="9" t="n">
        <v>0</v>
      </c>
    </row>
    <row r="237">
      <c r="A237" s="15" t="inlineStr">
        <is>
          <t>SKU-863FBBD8</t>
        </is>
      </c>
      <c r="B237" s="15" t="n">
        <v>100</v>
      </c>
      <c r="C237" s="10" t="inlineStr">
        <is>
          <t>Product-377B2B0D</t>
        </is>
      </c>
      <c r="D237" s="16" t="n">
        <v>1</v>
      </c>
      <c r="E237" s="12" t="n">
        <v>27.8</v>
      </c>
      <c r="F237" s="13" t="n">
        <v>2.144</v>
      </c>
      <c r="G237" s="15" t="inlineStr"/>
      <c r="H237" s="18" t="inlineStr">
        <is>
          <t>细</t>
        </is>
      </c>
      <c r="I237" s="16" t="inlineStr">
        <is>
          <t>Brand-Anonymized</t>
        </is>
      </c>
      <c r="J237" s="18" t="n">
        <v>200</v>
      </c>
      <c r="K237" s="18" t="inlineStr">
        <is>
          <t>C</t>
        </is>
      </c>
      <c r="L237" s="25" t="inlineStr">
        <is>
          <t>需</t>
        </is>
      </c>
      <c r="M237" s="18" t="inlineStr"/>
      <c r="N237" s="9" t="n"/>
      <c r="O237" s="9" t="n"/>
      <c r="P237" s="9" t="n"/>
      <c r="Q237" s="9" t="n"/>
      <c r="R237" s="9" t="n"/>
    </row>
    <row r="238">
      <c r="A238" s="15" t="inlineStr">
        <is>
          <t>SKU-FFD87C9A</t>
        </is>
      </c>
      <c r="B238" s="15" t="n">
        <v>100</v>
      </c>
      <c r="C238" s="10" t="inlineStr">
        <is>
          <t>Product-5C6F883D</t>
        </is>
      </c>
      <c r="D238" s="16" t="n">
        <v>1</v>
      </c>
      <c r="E238" s="12" t="n">
        <v>5</v>
      </c>
      <c r="F238" s="13" t="n">
        <v>0.488</v>
      </c>
      <c r="G238" s="15" t="inlineStr">
        <is>
          <t>C</t>
        </is>
      </c>
      <c r="H238" s="18" t="inlineStr">
        <is>
          <t>标</t>
        </is>
      </c>
      <c r="I238" s="16" t="inlineStr">
        <is>
          <t>Brand-Anonymized</t>
        </is>
      </c>
      <c r="J238" s="18" t="n">
        <v>200</v>
      </c>
      <c r="K238" s="18" t="inlineStr">
        <is>
          <t>C</t>
        </is>
      </c>
      <c r="L238" s="18">
        <f>IFERROR(VLOOKUP(A238,[1]按需!A$1:A$65536,1,FALSE),"")</f>
        <v/>
      </c>
      <c r="M238" s="18" t="inlineStr">
        <is>
          <t>价</t>
        </is>
      </c>
      <c r="N238" s="9" t="n">
        <v>0</v>
      </c>
      <c r="O238" s="9" t="n">
        <v>0</v>
      </c>
      <c r="P238" s="9" t="n">
        <v>5</v>
      </c>
      <c r="Q238" s="9" t="n">
        <v>0</v>
      </c>
      <c r="R238" s="9" t="n">
        <v>0</v>
      </c>
    </row>
    <row r="239">
      <c r="A239" s="15" t="inlineStr">
        <is>
          <t>SKU-16F93B6E</t>
        </is>
      </c>
      <c r="B239" s="15" t="n">
        <v>100</v>
      </c>
      <c r="C239" s="10" t="inlineStr">
        <is>
          <t>Product-BB81D184</t>
        </is>
      </c>
      <c r="D239" s="16" t="n">
        <v>1</v>
      </c>
      <c r="E239" s="12" t="n">
        <v>390</v>
      </c>
      <c r="F239" s="13" t="n">
        <v>303.9936</v>
      </c>
      <c r="G239" s="15" t="inlineStr">
        <is>
          <t>T</t>
        </is>
      </c>
      <c r="H239" s="18" t="inlineStr">
        <is>
          <t>细</t>
        </is>
      </c>
      <c r="I239" s="16" t="inlineStr">
        <is>
          <t>Brand-Anonymized</t>
        </is>
      </c>
      <c r="J239" s="18" t="n">
        <v>160</v>
      </c>
      <c r="K239" s="18" t="inlineStr">
        <is>
          <t>C</t>
        </is>
      </c>
      <c r="L239" s="18">
        <f>IFERROR(VLOOKUP(A239,[1]按需!A$1:A$65536,1,FALSE),"")</f>
        <v/>
      </c>
      <c r="M239" s="18" t="inlineStr">
        <is>
          <t>价</t>
        </is>
      </c>
      <c r="N239" s="9" t="n"/>
      <c r="O239" s="9" t="n"/>
      <c r="P239" s="9" t="n"/>
      <c r="Q239" s="9" t="n"/>
      <c r="R239" s="9" t="n"/>
    </row>
    <row r="240">
      <c r="A240" s="15" t="inlineStr">
        <is>
          <t>SKU-0C7C3AA6</t>
        </is>
      </c>
      <c r="B240" s="15" t="n">
        <v>100</v>
      </c>
      <c r="C240" s="24" t="inlineStr">
        <is>
          <t>Product-723A3C46</t>
        </is>
      </c>
      <c r="D240" s="16" t="n">
        <v>1</v>
      </c>
      <c r="E240" s="12" t="n">
        <v>0</v>
      </c>
      <c r="F240" s="13" t="n">
        <v>0</v>
      </c>
      <c r="G240" s="15" t="inlineStr"/>
      <c r="H240" s="18" t="inlineStr">
        <is>
          <t>方</t>
        </is>
      </c>
      <c r="I240" s="16" t="inlineStr">
        <is>
          <t>Brand-Anonymized</t>
        </is>
      </c>
      <c r="J240" s="18" t="n">
        <v>200</v>
      </c>
      <c r="K240" s="18" t="inlineStr">
        <is>
          <t>C</t>
        </is>
      </c>
      <c r="L240" s="18">
        <f>IFERROR(VLOOKUP(A240,[1]按需!A$1:A$65536,1,FALSE),"")</f>
        <v/>
      </c>
      <c r="M240" s="18" t="inlineStr"/>
      <c r="N240" s="9" t="n"/>
      <c r="O240" s="9" t="n"/>
      <c r="P240" s="9" t="n"/>
      <c r="Q240" s="9" t="n"/>
      <c r="R240" s="9" t="n"/>
    </row>
    <row r="241">
      <c r="A241" s="15" t="inlineStr">
        <is>
          <t>SKU-CCF1AA57</t>
        </is>
      </c>
      <c r="B241" s="15" t="n">
        <v>100</v>
      </c>
      <c r="C241" s="10" t="inlineStr">
        <is>
          <t>Product-AA885DE6</t>
        </is>
      </c>
      <c r="D241" s="16" t="n">
        <v>2</v>
      </c>
      <c r="E241" s="12" t="n">
        <v>1925.6</v>
      </c>
      <c r="F241" s="13" t="n">
        <v>470.308</v>
      </c>
      <c r="G241" s="15" t="inlineStr"/>
      <c r="H241" s="18" t="inlineStr">
        <is>
          <t>细</t>
        </is>
      </c>
      <c r="I241" s="16" t="inlineStr">
        <is>
          <t>Brand-Anonymized</t>
        </is>
      </c>
      <c r="J241" s="18" t="n">
        <v>200</v>
      </c>
      <c r="K241" s="18" t="inlineStr">
        <is>
          <t>C</t>
        </is>
      </c>
      <c r="L241" s="18">
        <f>IFERROR(VLOOKUP(A241,[1]按需!A$1:A$65536,1,FALSE),"")</f>
        <v/>
      </c>
      <c r="M241" s="18" t="inlineStr">
        <is>
          <t>价</t>
        </is>
      </c>
      <c r="N241" s="9" t="n"/>
      <c r="O241" s="9" t="n"/>
      <c r="P241" s="9" t="n"/>
      <c r="Q241" s="9" t="n"/>
      <c r="R241" s="9" t="n"/>
    </row>
    <row r="242">
      <c r="A242" s="15" t="inlineStr">
        <is>
          <t>SKU-C608A627</t>
        </is>
      </c>
      <c r="B242" s="15" t="n">
        <v>100</v>
      </c>
      <c r="C242" s="23" t="inlineStr">
        <is>
          <t>Product-58C688E6</t>
        </is>
      </c>
      <c r="D242" s="16" t="n">
        <v>1</v>
      </c>
      <c r="E242" s="12" t="n">
        <v>0</v>
      </c>
      <c r="F242" s="13" t="n">
        <v>0</v>
      </c>
      <c r="G242" s="15" t="inlineStr">
        <is>
          <t>C</t>
        </is>
      </c>
      <c r="H242" s="18" t="inlineStr"/>
      <c r="I242" s="16" t="inlineStr">
        <is>
          <t>Brand-Anonymized</t>
        </is>
      </c>
      <c r="J242" s="18" t="n">
        <v>160</v>
      </c>
      <c r="K242" s="18" t="inlineStr">
        <is>
          <t>C</t>
        </is>
      </c>
      <c r="L242" s="18">
        <f>IFERROR(VLOOKUP(A242,[1]按需!A$1:A$65536,1,FALSE),"")</f>
        <v/>
      </c>
      <c r="M242" s="18" t="inlineStr"/>
      <c r="N242" s="9" t="inlineStr">
        <is>
          <t>0</t>
        </is>
      </c>
      <c r="O242" s="9" t="n">
        <v>0</v>
      </c>
      <c r="P242" s="9" t="inlineStr">
        <is>
          <t>0</t>
        </is>
      </c>
      <c r="Q242" s="9" t="inlineStr">
        <is>
          <t>0</t>
        </is>
      </c>
      <c r="R242" s="9" t="inlineStr">
        <is>
          <t>0</t>
        </is>
      </c>
    </row>
    <row r="243">
      <c r="A243" s="15" t="inlineStr">
        <is>
          <t>SKU-4CE8EF8A</t>
        </is>
      </c>
      <c r="B243" s="15" t="n">
        <v>100</v>
      </c>
      <c r="C243" s="23" t="inlineStr">
        <is>
          <t>Product-B62DC373</t>
        </is>
      </c>
      <c r="D243" s="16" t="n">
        <v>1</v>
      </c>
      <c r="E243" s="12" t="n">
        <v>0</v>
      </c>
      <c r="F243" s="13" t="n">
        <v>0</v>
      </c>
      <c r="G243" s="15" t="inlineStr"/>
      <c r="H243" s="18" t="inlineStr">
        <is>
          <t>细</t>
        </is>
      </c>
      <c r="I243" s="16" t="inlineStr">
        <is>
          <t>Brand-Anonymized</t>
        </is>
      </c>
      <c r="J243" s="18" t="n">
        <v>160</v>
      </c>
      <c r="K243" s="18" t="inlineStr">
        <is>
          <t>C</t>
        </is>
      </c>
      <c r="L243" s="18">
        <f>IFERROR(VLOOKUP(A243,[1]按需!A$1:A$65536,1,FALSE),"")</f>
        <v/>
      </c>
      <c r="M243" s="18" t="inlineStr"/>
      <c r="N243" s="9" t="n"/>
      <c r="O243" s="9" t="n"/>
      <c r="P243" s="9" t="n"/>
      <c r="Q243" s="9" t="n"/>
      <c r="R243" s="9" t="n"/>
    </row>
    <row r="244">
      <c r="A244" s="15" t="inlineStr">
        <is>
          <t>SKU-99337284</t>
        </is>
      </c>
      <c r="B244" s="15" t="n">
        <v>100</v>
      </c>
      <c r="C244" s="10" t="inlineStr">
        <is>
          <t>Product-0A287481</t>
        </is>
      </c>
      <c r="D244" s="16" t="n">
        <v>2</v>
      </c>
      <c r="E244" s="12" t="n">
        <v>720</v>
      </c>
      <c r="F244" s="13" t="n">
        <v>464.824</v>
      </c>
      <c r="G244" s="15" t="inlineStr">
        <is>
          <t>C</t>
        </is>
      </c>
      <c r="H244" s="18" t="inlineStr"/>
      <c r="I244" s="16" t="inlineStr">
        <is>
          <t>Brand-Anonymized</t>
        </is>
      </c>
      <c r="J244" s="18" t="n">
        <v>200</v>
      </c>
      <c r="K244" s="18" t="n"/>
      <c r="L244" s="18">
        <f>IFERROR(VLOOKUP(A244,[1]按需!A$1:A$65536,1,FALSE),"")</f>
        <v/>
      </c>
      <c r="M244" s="18" t="inlineStr">
        <is>
          <t>价</t>
        </is>
      </c>
      <c r="N244" s="9" t="n">
        <v>145</v>
      </c>
      <c r="O244" s="9" t="n">
        <v>144.996</v>
      </c>
      <c r="P244" s="9" t="n">
        <v>145</v>
      </c>
      <c r="Q244" s="9" t="n">
        <v>145</v>
      </c>
      <c r="R244" s="9" t="n">
        <v>140.004</v>
      </c>
    </row>
    <row r="245">
      <c r="A245" s="15" t="inlineStr">
        <is>
          <t>SKU-BD3F8D74</t>
        </is>
      </c>
      <c r="B245" s="15" t="n">
        <v>100</v>
      </c>
      <c r="C245" s="10" t="inlineStr">
        <is>
          <t>Product-102ED313</t>
        </is>
      </c>
      <c r="D245" s="16" t="n">
        <v>1</v>
      </c>
      <c r="E245" s="12" t="n">
        <v>0</v>
      </c>
      <c r="F245" s="13" t="n">
        <v>0.536</v>
      </c>
      <c r="G245" s="15" t="inlineStr">
        <is>
          <t>X</t>
        </is>
      </c>
      <c r="H245" s="18" t="inlineStr">
        <is>
          <t>方</t>
        </is>
      </c>
      <c r="I245" s="16" t="inlineStr">
        <is>
          <t>Brand-Anonymized</t>
        </is>
      </c>
      <c r="J245" s="18" t="n">
        <v>200</v>
      </c>
      <c r="K245" s="18" t="inlineStr">
        <is>
          <t>C</t>
        </is>
      </c>
      <c r="L245" s="18">
        <f>IFERROR(VLOOKUP(A245,[1]按需!A$1:A$65536,1,FALSE),"")</f>
        <v/>
      </c>
      <c r="M245" s="18" t="inlineStr">
        <is>
          <t>价</t>
        </is>
      </c>
      <c r="N245" s="9" t="n">
        <v>0</v>
      </c>
      <c r="O245" s="9" t="n">
        <v>0</v>
      </c>
      <c r="P245" s="9" t="n">
        <v>0</v>
      </c>
      <c r="Q245" s="9" t="n">
        <v>0</v>
      </c>
      <c r="R245" s="9" t="n">
        <v>0</v>
      </c>
    </row>
    <row r="246">
      <c r="A246" s="15" t="inlineStr">
        <is>
          <t>SKU-B9F94FF9</t>
        </is>
      </c>
      <c r="B246" s="15" t="n">
        <v>100</v>
      </c>
      <c r="C246" s="10" t="inlineStr">
        <is>
          <t>Product-7CC4665A</t>
        </is>
      </c>
      <c r="D246" s="16" t="n">
        <v>1</v>
      </c>
      <c r="E246" s="12" t="n">
        <v>20</v>
      </c>
      <c r="F246" s="13" t="n">
        <v>11.452</v>
      </c>
      <c r="G246" s="15" t="inlineStr">
        <is>
          <t>X</t>
        </is>
      </c>
      <c r="H246" s="18" t="inlineStr">
        <is>
          <t>细</t>
        </is>
      </c>
      <c r="I246" s="16" t="inlineStr">
        <is>
          <t>Brand-Anonymized</t>
        </is>
      </c>
      <c r="J246" s="18" t="n">
        <v>200</v>
      </c>
      <c r="K246" s="18" t="inlineStr">
        <is>
          <t>C</t>
        </is>
      </c>
      <c r="L246" s="18">
        <f>IFERROR(VLOOKUP(A246,[1]按需!A$1:A$65536,1,FALSE),"")</f>
        <v/>
      </c>
      <c r="M246" s="18" t="inlineStr">
        <is>
          <t>价</t>
        </is>
      </c>
      <c r="N246" s="9" t="n">
        <v>0</v>
      </c>
      <c r="O246" s="9" t="n">
        <v>10.012</v>
      </c>
      <c r="P246" s="9" t="n">
        <v>0</v>
      </c>
      <c r="Q246" s="27" t="n">
        <v>9.988</v>
      </c>
      <c r="R246" s="9" t="n">
        <v>0</v>
      </c>
    </row>
    <row r="247">
      <c r="A247" s="15" t="inlineStr">
        <is>
          <t>SKU-5AB8D10B</t>
        </is>
      </c>
      <c r="B247" s="15" t="n">
        <v>100</v>
      </c>
      <c r="C247" s="10" t="inlineStr">
        <is>
          <t>Product-F8810BC1</t>
        </is>
      </c>
      <c r="D247" s="16" t="n">
        <v>1</v>
      </c>
      <c r="E247" s="12" t="n">
        <v>15</v>
      </c>
      <c r="F247" s="13" t="n">
        <v>11.552</v>
      </c>
      <c r="G247" s="15" t="inlineStr">
        <is>
          <t>X</t>
        </is>
      </c>
      <c r="H247" s="18" t="inlineStr">
        <is>
          <t>方</t>
        </is>
      </c>
      <c r="I247" s="16" t="inlineStr">
        <is>
          <t>Brand-Anonymized</t>
        </is>
      </c>
      <c r="J247" s="18" t="n">
        <v>200</v>
      </c>
      <c r="K247" s="18" t="inlineStr">
        <is>
          <t>C</t>
        </is>
      </c>
      <c r="L247" s="18">
        <f>IFERROR(VLOOKUP(A247,[1]按需!A$1:A$65536,1,FALSE),"")</f>
        <v/>
      </c>
      <c r="M247" s="18" t="inlineStr">
        <is>
          <t>价</t>
        </is>
      </c>
      <c r="N247" s="9" t="n">
        <v>0</v>
      </c>
      <c r="O247" s="9" t="n">
        <v>0</v>
      </c>
      <c r="P247" s="9" t="n">
        <v>15</v>
      </c>
      <c r="Q247" s="9" t="n">
        <v>0</v>
      </c>
      <c r="R247" s="9" t="n">
        <v>0</v>
      </c>
    </row>
    <row r="248">
      <c r="A248" s="15" t="inlineStr">
        <is>
          <t>SKU-0844DF49</t>
        </is>
      </c>
      <c r="B248" s="15" t="n">
        <v>100</v>
      </c>
      <c r="C248" s="21" t="inlineStr">
        <is>
          <t>Product-FD260469</t>
        </is>
      </c>
      <c r="D248" s="16" t="n">
        <v>1</v>
      </c>
      <c r="E248" s="12" t="n">
        <v>50</v>
      </c>
      <c r="F248" s="13" t="n">
        <v>42.552</v>
      </c>
      <c r="G248" s="15" t="inlineStr">
        <is>
          <t>X</t>
        </is>
      </c>
      <c r="H248" s="18" t="inlineStr">
        <is>
          <t>长</t>
        </is>
      </c>
      <c r="I248" s="16" t="inlineStr">
        <is>
          <t>Brand-Anonymized</t>
        </is>
      </c>
      <c r="J248" s="18" t="n">
        <v>200</v>
      </c>
      <c r="K248" s="18" t="inlineStr">
        <is>
          <t>C</t>
        </is>
      </c>
      <c r="L248" s="18">
        <f>IFERROR(VLOOKUP(A248,[1]按需!A$1:A$65536,1,FALSE),"")</f>
        <v/>
      </c>
      <c r="M248" s="18" t="inlineStr"/>
      <c r="N248" s="9" t="n">
        <v>0</v>
      </c>
      <c r="O248" s="9" t="n">
        <v>25.012</v>
      </c>
      <c r="P248" s="9" t="n">
        <v>0</v>
      </c>
      <c r="Q248" s="28" t="n">
        <v>24.988</v>
      </c>
      <c r="R248" s="9" t="n">
        <v>0</v>
      </c>
    </row>
    <row r="249">
      <c r="A249" s="15" t="inlineStr">
        <is>
          <t>SKU-FA2AEC54</t>
        </is>
      </c>
      <c r="B249" s="15" t="n">
        <v>100</v>
      </c>
      <c r="C249" s="21" t="inlineStr">
        <is>
          <t>Product-58C688E6</t>
        </is>
      </c>
      <c r="D249" s="16" t="n">
        <v>1</v>
      </c>
      <c r="E249" s="12" t="n">
        <v>18</v>
      </c>
      <c r="F249" s="26" t="n">
        <v>2.016</v>
      </c>
      <c r="G249" s="15" t="inlineStr">
        <is>
          <t>X</t>
        </is>
      </c>
      <c r="H249" s="18" t="inlineStr">
        <is>
          <t>长</t>
        </is>
      </c>
      <c r="I249" s="16" t="inlineStr">
        <is>
          <t>Brand-Anonymized</t>
        </is>
      </c>
      <c r="J249" s="18" t="n">
        <v>160</v>
      </c>
      <c r="K249" s="18" t="inlineStr">
        <is>
          <t>C</t>
        </is>
      </c>
      <c r="L249" s="18">
        <f>IFERROR(VLOOKUP(A249,[1]按需!A$1:A$65536,1,FALSE),"")</f>
        <v/>
      </c>
      <c r="M249" s="18" t="inlineStr"/>
      <c r="N249" s="27" t="n">
        <v>0</v>
      </c>
      <c r="O249" s="9" t="n">
        <v>0</v>
      </c>
      <c r="P249" s="9" t="n">
        <v>10</v>
      </c>
      <c r="Q249" s="9" t="n">
        <v>0</v>
      </c>
      <c r="R249" s="9" t="n">
        <v>8</v>
      </c>
    </row>
    <row r="250">
      <c r="A250" s="15" t="inlineStr">
        <is>
          <t>SKU-CE79E55C</t>
        </is>
      </c>
      <c r="B250" s="15" t="n">
        <v>100</v>
      </c>
      <c r="C250" s="10" t="inlineStr">
        <is>
          <t>Product-7BC6A9A2</t>
        </is>
      </c>
      <c r="D250" s="16" t="n">
        <v>3</v>
      </c>
      <c r="E250" s="12" t="n">
        <v>5232.6</v>
      </c>
      <c r="F250" s="13" t="n">
        <v>1847.424</v>
      </c>
      <c r="G250" s="15" t="inlineStr"/>
      <c r="H250" s="18" t="inlineStr"/>
      <c r="I250" s="16" t="inlineStr">
        <is>
          <t>Brand-Anonymized</t>
        </is>
      </c>
      <c r="J250" s="18" t="n">
        <v>200</v>
      </c>
      <c r="K250" s="18" t="n"/>
      <c r="L250" s="18">
        <f>IFERROR(VLOOKUP(A250,[1]按需!A$1:A$65536,1,FALSE),"")</f>
        <v/>
      </c>
      <c r="M250" s="18" t="inlineStr"/>
      <c r="N250" s="9" t="n"/>
      <c r="O250" s="9" t="n"/>
      <c r="P250" s="9" t="n"/>
      <c r="Q250" s="9" t="n"/>
      <c r="R250" s="9" t="n"/>
    </row>
    <row r="251">
      <c r="A251" s="15" t="inlineStr">
        <is>
          <t>SKU-D2BFADDA</t>
        </is>
      </c>
      <c r="B251" s="15" t="n">
        <v>100</v>
      </c>
      <c r="C251" s="21" t="inlineStr">
        <is>
          <t>Product-ED8E1657</t>
        </is>
      </c>
      <c r="D251" s="16" t="n">
        <v>3</v>
      </c>
      <c r="E251" s="12" t="n">
        <v>247</v>
      </c>
      <c r="F251" s="13" t="n">
        <v>1099.988</v>
      </c>
      <c r="G251" s="20" t="inlineStr">
        <is>
          <t>T</t>
        </is>
      </c>
      <c r="H251" s="18" t="inlineStr"/>
      <c r="I251" s="16" t="inlineStr">
        <is>
          <t>Brand-Anonymized</t>
        </is>
      </c>
      <c r="J251" s="18" t="n">
        <v>200</v>
      </c>
      <c r="K251" s="18" t="n"/>
      <c r="L251" s="18">
        <f>IFERROR(VLOOKUP(A251,[1]按需!A$1:A$65536,1,FALSE),"")</f>
        <v/>
      </c>
      <c r="M251" s="18" t="inlineStr"/>
      <c r="N251" s="9" t="n"/>
      <c r="O251" s="9" t="n"/>
      <c r="P251" s="9" t="n"/>
      <c r="Q251" s="9" t="n"/>
      <c r="R251" s="9" t="n"/>
    </row>
    <row r="252">
      <c r="A252" s="15" t="inlineStr">
        <is>
          <t>SKU-F85BCB9C</t>
        </is>
      </c>
      <c r="B252" s="15" t="n">
        <v>100</v>
      </c>
      <c r="C252" s="10" t="inlineStr">
        <is>
          <t>Product-67B87425</t>
        </is>
      </c>
      <c r="D252" s="16" t="n">
        <v>3</v>
      </c>
      <c r="E252" s="12" t="n">
        <v>565.2</v>
      </c>
      <c r="F252" s="13" t="n">
        <v>156.984</v>
      </c>
      <c r="G252" s="15" t="inlineStr"/>
      <c r="H252" s="18" t="inlineStr"/>
      <c r="I252" s="16" t="inlineStr">
        <is>
          <t>Brand-Anonymized</t>
        </is>
      </c>
      <c r="J252" s="18" t="n">
        <v>200</v>
      </c>
      <c r="K252" s="18" t="n"/>
      <c r="L252" s="18">
        <f>IFERROR(VLOOKUP(A252,[1]按需!A$1:A$65536,1,FALSE),"")</f>
        <v/>
      </c>
      <c r="M252" s="18" t="inlineStr"/>
      <c r="N252" s="9" t="n"/>
      <c r="O252" s="9" t="n"/>
      <c r="P252" s="9" t="n"/>
      <c r="Q252" s="9" t="n"/>
      <c r="R252" s="9" t="n"/>
    </row>
    <row r="253">
      <c r="A253" s="15" t="inlineStr">
        <is>
          <t>SKU-6050A986</t>
        </is>
      </c>
      <c r="B253" s="15" t="n">
        <v>100</v>
      </c>
      <c r="C253" s="24" t="inlineStr">
        <is>
          <t>Product-63107D32</t>
        </is>
      </c>
      <c r="D253" s="16" t="n">
        <v>3</v>
      </c>
      <c r="E253" s="12" t="n">
        <v>0</v>
      </c>
      <c r="F253" s="13" t="n">
        <v>0</v>
      </c>
      <c r="G253" s="15" t="inlineStr"/>
      <c r="H253" s="18" t="inlineStr"/>
      <c r="I253" s="16" t="inlineStr">
        <is>
          <t>Brand-Anonymized</t>
        </is>
      </c>
      <c r="J253" s="18" t="n">
        <v>200</v>
      </c>
      <c r="K253" s="18" t="n"/>
      <c r="L253" s="18">
        <f>IFERROR(VLOOKUP(A253,[1]按需!A$1:A$65536,1,FALSE),"")</f>
        <v/>
      </c>
      <c r="M253" s="18" t="inlineStr"/>
      <c r="N253" s="9" t="n"/>
      <c r="O253" s="9" t="n"/>
      <c r="P253" s="9" t="n"/>
      <c r="Q253" s="9" t="n"/>
      <c r="R253" s="9" t="n"/>
    </row>
    <row r="254">
      <c r="A254" s="15" t="inlineStr">
        <is>
          <t>SKU-B07AA582</t>
        </is>
      </c>
      <c r="B254" s="15" t="n">
        <v>100</v>
      </c>
      <c r="C254" s="24" t="inlineStr">
        <is>
          <t>Product-D6058228</t>
        </is>
      </c>
      <c r="D254" s="16" t="n">
        <v>2</v>
      </c>
      <c r="E254" s="12" t="n">
        <v>0</v>
      </c>
      <c r="F254" s="13" t="n">
        <v>0</v>
      </c>
      <c r="G254" s="15" t="inlineStr"/>
      <c r="H254" s="18" t="inlineStr">
        <is>
          <t>方</t>
        </is>
      </c>
      <c r="I254" s="16" t="inlineStr">
        <is>
          <t>Brand-Anonymized</t>
        </is>
      </c>
      <c r="J254" s="18" t="n">
        <v>200</v>
      </c>
      <c r="K254" s="18" t="inlineStr">
        <is>
          <t>C</t>
        </is>
      </c>
      <c r="L254" s="18">
        <f>IFERROR(VLOOKUP(A254,[1]按需!A$1:A$65536,1,FALSE),"")</f>
        <v/>
      </c>
      <c r="M254" s="18" t="inlineStr"/>
      <c r="N254" s="9" t="n"/>
      <c r="O254" s="9" t="n"/>
      <c r="P254" s="9" t="n"/>
      <c r="Q254" s="9" t="n"/>
      <c r="R254" s="9" t="n"/>
    </row>
    <row r="255">
      <c r="A255" s="15" t="inlineStr">
        <is>
          <t>SKU-39C37C74</t>
        </is>
      </c>
      <c r="B255" s="15" t="n">
        <v>100</v>
      </c>
      <c r="C255" s="10" t="inlineStr">
        <is>
          <t>Product-BF80D349</t>
        </is>
      </c>
      <c r="D255" s="16" t="n">
        <v>3</v>
      </c>
      <c r="E255" s="12" t="n">
        <v>337.6</v>
      </c>
      <c r="F255" s="13" t="n">
        <v>96.968</v>
      </c>
      <c r="G255" s="15" t="inlineStr"/>
      <c r="H255" s="18" t="inlineStr"/>
      <c r="I255" s="16" t="inlineStr">
        <is>
          <t>Brand-Anonymized</t>
        </is>
      </c>
      <c r="J255" s="18" t="n">
        <v>200</v>
      </c>
      <c r="K255" s="18" t="n"/>
      <c r="L255" s="18">
        <f>IFERROR(VLOOKUP(A255,[1]按需!A$1:A$65536,1,FALSE),"")</f>
        <v/>
      </c>
      <c r="M255" s="18" t="inlineStr"/>
      <c r="N255" s="9" t="n"/>
      <c r="O255" s="9" t="n"/>
      <c r="P255" s="9" t="n"/>
      <c r="Q255" s="9" t="n"/>
      <c r="R255" s="9" t="n"/>
    </row>
    <row r="256">
      <c r="A256" s="15" t="inlineStr">
        <is>
          <t>SKU-5D83BF57</t>
        </is>
      </c>
      <c r="B256" s="15" t="n">
        <v>100</v>
      </c>
      <c r="C256" s="21" t="inlineStr">
        <is>
          <t>Product-D6058228</t>
        </is>
      </c>
      <c r="D256" s="16" t="n">
        <v>2</v>
      </c>
      <c r="E256" s="12" t="n">
        <v>70</v>
      </c>
      <c r="F256" s="13" t="n">
        <v>3.108</v>
      </c>
      <c r="G256" s="15" t="inlineStr">
        <is>
          <t>X</t>
        </is>
      </c>
      <c r="H256" s="18" t="inlineStr">
        <is>
          <t>细</t>
        </is>
      </c>
      <c r="I256" s="16" t="inlineStr">
        <is>
          <t>Brand-Anonymized</t>
        </is>
      </c>
      <c r="J256" s="18" t="n">
        <v>200</v>
      </c>
      <c r="K256" s="18" t="inlineStr">
        <is>
          <t>C</t>
        </is>
      </c>
      <c r="L256" s="18">
        <f>IFERROR(VLOOKUP(A256,[1]按需!A$1:A$65536,1,FALSE),"")</f>
        <v/>
      </c>
      <c r="M256" s="18" t="inlineStr"/>
      <c r="N256" s="9" t="n">
        <v>0</v>
      </c>
      <c r="O256" s="9" t="n">
        <v>0</v>
      </c>
      <c r="P256" s="9" t="n">
        <v>35</v>
      </c>
      <c r="Q256" s="9" t="n">
        <v>0</v>
      </c>
      <c r="R256" s="9" t="n">
        <v>35</v>
      </c>
    </row>
    <row r="257">
      <c r="A257" s="15" t="inlineStr">
        <is>
          <t>SKU-D47538E8</t>
        </is>
      </c>
      <c r="B257" s="15" t="n">
        <v>100</v>
      </c>
      <c r="C257" s="10" t="inlineStr">
        <is>
          <t>Product-3AB43197</t>
        </is>
      </c>
      <c r="D257" s="16" t="n">
        <v>1</v>
      </c>
      <c r="E257" s="12" t="n">
        <v>62.5</v>
      </c>
      <c r="F257" s="13" t="n">
        <v>15.772</v>
      </c>
      <c r="G257" s="15" t="inlineStr"/>
      <c r="H257" s="18" t="inlineStr"/>
      <c r="I257" s="16" t="inlineStr">
        <is>
          <t>Brand-Anonymized</t>
        </is>
      </c>
      <c r="J257" s="18" t="n">
        <v>200</v>
      </c>
      <c r="K257" s="18" t="n"/>
      <c r="L257" s="18">
        <f>IFERROR(VLOOKUP(A257,[1]按需!A$1:A$65536,1,FALSE),"")</f>
        <v/>
      </c>
      <c r="M257" s="18" t="inlineStr">
        <is>
          <t>价</t>
        </is>
      </c>
      <c r="N257" s="9" t="n"/>
      <c r="O257" s="9" t="n"/>
      <c r="P257" s="9" t="n"/>
      <c r="Q257" s="9" t="n"/>
      <c r="R257" s="9" t="n"/>
    </row>
    <row r="258">
      <c r="A258" s="15" t="inlineStr">
        <is>
          <t>SKU-242CDE35</t>
        </is>
      </c>
      <c r="B258" s="15" t="n">
        <v>100</v>
      </c>
      <c r="C258" s="10" t="inlineStr">
        <is>
          <t>Product-0679DC24</t>
        </is>
      </c>
      <c r="D258" s="16" t="n">
        <v>1</v>
      </c>
      <c r="E258" s="12" t="n">
        <v>1498.1</v>
      </c>
      <c r="F258" s="13" t="n">
        <v>1414.928</v>
      </c>
      <c r="G258" s="15" t="inlineStr"/>
      <c r="H258" s="18" t="inlineStr"/>
      <c r="I258" s="16" t="inlineStr">
        <is>
          <t>Brand-Anonymized</t>
        </is>
      </c>
      <c r="J258" s="18" t="n">
        <v>200</v>
      </c>
      <c r="K258" s="18" t="n"/>
      <c r="L258" s="18">
        <f>IFERROR(VLOOKUP(A258,[1]按需!A$1:A$65536,1,FALSE),"")</f>
        <v/>
      </c>
      <c r="M258" s="18" t="inlineStr">
        <is>
          <t>价</t>
        </is>
      </c>
      <c r="N258" s="9" t="n"/>
      <c r="O258" s="9" t="n"/>
      <c r="P258" s="9" t="n"/>
      <c r="Q258" s="9" t="n"/>
      <c r="R258" s="9" t="n"/>
    </row>
    <row r="259">
      <c r="A259" s="15" t="inlineStr">
        <is>
          <t>SKU-DE68B12E</t>
        </is>
      </c>
      <c r="B259" s="15" t="n">
        <v>100</v>
      </c>
      <c r="C259" s="10" t="inlineStr">
        <is>
          <t>Product-C50F24AE</t>
        </is>
      </c>
      <c r="D259" s="16" t="n">
        <v>1</v>
      </c>
      <c r="E259" s="12" t="n">
        <v>85.90000000000001</v>
      </c>
      <c r="F259" s="13" t="n">
        <v>60.212</v>
      </c>
      <c r="G259" s="15" t="inlineStr"/>
      <c r="H259" s="18" t="inlineStr">
        <is>
          <t>细</t>
        </is>
      </c>
      <c r="I259" s="16" t="inlineStr">
        <is>
          <t>Brand-Anonymized</t>
        </is>
      </c>
      <c r="J259" s="18" t="n">
        <v>200</v>
      </c>
      <c r="K259" s="18" t="inlineStr">
        <is>
          <t>C</t>
        </is>
      </c>
      <c r="L259" s="18">
        <f>IFERROR(VLOOKUP(A259,[1]按需!A$1:A$65536,1,FALSE),"")</f>
        <v/>
      </c>
      <c r="M259" s="18" t="inlineStr">
        <is>
          <t>价</t>
        </is>
      </c>
      <c r="N259" s="9" t="n"/>
      <c r="O259" s="9" t="n"/>
      <c r="P259" s="28" t="n"/>
      <c r="Q259" s="9" t="n"/>
      <c r="R259" s="9" t="n"/>
    </row>
    <row r="260">
      <c r="A260" s="15" t="inlineStr">
        <is>
          <t>SKU-51DE8DA7</t>
        </is>
      </c>
      <c r="B260" s="15" t="n">
        <v>100</v>
      </c>
      <c r="C260" s="24" t="inlineStr">
        <is>
          <t>Product-A356EADC</t>
        </is>
      </c>
      <c r="D260" s="16" t="n">
        <v>1</v>
      </c>
      <c r="E260" s="12" t="n">
        <v>0</v>
      </c>
      <c r="F260" s="13" t="n">
        <v>0</v>
      </c>
      <c r="G260" s="15" t="inlineStr"/>
      <c r="H260" s="18" t="inlineStr"/>
      <c r="I260" s="16" t="inlineStr">
        <is>
          <t>Brand-Anonymized</t>
        </is>
      </c>
      <c r="J260" s="18" t="n">
        <v>200</v>
      </c>
      <c r="K260" s="18" t="n"/>
      <c r="L260" s="18">
        <f>IFERROR(VLOOKUP(A260,[1]按需!A$1:A$65536,1,FALSE),"")</f>
        <v/>
      </c>
      <c r="M260" s="18" t="inlineStr"/>
      <c r="N260" s="9" t="n"/>
      <c r="O260" s="9" t="n"/>
      <c r="P260" s="9" t="n"/>
      <c r="Q260" s="9" t="n"/>
      <c r="R260" s="9" t="n"/>
    </row>
    <row r="261">
      <c r="A261" s="15" t="inlineStr">
        <is>
          <t>SKU-B2655403</t>
        </is>
      </c>
      <c r="B261" s="15" t="n">
        <v>100</v>
      </c>
      <c r="C261" s="23" t="inlineStr">
        <is>
          <t>Product-D9E7BC64</t>
        </is>
      </c>
      <c r="D261" s="16" t="n">
        <v>1</v>
      </c>
      <c r="E261" s="12" t="n">
        <v>0</v>
      </c>
      <c r="F261" s="13" t="n">
        <v>0</v>
      </c>
      <c r="G261" s="15" t="inlineStr"/>
      <c r="H261" s="18" t="inlineStr">
        <is>
          <t>细</t>
        </is>
      </c>
      <c r="I261" s="16" t="inlineStr">
        <is>
          <t>Brand-Anonymized</t>
        </is>
      </c>
      <c r="J261" s="18" t="n">
        <v>200</v>
      </c>
      <c r="K261" s="18" t="inlineStr">
        <is>
          <t>C</t>
        </is>
      </c>
      <c r="L261" s="18">
        <f>IFERROR(VLOOKUP(A261,[1]按需!A$1:A$65536,1,FALSE),"")</f>
        <v/>
      </c>
      <c r="M261" s="18" t="inlineStr"/>
      <c r="N261" s="9" t="n"/>
      <c r="O261" s="9" t="n"/>
      <c r="P261" s="9" t="n"/>
      <c r="Q261" s="9" t="n"/>
      <c r="R261" s="9" t="n"/>
    </row>
    <row r="262">
      <c r="A262" s="15" t="inlineStr">
        <is>
          <t>SKU-560D7D3A</t>
        </is>
      </c>
      <c r="B262" s="15" t="n">
        <v>100</v>
      </c>
      <c r="C262" s="10" t="inlineStr">
        <is>
          <t>Product-1ACD7A4E</t>
        </is>
      </c>
      <c r="D262" s="16" t="n">
        <v>1</v>
      </c>
      <c r="E262" s="12" t="n">
        <v>110</v>
      </c>
      <c r="F262" s="13" t="n">
        <v>36.704</v>
      </c>
      <c r="G262" s="15" t="inlineStr">
        <is>
          <t>C</t>
        </is>
      </c>
      <c r="H262" s="18" t="inlineStr">
        <is>
          <t>方</t>
        </is>
      </c>
      <c r="I262" s="16" t="inlineStr">
        <is>
          <t>Brand-Anonymized</t>
        </is>
      </c>
      <c r="J262" s="18" t="n">
        <v>200</v>
      </c>
      <c r="K262" s="18" t="inlineStr">
        <is>
          <t>C</t>
        </is>
      </c>
      <c r="L262" s="18">
        <f>IFERROR(VLOOKUP(A262,[1]按需!A$1:A$65536,1,FALSE),"")</f>
        <v/>
      </c>
      <c r="M262" s="18" t="inlineStr">
        <is>
          <t>价</t>
        </is>
      </c>
      <c r="N262" s="9" t="n">
        <v>0</v>
      </c>
      <c r="O262" s="9" t="n">
        <v>0</v>
      </c>
      <c r="P262" s="9" t="n">
        <v>110</v>
      </c>
      <c r="Q262" s="9" t="n">
        <v>0</v>
      </c>
      <c r="R262" s="9" t="n">
        <v>0</v>
      </c>
    </row>
    <row r="263">
      <c r="A263" s="15" t="inlineStr">
        <is>
          <t>SKU-58CC7CB1</t>
        </is>
      </c>
      <c r="B263" s="15" t="n">
        <v>100</v>
      </c>
      <c r="C263" s="10" t="inlineStr">
        <is>
          <t>Product-9C70330A</t>
        </is>
      </c>
      <c r="D263" s="16" t="n">
        <v>1</v>
      </c>
      <c r="E263" s="12" t="n">
        <v>0.264</v>
      </c>
      <c r="F263" s="13" t="n">
        <v>0.264</v>
      </c>
      <c r="G263" s="15" t="inlineStr">
        <is>
          <t>C</t>
        </is>
      </c>
      <c r="H263" s="18" t="inlineStr">
        <is>
          <t>长</t>
        </is>
      </c>
      <c r="I263" s="16" t="inlineStr">
        <is>
          <t>Brand-Anonymized</t>
        </is>
      </c>
      <c r="J263" s="18" t="n">
        <v>200</v>
      </c>
      <c r="K263" s="18" t="inlineStr">
        <is>
          <t>C</t>
        </is>
      </c>
      <c r="L263" s="18">
        <f>IFERROR(VLOOKUP(A263,[1]按需!A$1:A$65536,1,FALSE),"")</f>
        <v/>
      </c>
      <c r="M263" s="18" t="inlineStr"/>
      <c r="N263" s="9" t="n">
        <v>0</v>
      </c>
      <c r="O263" s="9" t="n">
        <v>0</v>
      </c>
      <c r="P263" s="9" t="n">
        <v>0.264</v>
      </c>
      <c r="Q263" s="9" t="n">
        <v>0</v>
      </c>
      <c r="R263" s="9" t="n">
        <v>0</v>
      </c>
    </row>
    <row r="264">
      <c r="A264" s="15" t="inlineStr">
        <is>
          <t>SKU-3267BBE9</t>
        </is>
      </c>
      <c r="B264" s="15" t="n">
        <v>100</v>
      </c>
      <c r="C264" s="10" t="inlineStr">
        <is>
          <t>Product-0D2637FC</t>
        </is>
      </c>
      <c r="D264" s="16" t="n">
        <v>1</v>
      </c>
      <c r="E264" s="12" t="n">
        <v>20</v>
      </c>
      <c r="F264" s="13" t="n">
        <v>20.96</v>
      </c>
      <c r="G264" s="15" t="inlineStr">
        <is>
          <t>X</t>
        </is>
      </c>
      <c r="H264" s="18" t="inlineStr">
        <is>
          <t>细</t>
        </is>
      </c>
      <c r="I264" s="16" t="inlineStr">
        <is>
          <t>Brand-Anonymized</t>
        </is>
      </c>
      <c r="J264" s="18" t="n">
        <v>200</v>
      </c>
      <c r="K264" s="18" t="inlineStr">
        <is>
          <t>C</t>
        </is>
      </c>
      <c r="L264" s="18">
        <f>IFERROR(VLOOKUP(A264,[1]按需!A$1:A$65536,1,FALSE),"")</f>
        <v/>
      </c>
      <c r="M264" s="18" t="inlineStr">
        <is>
          <t>价</t>
        </is>
      </c>
      <c r="N264" s="9" t="n">
        <v>0</v>
      </c>
      <c r="O264" s="9" t="n">
        <v>10.012</v>
      </c>
      <c r="P264" s="9" t="n">
        <v>0</v>
      </c>
      <c r="Q264" s="9" t="n">
        <v>9.988</v>
      </c>
      <c r="R264" s="9" t="n">
        <v>0</v>
      </c>
    </row>
    <row r="265">
      <c r="A265" s="15" t="inlineStr">
        <is>
          <t>SKU-B279F8B6</t>
        </is>
      </c>
      <c r="B265" s="15" t="n">
        <v>100</v>
      </c>
      <c r="C265" s="21" t="inlineStr">
        <is>
          <t>Product-7DE422C3</t>
        </is>
      </c>
      <c r="D265" s="16" t="n">
        <v>1</v>
      </c>
      <c r="E265" s="12" t="n">
        <v>50</v>
      </c>
      <c r="F265" s="13" t="n">
        <v>20.668</v>
      </c>
      <c r="G265" s="15" t="inlineStr">
        <is>
          <t>X</t>
        </is>
      </c>
      <c r="H265" s="18" t="inlineStr">
        <is>
          <t>细</t>
        </is>
      </c>
      <c r="I265" s="16" t="inlineStr">
        <is>
          <t>Brand-Anonymized</t>
        </is>
      </c>
      <c r="J265" s="18" t="n">
        <v>200</v>
      </c>
      <c r="K265" s="18" t="inlineStr">
        <is>
          <t>C</t>
        </is>
      </c>
      <c r="L265" s="18">
        <f>IFERROR(VLOOKUP(A265,[1]按需!A$1:A$65536,1,FALSE),"")</f>
        <v/>
      </c>
      <c r="M265" s="18" t="inlineStr"/>
      <c r="N265" s="9" t="n">
        <v>12.5</v>
      </c>
      <c r="O265" s="9" t="n">
        <v>8</v>
      </c>
      <c r="P265" s="9" t="n">
        <v>12.5</v>
      </c>
      <c r="Q265" s="9" t="n">
        <v>12.5</v>
      </c>
      <c r="R265" s="9" t="n">
        <v>4.5</v>
      </c>
    </row>
    <row r="266">
      <c r="A266" s="15" t="inlineStr">
        <is>
          <t>SKU-AA71A4AF</t>
        </is>
      </c>
      <c r="B266" s="15" t="n">
        <v>100</v>
      </c>
      <c r="C266" s="10" t="inlineStr">
        <is>
          <t>Product-190D85FA</t>
        </is>
      </c>
      <c r="D266" s="16" t="n">
        <v>3</v>
      </c>
      <c r="E266" s="12" t="n">
        <v>1220.7</v>
      </c>
      <c r="F266" s="13" t="n">
        <v>472.504</v>
      </c>
      <c r="G266" s="15" t="inlineStr"/>
      <c r="H266" s="18" t="inlineStr"/>
      <c r="I266" s="16" t="inlineStr">
        <is>
          <t>Brand-Anonymized</t>
        </is>
      </c>
      <c r="J266" s="18" t="n">
        <v>200</v>
      </c>
      <c r="K266" s="18" t="n"/>
      <c r="L266" s="18">
        <f>IFERROR(VLOOKUP(A266,[1]按需!A$1:A$65536,1,FALSE),"")</f>
        <v/>
      </c>
      <c r="M266" s="18" t="inlineStr"/>
      <c r="N266" s="9" t="n"/>
      <c r="O266" s="9" t="n"/>
      <c r="P266" s="28" t="n"/>
      <c r="Q266" s="9" t="n"/>
      <c r="R266" s="9" t="n"/>
    </row>
    <row r="267">
      <c r="A267" s="15" t="inlineStr">
        <is>
          <t>SKU-C9A37CA3</t>
        </is>
      </c>
      <c r="B267" s="15" t="n">
        <v>100</v>
      </c>
      <c r="C267" s="23" t="inlineStr">
        <is>
          <t>Product-8E1B07F9</t>
        </is>
      </c>
      <c r="D267" s="16" t="n">
        <v>3</v>
      </c>
      <c r="E267" s="12" t="n">
        <v>0</v>
      </c>
      <c r="F267" s="13" t="n">
        <v>0</v>
      </c>
      <c r="G267" s="20" t="inlineStr">
        <is>
          <t>T</t>
        </is>
      </c>
      <c r="H267" s="18" t="inlineStr"/>
      <c r="I267" s="16" t="inlineStr">
        <is>
          <t>Brand-Anonymized</t>
        </is>
      </c>
      <c r="J267" s="18" t="n">
        <v>200</v>
      </c>
      <c r="K267" s="18" t="n"/>
      <c r="L267" s="18">
        <f>IFERROR(VLOOKUP(A267,[1]按需!A$1:A$65536,1,FALSE),"")</f>
        <v/>
      </c>
      <c r="M267" s="18" t="inlineStr"/>
      <c r="N267" s="9" t="n"/>
      <c r="O267" s="9" t="n"/>
      <c r="P267" s="9" t="n"/>
      <c r="Q267" s="9" t="n"/>
      <c r="R267" s="9" t="n"/>
    </row>
    <row r="268">
      <c r="A268" s="15" t="inlineStr">
        <is>
          <t>SKU-63BD75F8</t>
        </is>
      </c>
      <c r="B268" s="15" t="n">
        <v>100</v>
      </c>
      <c r="C268" s="10" t="inlineStr">
        <is>
          <t>Product-17474100</t>
        </is>
      </c>
      <c r="D268" s="16" t="n">
        <v>2</v>
      </c>
      <c r="E268" s="12" t="n">
        <v>126.8</v>
      </c>
      <c r="F268" s="13" t="n">
        <v>91.512</v>
      </c>
      <c r="G268" s="15" t="inlineStr"/>
      <c r="H268" s="18" t="inlineStr">
        <is>
          <t>细</t>
        </is>
      </c>
      <c r="I268" s="16" t="inlineStr">
        <is>
          <t>Brand-Anonymized</t>
        </is>
      </c>
      <c r="J268" s="18" t="n">
        <v>200</v>
      </c>
      <c r="K268" s="18" t="inlineStr">
        <is>
          <t>C</t>
        </is>
      </c>
      <c r="L268" s="18">
        <f>IFERROR(VLOOKUP(A268,[1]按需!A$1:A$65536,1,FALSE),"")</f>
        <v/>
      </c>
      <c r="M268" s="18" t="inlineStr">
        <is>
          <t>价</t>
        </is>
      </c>
      <c r="N268" s="9" t="n"/>
      <c r="O268" s="9" t="n"/>
      <c r="P268" s="9" t="n"/>
      <c r="Q268" s="9" t="n"/>
      <c r="R268" s="9" t="n"/>
    </row>
    <row r="269">
      <c r="A269" s="15" t="inlineStr">
        <is>
          <t>SKU-45A85F68</t>
        </is>
      </c>
      <c r="B269" s="15" t="n">
        <v>100</v>
      </c>
      <c r="C269" s="10" t="inlineStr">
        <is>
          <t>Product-9701A12C</t>
        </is>
      </c>
      <c r="D269" s="16" t="n">
        <v>1</v>
      </c>
      <c r="E269" s="12" t="n">
        <v>25</v>
      </c>
      <c r="F269" s="13" t="n">
        <v>1.88</v>
      </c>
      <c r="G269" s="15" t="inlineStr">
        <is>
          <t>C</t>
        </is>
      </c>
      <c r="H269" s="18" t="inlineStr">
        <is>
          <t>长</t>
        </is>
      </c>
      <c r="I269" s="16" t="inlineStr">
        <is>
          <t>Brand-Anonymized</t>
        </is>
      </c>
      <c r="J269" s="18" t="n">
        <v>200</v>
      </c>
      <c r="K269" s="18" t="inlineStr">
        <is>
          <t>C</t>
        </is>
      </c>
      <c r="L269" s="18">
        <f>IFERROR(VLOOKUP(A269,[1]按需!A$1:A$65536,1,FALSE),"")</f>
        <v/>
      </c>
      <c r="M269" s="18" t="inlineStr">
        <is>
          <t>价</t>
        </is>
      </c>
      <c r="N269" s="9" t="n">
        <v>0</v>
      </c>
      <c r="O269" s="9" t="n">
        <v>0</v>
      </c>
      <c r="P269" s="9" t="n">
        <v>0</v>
      </c>
      <c r="Q269" s="9" t="n">
        <v>0</v>
      </c>
      <c r="R269" s="9" t="n">
        <v>25</v>
      </c>
    </row>
    <row r="270">
      <c r="A270" s="15" t="inlineStr">
        <is>
          <t>SKU-1BB078B2</t>
        </is>
      </c>
      <c r="B270" s="15" t="n">
        <v>100</v>
      </c>
      <c r="C270" s="10" t="inlineStr">
        <is>
          <t>Product-1AC91157</t>
        </is>
      </c>
      <c r="D270" s="16" t="n">
        <v>1</v>
      </c>
      <c r="E270" s="12" t="n">
        <v>2.64</v>
      </c>
      <c r="F270" s="13" t="n">
        <v>0</v>
      </c>
      <c r="G270" s="15" t="inlineStr"/>
      <c r="H270" s="18" t="inlineStr">
        <is>
          <t>标</t>
        </is>
      </c>
      <c r="I270" s="16" t="inlineStr">
        <is>
          <t>Brand-Anonymized</t>
        </is>
      </c>
      <c r="J270" s="18" t="n">
        <v>200</v>
      </c>
      <c r="K270" s="18" t="inlineStr">
        <is>
          <t>C</t>
        </is>
      </c>
      <c r="L270" s="18">
        <f>IFERROR(VLOOKUP(A270,[1]按需!A$1:A$65536,1,FALSE),"")</f>
        <v/>
      </c>
      <c r="M270" s="18" t="inlineStr"/>
      <c r="N270" s="9" t="n"/>
      <c r="O270" s="9" t="n"/>
      <c r="P270" s="9" t="n"/>
      <c r="Q270" s="9" t="n"/>
      <c r="R270" s="9" t="n"/>
    </row>
    <row r="271">
      <c r="A271" s="15" t="inlineStr">
        <is>
          <t>SKU-8118963E</t>
        </is>
      </c>
      <c r="B271" s="15" t="n">
        <v>100</v>
      </c>
      <c r="C271" s="10" t="inlineStr">
        <is>
          <t>Product-8818E616</t>
        </is>
      </c>
      <c r="D271" s="16" t="n">
        <v>2</v>
      </c>
      <c r="E271" s="12" t="n">
        <v>11</v>
      </c>
      <c r="F271" s="13" t="n">
        <v>1.7</v>
      </c>
      <c r="G271" s="15" t="inlineStr"/>
      <c r="H271" s="18" t="inlineStr">
        <is>
          <t>标</t>
        </is>
      </c>
      <c r="I271" s="16" t="inlineStr">
        <is>
          <t>Brand-Anonymized</t>
        </is>
      </c>
      <c r="J271" s="18" t="n">
        <v>200</v>
      </c>
      <c r="K271" s="18" t="inlineStr">
        <is>
          <t>C</t>
        </is>
      </c>
      <c r="L271" s="18">
        <f>IFERROR(VLOOKUP(A271,[1]按需!A$1:A$65536,1,FALSE),"")</f>
        <v/>
      </c>
      <c r="M271" s="18" t="inlineStr"/>
      <c r="N271" s="9" t="n"/>
      <c r="O271" s="9" t="n"/>
      <c r="P271" s="9" t="n"/>
      <c r="Q271" s="9" t="n"/>
      <c r="R271" s="9" t="n"/>
    </row>
    <row r="272">
      <c r="A272" s="15" t="inlineStr">
        <is>
          <t>SKU-3A21B87C</t>
        </is>
      </c>
      <c r="B272" s="15" t="n">
        <v>100</v>
      </c>
      <c r="C272" s="10" t="inlineStr">
        <is>
          <t>Product-6BF10868</t>
        </is>
      </c>
      <c r="D272" s="16" t="n">
        <v>1</v>
      </c>
      <c r="E272" s="12" t="n">
        <v>5.9</v>
      </c>
      <c r="F272" s="13" t="n">
        <v>1.98</v>
      </c>
      <c r="G272" s="15" t="inlineStr"/>
      <c r="H272" s="18" t="inlineStr">
        <is>
          <t>标</t>
        </is>
      </c>
      <c r="I272" s="16" t="inlineStr">
        <is>
          <t>Brand-Anonymized</t>
        </is>
      </c>
      <c r="J272" s="18" t="n">
        <v>200</v>
      </c>
      <c r="K272" s="18" t="inlineStr">
        <is>
          <t>C</t>
        </is>
      </c>
      <c r="L272" s="18">
        <f>IFERROR(VLOOKUP(A272,[1]按需!A$1:A$65536,1,FALSE),"")</f>
        <v/>
      </c>
      <c r="M272" s="18" t="inlineStr"/>
      <c r="N272" s="9" t="n"/>
      <c r="O272" s="9" t="n"/>
      <c r="P272" s="9" t="n"/>
      <c r="Q272" s="9" t="n"/>
      <c r="R272" s="9" t="n"/>
    </row>
    <row r="273">
      <c r="A273" s="15" t="inlineStr">
        <is>
          <t>SKU-4673CF27</t>
        </is>
      </c>
      <c r="B273" s="15" t="n">
        <v>100</v>
      </c>
      <c r="C273" s="37" t="inlineStr">
        <is>
          <t>Product-1B473E88</t>
        </is>
      </c>
      <c r="D273" s="16" t="n">
        <v>1</v>
      </c>
      <c r="E273" s="12" t="n">
        <v>4.8</v>
      </c>
      <c r="F273" s="13" t="n">
        <v>1.26</v>
      </c>
      <c r="G273" s="15" t="inlineStr"/>
      <c r="H273" s="18" t="inlineStr">
        <is>
          <t>标</t>
        </is>
      </c>
      <c r="I273" s="16" t="inlineStr">
        <is>
          <t>Brand-Anonymized</t>
        </is>
      </c>
      <c r="J273" s="18" t="n">
        <v>200</v>
      </c>
      <c r="K273" s="18" t="inlineStr">
        <is>
          <t>C</t>
        </is>
      </c>
      <c r="L273" s="18">
        <f>IFERROR(VLOOKUP(A273,[1]按需!A$1:A$65536,1,FALSE),"")</f>
        <v/>
      </c>
      <c r="M273" s="18" t="inlineStr"/>
      <c r="N273" s="9" t="n"/>
      <c r="O273" s="9" t="n"/>
      <c r="P273" s="9" t="n"/>
      <c r="Q273" s="9" t="n"/>
      <c r="R273" s="9" t="n"/>
    </row>
    <row r="274">
      <c r="A274" s="9" t="inlineStr">
        <is>
          <t>SKU-757F2F2C</t>
        </is>
      </c>
      <c r="B274" s="9" t="n">
        <v>100</v>
      </c>
      <c r="C274" s="38" t="inlineStr">
        <is>
          <t>Product-F2547790</t>
        </is>
      </c>
      <c r="D274" s="16" t="n">
        <v>2</v>
      </c>
      <c r="E274" s="12" t="n">
        <v>0</v>
      </c>
      <c r="F274" s="17" t="n">
        <v>0</v>
      </c>
      <c r="G274" s="9" t="inlineStr"/>
      <c r="H274" s="18" t="inlineStr">
        <is>
          <t>标</t>
        </is>
      </c>
      <c r="I274" s="16" t="inlineStr">
        <is>
          <t>Brand-Anonymized</t>
        </is>
      </c>
      <c r="J274" s="18" t="n">
        <v>200</v>
      </c>
      <c r="K274" s="18" t="inlineStr">
        <is>
          <t>C</t>
        </is>
      </c>
      <c r="L274" s="18" t="n"/>
      <c r="M274" s="18" t="n"/>
      <c r="N274" s="15" t="n"/>
      <c r="O274" s="15" t="n"/>
      <c r="P274" s="15" t="n"/>
      <c r="Q274" s="15" t="n"/>
      <c r="R274" s="15" t="n"/>
    </row>
    <row r="275">
      <c r="A275" s="15" t="inlineStr">
        <is>
          <t>SKU-6F3D6830</t>
        </is>
      </c>
      <c r="B275" s="15" t="n">
        <v>100</v>
      </c>
      <c r="C275" s="24" t="inlineStr">
        <is>
          <t>Product-739BC315</t>
        </is>
      </c>
      <c r="D275" s="16" t="n">
        <v>2</v>
      </c>
      <c r="E275" s="12" t="n">
        <v>0</v>
      </c>
      <c r="F275" s="17" t="n">
        <v>0</v>
      </c>
      <c r="G275" s="15" t="inlineStr"/>
      <c r="H275" s="18" t="inlineStr">
        <is>
          <t>标</t>
        </is>
      </c>
      <c r="I275" s="16" t="inlineStr">
        <is>
          <t>Brand-Anonymized</t>
        </is>
      </c>
      <c r="J275" s="18" t="n">
        <v>200</v>
      </c>
      <c r="K275" s="18" t="inlineStr">
        <is>
          <t>C</t>
        </is>
      </c>
      <c r="L275" s="18" t="n"/>
      <c r="M275" s="18" t="n"/>
      <c r="N275" s="15" t="n"/>
      <c r="O275" s="15" t="n"/>
      <c r="P275" s="15" t="n"/>
      <c r="Q275" s="15" t="n"/>
      <c r="R275" s="15" t="n"/>
    </row>
    <row r="276">
      <c r="A276" s="15" t="inlineStr">
        <is>
          <t>SKU-5ABCA7A6</t>
        </is>
      </c>
      <c r="B276" s="15" t="n">
        <v>100</v>
      </c>
      <c r="C276" s="10" t="inlineStr">
        <is>
          <t>Product-4B89105C</t>
        </is>
      </c>
      <c r="D276" s="16" t="n">
        <v>1</v>
      </c>
      <c r="E276" s="12" t="n">
        <v>0</v>
      </c>
      <c r="F276" s="17" t="n">
        <v>0</v>
      </c>
      <c r="G276" s="15" t="inlineStr"/>
      <c r="H276" s="18" t="inlineStr">
        <is>
          <t>细</t>
        </is>
      </c>
      <c r="I276" s="16" t="inlineStr">
        <is>
          <t>Brand-Anonymized</t>
        </is>
      </c>
      <c r="J276" s="18" t="n">
        <v>200</v>
      </c>
      <c r="K276" s="18" t="inlineStr">
        <is>
          <t>C</t>
        </is>
      </c>
      <c r="L276" s="18" t="n"/>
      <c r="M276" s="18" t="n"/>
      <c r="N276" s="15" t="n"/>
      <c r="O276" s="15" t="n"/>
      <c r="P276" s="15" t="n"/>
      <c r="Q276" s="15" t="n"/>
      <c r="R276" s="15" t="n"/>
    </row>
    <row r="277">
      <c r="A277" s="15" t="inlineStr">
        <is>
          <t>SKU-11ADC9CE</t>
        </is>
      </c>
      <c r="B277" s="15" t="n">
        <v>100</v>
      </c>
      <c r="C277" s="10" t="inlineStr">
        <is>
          <t>Product-21261DDB</t>
        </is>
      </c>
      <c r="D277" s="16" t="n">
        <v>2</v>
      </c>
      <c r="E277" s="12" t="n">
        <v>0</v>
      </c>
      <c r="F277" s="17" t="n">
        <v>0</v>
      </c>
      <c r="G277" s="15" t="inlineStr"/>
      <c r="H277" s="18" t="inlineStr"/>
      <c r="I277" s="16" t="inlineStr">
        <is>
          <t>Brand-Anonymized</t>
        </is>
      </c>
      <c r="J277" s="18" t="n">
        <v>200</v>
      </c>
      <c r="K277" s="18" t="n"/>
      <c r="L277" s="18" t="n"/>
      <c r="M277" s="18" t="n"/>
      <c r="N277" s="15" t="n"/>
      <c r="O277" s="15" t="n"/>
      <c r="P277" s="15" t="n"/>
      <c r="Q277" s="15" t="n"/>
      <c r="R277" s="15" t="n"/>
    </row>
    <row r="278">
      <c r="A278" s="15" t="inlineStr">
        <is>
          <t>SKU-644F171E</t>
        </is>
      </c>
      <c r="B278" s="15" t="n">
        <v>100</v>
      </c>
      <c r="C278" s="10" t="inlineStr">
        <is>
          <t>Product-1BA50314</t>
        </is>
      </c>
      <c r="D278" s="16" t="n">
        <v>1</v>
      </c>
      <c r="E278" s="12" t="n">
        <v>0</v>
      </c>
      <c r="F278" s="17" t="n">
        <v>0</v>
      </c>
      <c r="G278" s="15" t="inlineStr"/>
      <c r="H278" s="18" t="inlineStr">
        <is>
          <t>标</t>
        </is>
      </c>
      <c r="I278" s="16" t="inlineStr">
        <is>
          <t>Brand-Anonymized</t>
        </is>
      </c>
      <c r="J278" s="18" t="n">
        <v>200</v>
      </c>
      <c r="K278" s="18" t="inlineStr">
        <is>
          <t>C</t>
        </is>
      </c>
      <c r="L278" s="18" t="n"/>
      <c r="M278" s="18" t="n"/>
      <c r="N278" s="15" t="n"/>
      <c r="O278" s="15" t="n"/>
      <c r="P278" s="15" t="n"/>
      <c r="Q278" s="15" t="n"/>
      <c r="R278" s="15" t="n"/>
    </row>
    <row r="279">
      <c r="A279" s="33" t="inlineStr">
        <is>
          <t>SKU-AEC97CC2</t>
        </is>
      </c>
      <c r="B279" s="15" t="n">
        <v>100</v>
      </c>
      <c r="C279" s="39" t="inlineStr">
        <is>
          <t>Product-B78F5436</t>
        </is>
      </c>
      <c r="D279" s="16" t="n">
        <v>1</v>
      </c>
      <c r="E279" s="12" t="n">
        <v>0</v>
      </c>
      <c r="F279" s="17" t="n">
        <v>0</v>
      </c>
      <c r="G279" s="34" t="inlineStr"/>
      <c r="H279" s="35" t="inlineStr">
        <is>
          <t>标</t>
        </is>
      </c>
      <c r="I279" s="36" t="inlineStr">
        <is>
          <t>Brand-Anonymized</t>
        </is>
      </c>
      <c r="J279" s="35" t="n">
        <v>200</v>
      </c>
      <c r="K279" s="35" t="inlineStr">
        <is>
          <t>C</t>
        </is>
      </c>
      <c r="L279" s="35" t="n"/>
      <c r="M279" s="35" t="n"/>
      <c r="N279" s="15" t="n"/>
      <c r="O279" s="15" t="n"/>
      <c r="P279" s="15" t="n"/>
      <c r="Q279" s="15" t="n"/>
      <c r="R279" s="15" t="n"/>
    </row>
    <row r="280">
      <c r="A280" s="33" t="inlineStr">
        <is>
          <t>SKU-472FCFCF</t>
        </is>
      </c>
      <c r="B280" s="15" t="n">
        <v>100</v>
      </c>
      <c r="C280" s="39" t="inlineStr">
        <is>
          <t>Product-5367E8C9</t>
        </is>
      </c>
      <c r="D280" s="16" t="n">
        <v>1</v>
      </c>
      <c r="E280" s="12" t="n">
        <v>0</v>
      </c>
      <c r="F280" s="17" t="n">
        <v>0</v>
      </c>
      <c r="G280" s="34" t="inlineStr"/>
      <c r="H280" s="35" t="inlineStr">
        <is>
          <t>标</t>
        </is>
      </c>
      <c r="I280" s="36" t="inlineStr">
        <is>
          <t>Brand-Anonymized</t>
        </is>
      </c>
      <c r="J280" s="35" t="n">
        <v>200</v>
      </c>
      <c r="K280" s="35" t="inlineStr">
        <is>
          <t>C</t>
        </is>
      </c>
      <c r="L280" s="35" t="n"/>
      <c r="M280" s="35" t="n"/>
      <c r="N280" s="15" t="n"/>
      <c r="O280" s="15" t="n"/>
      <c r="P280" s="15" t="n"/>
      <c r="Q280" s="15" t="n"/>
      <c r="R280" s="15" t="n"/>
    </row>
    <row r="281">
      <c r="A281" s="15" t="inlineStr">
        <is>
          <t>SKU-74226566</t>
        </is>
      </c>
      <c r="B281" s="15" t="n">
        <v>100</v>
      </c>
      <c r="C281" s="10" t="inlineStr">
        <is>
          <t>Product-5CBC2173</t>
        </is>
      </c>
      <c r="D281" s="16" t="n">
        <v>1</v>
      </c>
      <c r="E281" s="12" t="n">
        <v>0</v>
      </c>
      <c r="F281" s="13" t="n">
        <v>0</v>
      </c>
      <c r="G281" s="15" t="inlineStr"/>
      <c r="H281" s="18" t="inlineStr"/>
      <c r="I281" s="16" t="inlineStr">
        <is>
          <t>Brand-Anonymized</t>
        </is>
      </c>
      <c r="J281" s="18" t="n">
        <v>200</v>
      </c>
      <c r="K281" s="18" t="n"/>
      <c r="L281" s="18" t="n"/>
      <c r="M281" s="18" t="n"/>
      <c r="N281" s="9" t="n"/>
      <c r="O281" s="9" t="n"/>
      <c r="P281" s="9" t="n"/>
      <c r="Q281" s="9" t="n"/>
      <c r="R281" s="9" t="n"/>
    </row>
    <row r="282">
      <c r="A282" s="15" t="inlineStr">
        <is>
          <t>SKU-C8F1C563</t>
        </is>
      </c>
      <c r="B282" s="15" t="n">
        <v>100</v>
      </c>
      <c r="C282" s="10" t="inlineStr">
        <is>
          <t>Product-CB94403F</t>
        </is>
      </c>
      <c r="D282" s="16" t="n">
        <v>1</v>
      </c>
      <c r="E282" s="12" t="n">
        <v>0</v>
      </c>
      <c r="F282" s="13" t="n">
        <v>0</v>
      </c>
      <c r="G282" s="15" t="inlineStr"/>
      <c r="H282" s="18" t="inlineStr"/>
      <c r="I282" s="16" t="inlineStr">
        <is>
          <t>Brand-Anonymized</t>
        </is>
      </c>
      <c r="J282" s="18" t="n">
        <v>200</v>
      </c>
      <c r="K282" s="18" t="n"/>
      <c r="L282" s="18" t="n"/>
      <c r="M282" s="18" t="n"/>
      <c r="N282" s="9" t="n"/>
      <c r="O282" s="9" t="n"/>
      <c r="P282" s="9" t="n"/>
      <c r="Q282" s="9" t="n"/>
      <c r="R282" s="9" t="n"/>
    </row>
    <row r="283">
      <c r="A283" s="33" t="inlineStr">
        <is>
          <t>SKU-3612A067</t>
        </is>
      </c>
      <c r="B283" s="15" t="n">
        <v>100</v>
      </c>
      <c r="C283" s="37" t="inlineStr">
        <is>
          <t>Product-00361644</t>
        </is>
      </c>
      <c r="D283" s="16" t="n">
        <v>1</v>
      </c>
      <c r="E283" s="12" t="n">
        <v>0</v>
      </c>
      <c r="F283" s="17" t="n">
        <v>0</v>
      </c>
      <c r="G283" s="34" t="inlineStr"/>
      <c r="H283" s="35" t="inlineStr">
        <is>
          <t>标</t>
        </is>
      </c>
      <c r="I283" s="36" t="inlineStr">
        <is>
          <t>Brand-Anonymized</t>
        </is>
      </c>
      <c r="J283" s="35" t="n">
        <v>200</v>
      </c>
      <c r="K283" s="35" t="inlineStr">
        <is>
          <t>C</t>
        </is>
      </c>
      <c r="L283" s="35" t="n"/>
      <c r="M283" s="35" t="n"/>
      <c r="N283" s="15" t="n"/>
      <c r="O283" s="15" t="n"/>
      <c r="P283" s="15" t="n"/>
      <c r="Q283" s="15" t="n"/>
      <c r="R283" s="15" t="n"/>
    </row>
    <row r="284">
      <c r="A284" s="33" t="inlineStr">
        <is>
          <t>SKU-CBB84AFA</t>
        </is>
      </c>
      <c r="B284" s="15" t="n">
        <v>100</v>
      </c>
      <c r="C284" s="24" t="inlineStr">
        <is>
          <t>Product-9FF98A5E</t>
        </is>
      </c>
      <c r="D284" s="16" t="n">
        <v>1</v>
      </c>
      <c r="E284" s="12" t="n">
        <v>0</v>
      </c>
      <c r="F284" s="17" t="n">
        <v>0</v>
      </c>
      <c r="G284" s="34" t="inlineStr"/>
      <c r="H284" s="35" t="inlineStr">
        <is>
          <t>标</t>
        </is>
      </c>
      <c r="I284" s="36" t="inlineStr">
        <is>
          <t>Brand-Anonymized</t>
        </is>
      </c>
      <c r="J284" s="35" t="n">
        <v>200</v>
      </c>
      <c r="K284" s="35" t="inlineStr">
        <is>
          <t>C</t>
        </is>
      </c>
      <c r="L284" s="35" t="n"/>
      <c r="M284" s="35" t="n"/>
      <c r="N284" s="15" t="n"/>
      <c r="O284" s="15" t="n"/>
      <c r="P284" s="15" t="n"/>
      <c r="Q284" s="15" t="n"/>
      <c r="R284" s="15" t="n"/>
    </row>
    <row r="285">
      <c r="A285" s="15" t="inlineStr">
        <is>
          <t>SKU-64173031</t>
        </is>
      </c>
      <c r="B285" s="15" t="n">
        <v>100</v>
      </c>
      <c r="C285" s="10" t="inlineStr">
        <is>
          <t>Product-CE4A3DBB</t>
        </is>
      </c>
      <c r="D285" s="16" t="n">
        <v>1</v>
      </c>
      <c r="E285" s="12" t="n">
        <v>0</v>
      </c>
      <c r="F285" s="17" t="n">
        <v>0</v>
      </c>
      <c r="G285" s="34" t="inlineStr"/>
      <c r="H285" s="35" t="inlineStr">
        <is>
          <t>标</t>
        </is>
      </c>
      <c r="I285" s="36" t="inlineStr">
        <is>
          <t>Brand-Anonymized</t>
        </is>
      </c>
      <c r="J285" s="35" t="n">
        <v>200</v>
      </c>
      <c r="K285" s="35" t="inlineStr">
        <is>
          <t>C</t>
        </is>
      </c>
      <c r="L285" s="35" t="n"/>
      <c r="M285" s="35" t="n"/>
      <c r="N285" s="15" t="n"/>
      <c r="O285" s="15" t="n"/>
      <c r="P285" s="15" t="n"/>
      <c r="Q285" s="15" t="n"/>
      <c r="R285" s="15" t="n"/>
    </row>
    <row r="286">
      <c r="A286" s="33" t="inlineStr">
        <is>
          <t>SKU-79156780</t>
        </is>
      </c>
      <c r="B286" s="15" t="n">
        <v>100</v>
      </c>
      <c r="C286" s="37" t="inlineStr">
        <is>
          <t>Product-D8310139</t>
        </is>
      </c>
      <c r="D286" s="16" t="n">
        <v>3</v>
      </c>
      <c r="E286" s="12" t="n">
        <v>0</v>
      </c>
      <c r="F286" s="17" t="n">
        <v>0</v>
      </c>
      <c r="G286" s="40" t="inlineStr"/>
      <c r="H286" s="35" t="inlineStr">
        <is>
          <t>标</t>
        </is>
      </c>
      <c r="I286" s="36" t="inlineStr">
        <is>
          <t>Brand-Anonymized</t>
        </is>
      </c>
      <c r="J286" s="35" t="n">
        <v>200</v>
      </c>
      <c r="K286" s="35" t="inlineStr">
        <is>
          <t>C</t>
        </is>
      </c>
      <c r="L286" s="35" t="n"/>
      <c r="M286" s="35" t="n"/>
      <c r="N286" s="15" t="n"/>
      <c r="O286" s="15" t="n"/>
      <c r="P286" s="15" t="n"/>
      <c r="Q286" s="15" t="n"/>
      <c r="R286" s="15" t="n"/>
    </row>
    <row r="287">
      <c r="A287" s="33" t="inlineStr">
        <is>
          <t>SKU-5E2193C8</t>
        </is>
      </c>
      <c r="B287" s="15" t="n">
        <v>100</v>
      </c>
      <c r="C287" s="37" t="inlineStr">
        <is>
          <t>Product-B1BCBBF1</t>
        </is>
      </c>
      <c r="D287" s="16" t="n">
        <v>2</v>
      </c>
      <c r="E287" s="12" t="n">
        <v>0</v>
      </c>
      <c r="F287" s="17" t="n">
        <v>0</v>
      </c>
      <c r="G287" s="34" t="inlineStr"/>
      <c r="H287" s="35" t="inlineStr">
        <is>
          <t>标</t>
        </is>
      </c>
      <c r="I287" s="36" t="inlineStr">
        <is>
          <t>Brand-Anonymized</t>
        </is>
      </c>
      <c r="J287" s="35" t="n">
        <v>200</v>
      </c>
      <c r="K287" s="35" t="inlineStr">
        <is>
          <t>C</t>
        </is>
      </c>
      <c r="L287" s="35" t="n"/>
      <c r="M287" s="35" t="n"/>
      <c r="N287" s="15" t="n"/>
      <c r="O287" s="15" t="n"/>
      <c r="P287" s="15" t="n"/>
      <c r="Q287" s="15" t="n"/>
      <c r="R287" s="15" t="n"/>
    </row>
    <row r="288">
      <c r="A288" s="33" t="inlineStr">
        <is>
          <t>SKU-E0B7650A</t>
        </is>
      </c>
      <c r="B288" s="15" t="n">
        <v>100</v>
      </c>
      <c r="C288" s="37" t="inlineStr">
        <is>
          <t>Product-6CE7F780</t>
        </is>
      </c>
      <c r="D288" s="16" t="n">
        <v>1</v>
      </c>
      <c r="E288" s="12" t="n">
        <v>0</v>
      </c>
      <c r="F288" s="17" t="n">
        <v>0</v>
      </c>
      <c r="G288" s="34" t="inlineStr"/>
      <c r="H288" s="35" t="inlineStr"/>
      <c r="I288" s="36" t="inlineStr">
        <is>
          <t>Brand-Anonymized</t>
        </is>
      </c>
      <c r="J288" s="35" t="n">
        <v>200</v>
      </c>
      <c r="K288" s="35" t="n"/>
      <c r="L288" s="35" t="n"/>
      <c r="M288" s="35" t="n"/>
      <c r="N288" s="15" t="n"/>
      <c r="O288" s="15" t="n"/>
      <c r="P288" s="15" t="n"/>
      <c r="Q288" s="15" t="n"/>
      <c r="R288" s="15" t="n"/>
    </row>
    <row r="289">
      <c r="A289" s="33" t="inlineStr">
        <is>
          <t>SKU-843C0510</t>
        </is>
      </c>
      <c r="B289" s="15" t="n">
        <v>100</v>
      </c>
      <c r="C289" s="39" t="inlineStr">
        <is>
          <t>Product-8E98715E</t>
        </is>
      </c>
      <c r="D289" s="16" t="n">
        <v>1</v>
      </c>
      <c r="E289" s="12" t="n">
        <v>0</v>
      </c>
      <c r="F289" s="17" t="n">
        <v>0</v>
      </c>
      <c r="G289" s="15" t="inlineStr"/>
      <c r="H289" s="18" t="inlineStr">
        <is>
          <t>标</t>
        </is>
      </c>
      <c r="I289" s="16" t="inlineStr">
        <is>
          <t>Brand-Anonymized</t>
        </is>
      </c>
      <c r="J289" s="18" t="n">
        <v>200</v>
      </c>
      <c r="K289" s="18" t="inlineStr">
        <is>
          <t>C</t>
        </is>
      </c>
      <c r="L289" s="18" t="n"/>
      <c r="M289" s="18" t="n"/>
      <c r="N289" s="15" t="n"/>
      <c r="O289" s="15" t="n"/>
      <c r="P289" s="15" t="n"/>
      <c r="Q289" s="15" t="n"/>
      <c r="R289" s="15" t="n"/>
    </row>
    <row r="290">
      <c r="A290" s="33" t="inlineStr">
        <is>
          <t>SKU-24B633DE</t>
        </is>
      </c>
      <c r="B290" s="15" t="n">
        <v>100</v>
      </c>
      <c r="C290" s="37" t="inlineStr">
        <is>
          <t>Product-7888AB17</t>
        </is>
      </c>
      <c r="D290" s="16" t="n">
        <v>1</v>
      </c>
      <c r="E290" s="12" t="n">
        <v>0</v>
      </c>
      <c r="F290" s="17" t="n">
        <v>0</v>
      </c>
      <c r="G290" s="15" t="inlineStr"/>
      <c r="H290" s="18" t="inlineStr">
        <is>
          <t>标</t>
        </is>
      </c>
      <c r="I290" s="16" t="inlineStr">
        <is>
          <t>Brand-Anonymized</t>
        </is>
      </c>
      <c r="J290" s="18" t="n">
        <v>200</v>
      </c>
      <c r="K290" s="18" t="inlineStr">
        <is>
          <t>C</t>
        </is>
      </c>
      <c r="L290" s="18" t="n"/>
      <c r="M290" s="18" t="n"/>
      <c r="N290" s="15" t="n"/>
      <c r="O290" s="15" t="n"/>
      <c r="P290" s="15" t="n"/>
      <c r="Q290" s="15" t="n"/>
      <c r="R290" s="15" t="n"/>
    </row>
    <row r="291">
      <c r="A291" s="15" t="inlineStr">
        <is>
          <t>SKU-0408BC7B</t>
        </is>
      </c>
      <c r="B291" s="15" t="n">
        <v>100</v>
      </c>
      <c r="C291" s="10" t="inlineStr">
        <is>
          <t>Product-5A027F0E</t>
        </is>
      </c>
      <c r="D291" s="16" t="n">
        <v>1</v>
      </c>
      <c r="E291" s="12" t="n">
        <v>0</v>
      </c>
      <c r="F291" s="13" t="n">
        <v>0</v>
      </c>
      <c r="G291" s="15" t="inlineStr"/>
      <c r="H291" s="18" t="inlineStr"/>
      <c r="I291" s="16" t="inlineStr">
        <is>
          <t>Brand-Anonymized</t>
        </is>
      </c>
      <c r="J291" s="18" t="n">
        <v>200</v>
      </c>
      <c r="K291" s="18" t="n"/>
      <c r="L291" s="18" t="n"/>
      <c r="M291" s="18" t="n"/>
      <c r="N291" s="9" t="n"/>
      <c r="O291" s="9" t="n"/>
      <c r="P291" s="9" t="n"/>
      <c r="Q291" s="9" t="n"/>
      <c r="R291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41" t="n"/>
      <c r="B1" s="41" t="inlineStr">
        <is>
          <t>第一轮</t>
        </is>
      </c>
      <c r="C1" s="41" t="inlineStr">
        <is>
          <t>第二轮</t>
        </is>
      </c>
      <c r="D1" s="41" t="inlineStr">
        <is>
          <t>第三轮</t>
        </is>
      </c>
      <c r="E1" s="41" t="inlineStr">
        <is>
          <t>第四轮</t>
        </is>
      </c>
      <c r="F1" s="41" t="inlineStr">
        <is>
          <t>第五轮</t>
        </is>
      </c>
    </row>
    <row r="2">
      <c r="A2" s="41" t="inlineStr">
        <is>
          <t>单箱均价上限</t>
        </is>
      </c>
      <c r="B2" s="41" t="n">
        <v>34000</v>
      </c>
      <c r="C2" s="41" t="n">
        <v>35000</v>
      </c>
      <c r="D2" s="41" t="n">
        <v>35500</v>
      </c>
      <c r="E2" s="41" t="n">
        <v>34500</v>
      </c>
      <c r="F2" s="41" t="n">
        <v>31000</v>
      </c>
    </row>
    <row r="3">
      <c r="A3" s="41" t="inlineStr">
        <is>
          <t>单箱均价下限</t>
        </is>
      </c>
      <c r="B3" s="41" t="n">
        <v>33500</v>
      </c>
      <c r="C3" s="41" t="n">
        <v>34500</v>
      </c>
      <c r="D3" s="41" t="n">
        <v>35000</v>
      </c>
      <c r="E3" s="41" t="n">
        <v>34000</v>
      </c>
      <c r="F3" s="41" t="n">
        <v>30500</v>
      </c>
    </row>
    <row r="4">
      <c r="A4" s="41" t="inlineStr">
        <is>
          <t>总量</t>
        </is>
      </c>
      <c r="B4" s="41" t="n">
        <v>8000</v>
      </c>
      <c r="C4" s="41" t="n">
        <v>14000</v>
      </c>
      <c r="D4" s="41" t="n">
        <v>12520</v>
      </c>
      <c r="E4" s="41" t="n">
        <v>12500</v>
      </c>
      <c r="F4" s="41" t="n">
        <v>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2026-09-08T08:22:03Z</dcterms:created>
  <dcterms:modified xmlns:dcterms="http://purl.org/dc/terms/" xmlns:xsi="http://www.w3.org/2001/XMLSchema-instance" xsi:type="dcterms:W3CDTF">2026-09-08T08:22:06Z</dcterms:modified>
  <cp:lastModifiedBy/>
</cp:coreProperties>
</file>