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1750" tabRatio="837" firstSheet="0" activeTab="0" autoFilterDateGrouping="1"/>
  </bookViews>
  <sheets>
    <sheet xmlns:r="http://schemas.openxmlformats.org/officeDocument/2006/relationships" name="预安排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6月" sheetId="3" state="hidden" r:id="rId3"/>
    <sheet xmlns:r="http://schemas.openxmlformats.org/officeDocument/2006/relationships" name="计划落实" sheetId="4" state="hidden" r:id="rId4"/>
    <sheet xmlns:r="http://schemas.openxmlformats.org/officeDocument/2006/relationships" name="计划" sheetId="5" state="hidden" r:id="rId5"/>
    <sheet xmlns:r="http://schemas.openxmlformats.org/officeDocument/2006/relationships" name="进度%" sheetId="6" state="hidden" r:id="rId6"/>
  </sheets>
  <definedNames>
    <definedName name="_xlnm._FilterDatabase" localSheetId="3" hidden="1">'计划落实'!$AC$1:$AC$352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宋体"/>
      <charset val="134"/>
      <sz val="12"/>
    </font>
    <font>
      <name val="Arial"/>
      <charset val="0"/>
      <family val="2"/>
      <color theme="1"/>
      <sz val="11"/>
    </font>
    <font>
      <name val="Arial"/>
      <charset val="0"/>
      <family val="2"/>
      <b val="1"/>
      <sz val="11"/>
    </font>
    <font>
      <name val="Arial"/>
      <charset val="0"/>
      <family val="2"/>
      <b val="1"/>
      <sz val="16"/>
    </font>
    <font>
      <name val="Arial"/>
      <charset val="0"/>
      <family val="2"/>
      <b val="1"/>
      <color indexed="8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Arial"/>
      <charset val="0"/>
      <family val="2"/>
      <sz val="11"/>
    </font>
    <font>
      <name val="Arial"/>
      <charset val="0"/>
      <family val="2"/>
      <color indexed="8"/>
      <sz val="11"/>
    </font>
    <font>
      <name val="Arial"/>
      <charset val="0"/>
      <family val="2"/>
      <color rgb="FF000000"/>
      <sz val="11"/>
    </font>
    <font>
      <name val="宋体"/>
      <charset val="134"/>
      <sz val="11"/>
    </font>
    <font>
      <name val="Arial"/>
      <charset val="0"/>
      <family val="2"/>
      <b val="1"/>
      <color theme="1"/>
      <sz val="11"/>
    </font>
    <font>
      <name val="方正书宋_GBK"/>
      <charset val="134"/>
      <b val="1"/>
      <sz val="11"/>
    </font>
    <font>
      <name val="Arial"/>
      <charset val="0"/>
      <family val="2"/>
      <color rgb="FFFF0000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方正书宋_GBK"/>
      <charset val="134"/>
      <b val="1"/>
      <sz val="16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12" borderId="3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8" applyAlignment="1">
      <alignment vertical="center"/>
    </xf>
    <xf numFmtId="0" fontId="21" fillId="0" borderId="38" applyAlignment="1">
      <alignment vertical="center"/>
    </xf>
    <xf numFmtId="0" fontId="22" fillId="0" borderId="39" applyAlignment="1">
      <alignment vertical="center"/>
    </xf>
    <xf numFmtId="0" fontId="22" fillId="0" borderId="0" applyAlignment="1">
      <alignment vertical="center"/>
    </xf>
    <xf numFmtId="0" fontId="23" fillId="13" borderId="40" applyAlignment="1">
      <alignment vertical="center"/>
    </xf>
    <xf numFmtId="0" fontId="24" fillId="14" borderId="41" applyAlignment="1">
      <alignment vertical="center"/>
    </xf>
    <xf numFmtId="0" fontId="25" fillId="14" borderId="40" applyAlignment="1">
      <alignment vertical="center"/>
    </xf>
    <xf numFmtId="0" fontId="26" fillId="15" borderId="42" applyAlignment="1">
      <alignment vertical="center"/>
    </xf>
    <xf numFmtId="0" fontId="27" fillId="0" borderId="43" applyAlignment="1">
      <alignment vertical="center"/>
    </xf>
    <xf numFmtId="0" fontId="28" fillId="0" borderId="44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0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3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5" borderId="0" applyAlignment="1">
      <alignment vertical="center"/>
    </xf>
    <xf numFmtId="0" fontId="32" fillId="11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3" fillId="32" borderId="0" applyAlignment="1">
      <alignment vertical="center"/>
    </xf>
    <xf numFmtId="0" fontId="33" fillId="9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2" fillId="37" borderId="0" applyAlignment="1">
      <alignment vertical="center"/>
    </xf>
    <xf numFmtId="0" fontId="0" fillId="0" borderId="0"/>
    <xf numFmtId="9" fontId="0" fillId="0" borderId="0"/>
    <xf numFmtId="0" fontId="0" fillId="0" borderId="0" applyAlignment="1">
      <alignment vertical="center"/>
    </xf>
  </cellStyleXfs>
  <cellXfs count="2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3" fillId="0" borderId="0" applyAlignment="1" pivotButton="0" quotePrefix="0" xfId="49">
      <alignment horizontal="center" vertical="center"/>
    </xf>
    <xf numFmtId="1" fontId="2" fillId="0" borderId="0" applyAlignment="1" pivotButton="0" quotePrefix="0" xfId="0">
      <alignment horizontal="left" vertical="center"/>
    </xf>
    <xf numFmtId="0" fontId="4" fillId="0" borderId="1" applyAlignment="1" pivotButton="0" quotePrefix="0" xfId="49">
      <alignment horizontal="center" vertical="center" wrapText="1"/>
    </xf>
    <xf numFmtId="0" fontId="2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49">
      <alignment horizontal="left" vertical="center"/>
    </xf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4" borderId="7" applyAlignment="1" pivotButton="0" quotePrefix="0" xfId="49">
      <alignment horizontal="left" vertical="center"/>
    </xf>
    <xf numFmtId="0" fontId="2" fillId="3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5" fillId="3" borderId="7" applyAlignment="1" pivotButton="0" quotePrefix="0" xfId="49">
      <alignment horizontal="center" vertical="center"/>
    </xf>
    <xf numFmtId="0" fontId="7" fillId="3" borderId="7" applyAlignment="1" pivotButton="0" quotePrefix="0" xfId="49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6" borderId="7" applyAlignment="1" pivotButton="0" quotePrefix="0" xfId="49">
      <alignment horizontal="left" vertical="center"/>
    </xf>
    <xf numFmtId="0" fontId="7" fillId="7" borderId="7" applyAlignment="1" pivotButton="0" quotePrefix="0" xfId="49">
      <alignment horizontal="left" vertical="center"/>
    </xf>
    <xf numFmtId="0" fontId="7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6" fillId="0" borderId="13" applyAlignment="1" pivotButton="0" quotePrefix="0" xfId="49">
      <alignment horizontal="center" vertical="center" textRotation="255"/>
    </xf>
    <xf numFmtId="0" fontId="6" fillId="0" borderId="14" applyAlignment="1" pivotButton="0" quotePrefix="0" xfId="49">
      <alignment horizontal="center" vertical="center" textRotation="255"/>
    </xf>
    <xf numFmtId="0" fontId="8" fillId="0" borderId="10" applyAlignment="1" pivotButton="0" quotePrefix="0" xfId="49">
      <alignment vertical="center" textRotation="255"/>
    </xf>
    <xf numFmtId="0" fontId="2" fillId="3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49">
      <alignment horizontal="center" vertical="center" wrapText="1"/>
    </xf>
    <xf numFmtId="0" fontId="9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49">
      <alignment vertical="center" wrapText="1"/>
    </xf>
    <xf numFmtId="0" fontId="6" fillId="0" borderId="10" applyAlignment="1" pivotButton="0" quotePrefix="0" xfId="49">
      <alignment horizontal="center" vertical="center" textRotation="255"/>
    </xf>
    <xf numFmtId="0" fontId="8" fillId="0" borderId="15" applyAlignment="1" pivotButton="0" quotePrefix="0" xfId="49">
      <alignment vertical="center"/>
    </xf>
    <xf numFmtId="0" fontId="2" fillId="3" borderId="16" applyAlignment="1" pivotButton="0" quotePrefix="0" xfId="49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5" fillId="3" borderId="16" applyAlignment="1" pivotButton="0" quotePrefix="0" xfId="49">
      <alignment horizontal="center" vertical="center"/>
    </xf>
    <xf numFmtId="164" fontId="2" fillId="3" borderId="16" applyAlignment="1" pivotButton="0" quotePrefix="0" xfId="3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7" fillId="0" borderId="0" pivotButton="0" quotePrefix="0" xfId="49"/>
    <xf numFmtId="0" fontId="2" fillId="0" borderId="2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9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1" fillId="0" borderId="6" applyAlignment="1" pivotButton="0" quotePrefix="0" xfId="49">
      <alignment vertical="center" wrapText="1"/>
    </xf>
    <xf numFmtId="0" fontId="7" fillId="0" borderId="7" applyAlignment="1" pivotButton="0" quotePrefix="0" xfId="49">
      <alignment horizontal="center" vertical="center"/>
    </xf>
    <xf numFmtId="0" fontId="1" fillId="4" borderId="7" applyAlignment="1" pivotButton="0" quotePrefix="0" xfId="49">
      <alignment vertical="center" wrapText="1"/>
    </xf>
    <xf numFmtId="0" fontId="1" fillId="2" borderId="7" applyAlignment="1" pivotButton="0" quotePrefix="0" xfId="0">
      <alignment horizontal="center" vertical="center"/>
    </xf>
    <xf numFmtId="0" fontId="7" fillId="5" borderId="7" applyAlignment="1" pivotButton="0" quotePrefix="0" xfId="49">
      <alignment horizontal="center" vertical="center"/>
    </xf>
    <xf numFmtId="0" fontId="2" fillId="3" borderId="7" applyAlignment="1" pivotButton="0" quotePrefix="0" xfId="49">
      <alignment horizontal="center" vertical="center"/>
    </xf>
    <xf numFmtId="0" fontId="5" fillId="3" borderId="19" applyAlignment="1" pivotButton="0" quotePrefix="0" xfId="49">
      <alignment horizontal="center" vertical="center"/>
    </xf>
    <xf numFmtId="0" fontId="7" fillId="3" borderId="19" applyAlignment="1" pivotButton="0" quotePrefix="0" xfId="49">
      <alignment horizontal="center" vertical="center"/>
    </xf>
    <xf numFmtId="164" fontId="2" fillId="3" borderId="19" applyAlignment="1" pivotButton="0" quotePrefix="0" xfId="3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9" fillId="0" borderId="10" applyAlignment="1" pivotButton="0" quotePrefix="0" xfId="49">
      <alignment vertical="center" textRotation="255"/>
    </xf>
    <xf numFmtId="0" fontId="7" fillId="5" borderId="7" applyAlignment="1" pivotButton="0" quotePrefix="0" xfId="49">
      <alignment horizontal="center" vertical="center"/>
    </xf>
    <xf numFmtId="0" fontId="9" fillId="0" borderId="13" applyAlignment="1" pivotButton="0" quotePrefix="0" xfId="49">
      <alignment vertical="center" textRotation="255"/>
    </xf>
    <xf numFmtId="0" fontId="2" fillId="3" borderId="19" applyAlignment="1" pivotButton="0" quotePrefix="0" xfId="49">
      <alignment horizontal="center" vertical="center"/>
    </xf>
    <xf numFmtId="0" fontId="7" fillId="5" borderId="19" applyAlignment="1" pivotButton="0" quotePrefix="0" xfId="49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3" borderId="16" applyAlignment="1" pivotButton="0" quotePrefix="0" xfId="49">
      <alignment horizontal="center" vertical="center"/>
    </xf>
    <xf numFmtId="0" fontId="5" fillId="3" borderId="16" applyAlignment="1" pivotButton="0" quotePrefix="0" xfId="49">
      <alignment horizontal="center" vertical="center"/>
    </xf>
    <xf numFmtId="0" fontId="7" fillId="3" borderId="16" applyAlignment="1" pivotButton="0" quotePrefix="0" xfId="49">
      <alignment horizontal="center" vertical="center"/>
    </xf>
    <xf numFmtId="0" fontId="7" fillId="0" borderId="0" pivotButton="0" quotePrefix="0" xfId="49"/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49">
      <alignment wrapText="1"/>
    </xf>
    <xf numFmtId="0" fontId="7" fillId="0" borderId="0" applyAlignment="1" pivotButton="0" quotePrefix="0" xfId="49">
      <alignment wrapText="1"/>
    </xf>
    <xf numFmtId="0" fontId="5" fillId="0" borderId="2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10" fillId="5" borderId="5" applyAlignment="1" pivotButton="0" quotePrefix="0" xfId="49">
      <alignment horizontal="left" vertical="center"/>
    </xf>
    <xf numFmtId="0" fontId="7" fillId="5" borderId="6" applyAlignment="1" pivotButton="0" quotePrefix="0" xfId="49">
      <alignment horizontal="center" vertical="center"/>
    </xf>
    <xf numFmtId="1" fontId="11" fillId="5" borderId="25" applyAlignment="1" pivotButton="0" quotePrefix="0" xfId="0">
      <alignment vertical="center"/>
    </xf>
    <xf numFmtId="1" fontId="11" fillId="5" borderId="26" applyAlignment="1" pivotButton="0" quotePrefix="0" xfId="0">
      <alignment vertical="center"/>
    </xf>
    <xf numFmtId="0" fontId="10" fillId="0" borderId="13" applyAlignment="1" pivotButton="0" quotePrefix="0" xfId="49">
      <alignment horizontal="left" vertical="center"/>
    </xf>
    <xf numFmtId="0" fontId="7" fillId="0" borderId="19" applyAlignment="1" pivotButton="0" quotePrefix="0" xfId="49">
      <alignment horizontal="center" vertical="center"/>
    </xf>
    <xf numFmtId="1" fontId="11" fillId="0" borderId="19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0" fontId="10" fillId="5" borderId="27" applyAlignment="1" pivotButton="0" quotePrefix="0" xfId="49">
      <alignment horizontal="left" vertical="center"/>
    </xf>
    <xf numFmtId="0" fontId="7" fillId="5" borderId="28" applyAlignment="1" pivotButton="0" quotePrefix="0" xfId="49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  <xf numFmtId="0" fontId="10" fillId="0" borderId="10" applyAlignment="1" pivotButton="0" quotePrefix="0" xfId="49">
      <alignment horizontal="left" vertical="center"/>
    </xf>
    <xf numFmtId="1" fontId="2" fillId="0" borderId="7" applyAlignment="1" pivotButton="0" quotePrefix="0" xfId="49">
      <alignment horizontal="right" vertical="center"/>
    </xf>
    <xf numFmtId="1" fontId="7" fillId="0" borderId="7" applyAlignment="1" pivotButton="0" quotePrefix="0" xfId="49">
      <alignment horizontal="right" vertical="center"/>
    </xf>
    <xf numFmtId="1" fontId="7" fillId="0" borderId="12" applyAlignment="1" pivotButton="0" quotePrefix="0" xfId="49">
      <alignment horizontal="right" vertical="center"/>
    </xf>
    <xf numFmtId="0" fontId="7" fillId="5" borderId="13" applyAlignment="1" pivotButton="0" quotePrefix="0" xfId="49">
      <alignment horizontal="left" vertical="center"/>
    </xf>
    <xf numFmtId="1" fontId="11" fillId="5" borderId="19" applyAlignment="1" pivotButton="0" quotePrefix="0" xfId="0">
      <alignment vertical="center"/>
    </xf>
    <xf numFmtId="1" fontId="1" fillId="5" borderId="19" applyAlignment="1" pivotButton="0" quotePrefix="0" xfId="0">
      <alignment vertical="center"/>
    </xf>
    <xf numFmtId="1" fontId="1" fillId="5" borderId="20" applyAlignment="1" pivotButton="0" quotePrefix="0" xfId="0">
      <alignment vertical="center"/>
    </xf>
    <xf numFmtId="0" fontId="10" fillId="0" borderId="27" applyAlignment="1" pivotButton="0" quotePrefix="0" xfId="49">
      <alignment horizontal="left" vertical="center"/>
    </xf>
    <xf numFmtId="0" fontId="7" fillId="0" borderId="28" applyAlignment="1" pivotButton="0" quotePrefix="0" xfId="49">
      <alignment horizontal="center" vertical="center"/>
    </xf>
    <xf numFmtId="1" fontId="11" fillId="0" borderId="28" applyAlignment="1" pivotButton="0" quotePrefix="0" xfId="0">
      <alignment vertical="center"/>
    </xf>
    <xf numFmtId="1" fontId="1" fillId="0" borderId="28" applyAlignment="1" pivotButton="0" quotePrefix="0" xfId="0">
      <alignment vertical="center"/>
    </xf>
    <xf numFmtId="1" fontId="1" fillId="0" borderId="29" applyAlignment="1" pivotButton="0" quotePrefix="0" xfId="0">
      <alignment vertical="center"/>
    </xf>
    <xf numFmtId="0" fontId="10" fillId="5" borderId="10" applyAlignment="1" pivotButton="0" quotePrefix="0" xfId="49">
      <alignment horizontal="left" vertical="center"/>
    </xf>
    <xf numFmtId="2" fontId="2" fillId="5" borderId="7" applyAlignment="1" pivotButton="0" quotePrefix="0" xfId="49">
      <alignment horizontal="right" vertical="center"/>
    </xf>
    <xf numFmtId="2" fontId="7" fillId="5" borderId="7" applyAlignment="1" pivotButton="0" quotePrefix="0" xfId="49">
      <alignment horizontal="right" vertical="center"/>
    </xf>
    <xf numFmtId="2" fontId="7" fillId="5" borderId="12" applyAlignment="1" pivotButton="0" quotePrefix="0" xfId="49">
      <alignment horizontal="right" vertical="center"/>
    </xf>
    <xf numFmtId="0" fontId="7" fillId="0" borderId="13" applyAlignment="1" pivotButton="0" quotePrefix="0" xfId="49">
      <alignment horizontal="left" vertical="center"/>
    </xf>
    <xf numFmtId="1" fontId="1" fillId="0" borderId="19" applyAlignment="1" pivotButton="0" quotePrefix="0" xfId="0">
      <alignment vertical="center"/>
    </xf>
    <xf numFmtId="1" fontId="1" fillId="0" borderId="20" applyAlignment="1" pivotButton="0" quotePrefix="0" xfId="0">
      <alignment vertical="center"/>
    </xf>
    <xf numFmtId="0" fontId="10" fillId="5" borderId="15" applyAlignment="1" pivotButton="0" quotePrefix="0" xfId="49">
      <alignment horizontal="left" vertical="center"/>
    </xf>
    <xf numFmtId="0" fontId="7" fillId="5" borderId="16" applyAlignment="1" pivotButton="0" quotePrefix="0" xfId="49">
      <alignment horizontal="center" vertical="center"/>
    </xf>
    <xf numFmtId="2" fontId="2" fillId="5" borderId="16" applyAlignment="1" pivotButton="0" quotePrefix="0" xfId="49">
      <alignment horizontal="right" vertical="center"/>
    </xf>
    <xf numFmtId="2" fontId="7" fillId="5" borderId="16" applyAlignment="1" pivotButton="0" quotePrefix="0" xfId="49">
      <alignment horizontal="right" vertical="center"/>
    </xf>
    <xf numFmtId="2" fontId="7" fillId="5" borderId="17" applyAlignment="1" pivotButton="0" quotePrefix="0" xfId="49">
      <alignment horizontal="right" vertical="center"/>
    </xf>
    <xf numFmtId="0" fontId="10" fillId="0" borderId="30" applyAlignment="1" pivotButton="0" quotePrefix="0" xfId="49">
      <alignment horizontal="left" vertical="center"/>
    </xf>
    <xf numFmtId="0" fontId="7" fillId="0" borderId="25" applyAlignment="1" pivotButton="0" quotePrefix="0" xfId="49">
      <alignment horizontal="center" vertical="center"/>
    </xf>
    <xf numFmtId="1" fontId="2" fillId="0" borderId="25" applyAlignment="1" pivotButton="0" quotePrefix="0" xfId="49">
      <alignment horizontal="right" vertical="center"/>
    </xf>
    <xf numFmtId="1" fontId="7" fillId="0" borderId="25" applyAlignment="1" pivotButton="0" quotePrefix="0" xfId="49">
      <alignment horizontal="right" vertical="center"/>
    </xf>
    <xf numFmtId="1" fontId="7" fillId="0" borderId="26" applyAlignment="1" pivotButton="0" quotePrefix="0" xfId="49">
      <alignment horizontal="right" vertical="center"/>
    </xf>
    <xf numFmtId="0" fontId="7" fillId="5" borderId="15" applyAlignment="1" pivotButton="0" quotePrefix="0" xfId="49">
      <alignment horizontal="left" vertical="center"/>
    </xf>
    <xf numFmtId="1" fontId="11" fillId="5" borderId="16" applyAlignment="1" pivotButton="0" quotePrefix="0" xfId="0">
      <alignment vertical="center"/>
    </xf>
    <xf numFmtId="1" fontId="1" fillId="5" borderId="16" applyAlignment="1" pivotButton="0" quotePrefix="0" xfId="0">
      <alignment vertical="center"/>
    </xf>
    <xf numFmtId="1" fontId="1" fillId="5" borderId="17" applyAlignment="1" pivotButton="0" quotePrefix="0" xfId="0">
      <alignment vertical="center"/>
    </xf>
    <xf numFmtId="0" fontId="7" fillId="0" borderId="5" applyAlignment="1" pivotButton="0" quotePrefix="0" xfId="49">
      <alignment horizontal="left" vertical="center"/>
    </xf>
    <xf numFmtId="2" fontId="11" fillId="0" borderId="6" applyAlignment="1" pivotButton="0" quotePrefix="0" xfId="50">
      <alignment vertical="center"/>
    </xf>
    <xf numFmtId="2" fontId="1" fillId="0" borderId="6" applyAlignment="1" pivotButton="0" quotePrefix="0" xfId="50">
      <alignment vertical="center"/>
    </xf>
    <xf numFmtId="2" fontId="1" fillId="0" borderId="9" applyAlignment="1" pivotButton="0" quotePrefix="0" xfId="50">
      <alignment vertical="center"/>
    </xf>
    <xf numFmtId="0" fontId="7" fillId="5" borderId="10" applyAlignment="1" pivotButton="0" quotePrefix="0" xfId="49">
      <alignment horizontal="left" vertical="center"/>
    </xf>
    <xf numFmtId="2" fontId="11" fillId="5" borderId="7" applyAlignment="1" pivotButton="0" quotePrefix="0" xfId="50">
      <alignment vertical="center"/>
    </xf>
    <xf numFmtId="2" fontId="1" fillId="5" borderId="7" applyAlignment="1" pivotButton="0" quotePrefix="0" xfId="50">
      <alignment vertical="center"/>
    </xf>
    <xf numFmtId="2" fontId="1" fillId="5" borderId="12" applyAlignment="1" pivotButton="0" quotePrefix="0" xfId="50">
      <alignment vertical="center"/>
    </xf>
    <xf numFmtId="0" fontId="7" fillId="0" borderId="10" applyAlignment="1" pivotButton="0" quotePrefix="0" xfId="49">
      <alignment horizontal="left" vertical="center"/>
    </xf>
    <xf numFmtId="2" fontId="11" fillId="0" borderId="7" applyAlignment="1" pivotButton="0" quotePrefix="0" xfId="50">
      <alignment vertical="center"/>
    </xf>
    <xf numFmtId="2" fontId="1" fillId="0" borderId="7" applyAlignment="1" pivotButton="0" quotePrefix="0" xfId="50">
      <alignment vertical="center"/>
    </xf>
    <xf numFmtId="2" fontId="1" fillId="0" borderId="12" applyAlignment="1" pivotButton="0" quotePrefix="0" xfId="50">
      <alignment vertical="center"/>
    </xf>
    <xf numFmtId="0" fontId="7" fillId="5" borderId="31" applyAlignment="1" pivotButton="0" quotePrefix="0" xfId="49">
      <alignment horizontal="left" vertical="center"/>
    </xf>
    <xf numFmtId="0" fontId="7" fillId="5" borderId="32" applyAlignment="1" pivotButton="0" quotePrefix="0" xfId="49">
      <alignment horizontal="center" vertical="center"/>
    </xf>
    <xf numFmtId="2" fontId="11" fillId="5" borderId="32" applyAlignment="1" pivotButton="0" quotePrefix="0" xfId="50">
      <alignment vertical="center"/>
    </xf>
    <xf numFmtId="2" fontId="1" fillId="5" borderId="32" applyAlignment="1" pivotButton="0" quotePrefix="0" xfId="50">
      <alignment vertical="center"/>
    </xf>
    <xf numFmtId="2" fontId="1" fillId="5" borderId="33" applyAlignment="1" pivotButton="0" quotePrefix="0" xfId="50">
      <alignment vertical="center"/>
    </xf>
    <xf numFmtId="1" fontId="11" fillId="5" borderId="7" applyAlignment="1" pivotButton="0" quotePrefix="0" xfId="0">
      <alignment vertical="center"/>
    </xf>
    <xf numFmtId="1" fontId="1" fillId="5" borderId="7" applyAlignment="1" pivotButton="0" quotePrefix="0" xfId="0">
      <alignment vertical="center"/>
    </xf>
    <xf numFmtId="1" fontId="1" fillId="5" borderId="12" applyAlignment="1" pivotButton="0" quotePrefix="0" xfId="0">
      <alignment vertical="center"/>
    </xf>
    <xf numFmtId="0" fontId="10" fillId="0" borderId="5" applyAlignment="1" pivotButton="0" quotePrefix="0" xfId="49">
      <alignment horizontal="left" vertical="center"/>
    </xf>
    <xf numFmtId="1" fontId="2" fillId="0" borderId="6" applyAlignment="1" pivotButton="0" quotePrefix="0" xfId="49">
      <alignment horizontal="right" vertical="center"/>
    </xf>
    <xf numFmtId="1" fontId="7" fillId="0" borderId="6" applyAlignment="1" pivotButton="0" quotePrefix="0" xfId="49">
      <alignment horizontal="right" vertical="center"/>
    </xf>
    <xf numFmtId="1" fontId="7" fillId="0" borderId="9" applyAlignment="1" pivotButton="0" quotePrefix="0" xfId="49">
      <alignment horizontal="right" vertical="center"/>
    </xf>
    <xf numFmtId="0" fontId="10" fillId="0" borderId="15" applyAlignment="1" pivotButton="0" quotePrefix="0" xfId="49">
      <alignment horizontal="left" vertical="center"/>
    </xf>
    <xf numFmtId="0" fontId="7" fillId="0" borderId="16" applyAlignment="1" pivotButton="0" quotePrefix="0" xfId="49">
      <alignment horizontal="center" vertical="center"/>
    </xf>
    <xf numFmtId="1" fontId="2" fillId="0" borderId="16" applyAlignment="1" pivotButton="0" quotePrefix="0" xfId="49">
      <alignment horizontal="right" vertical="center"/>
    </xf>
    <xf numFmtId="1" fontId="7" fillId="0" borderId="16" applyAlignment="1" pivotButton="0" quotePrefix="0" xfId="49">
      <alignment horizontal="right" vertical="center"/>
    </xf>
    <xf numFmtId="1" fontId="7" fillId="0" borderId="17" applyAlignment="1" pivotButton="0" quotePrefix="0" xfId="49">
      <alignment horizontal="right" vertical="center"/>
    </xf>
    <xf numFmtId="0" fontId="2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" fontId="11" fillId="5" borderId="28" applyAlignment="1" pivotButton="0" quotePrefix="0" xfId="0">
      <alignment vertical="center"/>
    </xf>
    <xf numFmtId="1" fontId="1" fillId="5" borderId="28" applyAlignment="1" pivotButton="0" quotePrefix="0" xfId="0">
      <alignment vertical="center"/>
    </xf>
    <xf numFmtId="1" fontId="1" fillId="5" borderId="29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" fontId="2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/>
    </xf>
    <xf numFmtId="0" fontId="7" fillId="9" borderId="7" applyAlignment="1" pivotButton="0" quotePrefix="0" xfId="0">
      <alignment vertical="center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1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2" fillId="9" borderId="19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 wrapText="1"/>
    </xf>
    <xf numFmtId="1" fontId="11" fillId="9" borderId="25" applyAlignment="1" pivotButton="0" quotePrefix="0" xfId="0">
      <alignment vertical="center"/>
    </xf>
    <xf numFmtId="1" fontId="11" fillId="9" borderId="19" applyAlignment="1" pivotButton="0" quotePrefix="0" xfId="0">
      <alignment vertical="center"/>
    </xf>
    <xf numFmtId="1" fontId="1" fillId="9" borderId="28" applyAlignment="1" pivotButton="0" quotePrefix="0" xfId="0">
      <alignment vertical="center"/>
    </xf>
    <xf numFmtId="1" fontId="7" fillId="9" borderId="7" applyAlignment="1" pivotButton="0" quotePrefix="0" xfId="49">
      <alignment horizontal="right" vertical="center"/>
    </xf>
    <xf numFmtId="1" fontId="1" fillId="9" borderId="19" applyAlignment="1" pivotButton="0" quotePrefix="0" xfId="0">
      <alignment vertical="center"/>
    </xf>
    <xf numFmtId="2" fontId="7" fillId="9" borderId="7" applyAlignment="1" pivotButton="0" quotePrefix="0" xfId="49">
      <alignment horizontal="right" vertical="center"/>
    </xf>
    <xf numFmtId="2" fontId="7" fillId="9" borderId="16" applyAlignment="1" pivotButton="0" quotePrefix="0" xfId="49">
      <alignment horizontal="right" vertical="center"/>
    </xf>
    <xf numFmtId="1" fontId="7" fillId="9" borderId="25" applyAlignment="1" pivotButton="0" quotePrefix="0" xfId="49">
      <alignment horizontal="right" vertical="center"/>
    </xf>
    <xf numFmtId="1" fontId="1" fillId="9" borderId="16" applyAlignment="1" pivotButton="0" quotePrefix="0" xfId="0">
      <alignment vertical="center"/>
    </xf>
    <xf numFmtId="2" fontId="1" fillId="9" borderId="6" applyAlignment="1" pivotButton="0" quotePrefix="0" xfId="50">
      <alignment vertical="center"/>
    </xf>
    <xf numFmtId="2" fontId="1" fillId="9" borderId="7" applyAlignment="1" pivotButton="0" quotePrefix="0" xfId="50">
      <alignment vertical="center"/>
    </xf>
    <xf numFmtId="2" fontId="1" fillId="9" borderId="32" applyAlignment="1" pivotButton="0" quotePrefix="0" xfId="50">
      <alignment vertical="center"/>
    </xf>
    <xf numFmtId="1" fontId="1" fillId="9" borderId="7" applyAlignment="1" pivotButton="0" quotePrefix="0" xfId="0">
      <alignment vertical="center"/>
    </xf>
    <xf numFmtId="1" fontId="7" fillId="9" borderId="6" applyAlignment="1" pivotButton="0" quotePrefix="0" xfId="49">
      <alignment horizontal="right" vertical="center"/>
    </xf>
    <xf numFmtId="1" fontId="7" fillId="9" borderId="16" applyAlignment="1" pivotButton="0" quotePrefix="0" xfId="49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7" applyAlignment="1" pivotButton="0" quotePrefix="0" xfId="49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right" vertical="center"/>
    </xf>
    <xf numFmtId="0" fontId="7" fillId="10" borderId="7" applyAlignment="1" pivotButton="0" quotePrefix="0" xfId="0">
      <alignment horizontal="right" vertical="center"/>
    </xf>
    <xf numFmtId="0" fontId="7" fillId="2" borderId="7" applyAlignment="1" pivotButton="0" quotePrefix="0" xfId="0">
      <alignment horizontal="right" vertical="center"/>
    </xf>
    <xf numFmtId="0" fontId="7" fillId="11" borderId="7" applyAlignment="1" pivotButton="0" quotePrefix="0" xfId="0">
      <alignment horizontal="right" vertical="center"/>
    </xf>
    <xf numFmtId="0" fontId="10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center" vertical="center"/>
    </xf>
    <xf numFmtId="0" fontId="1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5" pivotButton="0" quotePrefix="0" xfId="0"/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164" fontId="2" fillId="3" borderId="16" applyAlignment="1" pivotButton="0" quotePrefix="0" xfId="3">
      <alignment horizontal="center" vertical="center"/>
    </xf>
    <xf numFmtId="164" fontId="2" fillId="3" borderId="19" applyAlignment="1" pivotButton="0" quotePrefix="0" xfId="3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  <cellStyle name="常规 6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tabSelected="1" workbookViewId="0">
      <pane xSplit="3" ySplit="1" topLeftCell="D123" activePane="bottomRight" state="frozen"/>
      <selection activeCell="A1" sqref="A1"/>
      <selection pane="topRight" activeCell="A1" sqref="A1"/>
      <selection pane="bottomLeft" activeCell="A1" sqref="A1"/>
      <selection pane="bottomRight" activeCell="O1" sqref="O$1:O$1048576"/>
    </sheetView>
  </sheetViews>
  <sheetFormatPr baseColWidth="8" defaultColWidth="9" defaultRowHeight="15"/>
  <cols>
    <col width="13.875" customWidth="1" style="1" min="1" max="1"/>
    <col width="8.33333333333333" customWidth="1" style="1" min="2" max="2"/>
    <col width="29.1083333333333" customWidth="1" style="1" min="3" max="3"/>
    <col width="2.89166666666667" customWidth="1" style="1" min="4" max="4"/>
    <col hidden="1" width="7" customWidth="1" style="1" min="5" max="5"/>
    <col width="9.125" customWidth="1" style="1" min="6" max="6"/>
    <col width="8.125" customWidth="1" style="1" min="7" max="7"/>
    <col width="5.875" customWidth="1" style="220" min="8" max="8"/>
    <col width="5.5" customWidth="1" style="220" min="9" max="9"/>
    <col width="13.25" customWidth="1" style="220" min="10" max="10"/>
    <col width="7.10833333333333" customWidth="1" style="220" min="11" max="11"/>
    <col width="3.66666666666667" customWidth="1" style="220" min="12" max="12"/>
    <col width="3.66666666666667" customWidth="1" style="220" min="13" max="14"/>
    <col width="9.875" customWidth="1" style="1" min="15" max="15"/>
    <col width="10.875" customWidth="1" style="1" min="16" max="16"/>
    <col width="7" customWidth="1" style="1" min="17" max="17"/>
    <col width="8.25" customWidth="1" style="1" min="18" max="18"/>
    <col width="7" customWidth="1" style="1" min="19" max="19"/>
    <col width="8.891666666666669" customWidth="1" style="1" min="20" max="226"/>
    <col width="8.891666666666669" customWidth="1" style="233" min="227" max="227"/>
  </cols>
  <sheetData>
    <row r="1" ht="28" customFormat="1" customHeight="1" s="1">
      <c r="A1" s="221" t="inlineStr">
        <is>
          <t>代码</t>
        </is>
      </c>
      <c r="B1" s="221" t="inlineStr">
        <is>
          <t>批发价</t>
        </is>
      </c>
      <c r="C1" s="221" t="inlineStr">
        <is>
          <t>卷烟名称</t>
        </is>
      </c>
      <c r="D1" s="221" t="inlineStr">
        <is>
          <t>类</t>
        </is>
      </c>
      <c r="E1" s="222" t="inlineStr">
        <is>
          <t>合计</t>
        </is>
      </c>
      <c r="F1" s="223" t="inlineStr">
        <is>
          <t>需求</t>
        </is>
      </c>
      <c r="G1" s="223" t="inlineStr">
        <is>
          <t>可用
货源</t>
        </is>
      </c>
      <c r="H1" s="224" t="inlineStr">
        <is>
          <t>属</t>
        </is>
      </c>
      <c r="I1" s="223" t="inlineStr">
        <is>
          <t>C类</t>
        </is>
      </c>
      <c r="J1" s="223" t="inlineStr">
        <is>
          <t>品牌</t>
        </is>
      </c>
      <c r="K1" s="222" t="inlineStr">
        <is>
          <t>条支比</t>
        </is>
      </c>
      <c r="L1" s="223" t="inlineStr">
        <is>
          <t>C</t>
        </is>
      </c>
      <c r="M1" s="225" t="inlineStr">
        <is>
          <t>按需</t>
        </is>
      </c>
      <c r="N1" s="225" t="inlineStr">
        <is>
          <t>按价</t>
        </is>
      </c>
      <c r="O1" s="223" t="inlineStr">
        <is>
          <t>第一轮</t>
        </is>
      </c>
      <c r="P1" s="223" t="inlineStr">
        <is>
          <t>第二轮</t>
        </is>
      </c>
      <c r="Q1" s="223" t="inlineStr">
        <is>
          <t>第三轮</t>
        </is>
      </c>
      <c r="R1" s="223" t="inlineStr">
        <is>
          <t>第四轮</t>
        </is>
      </c>
      <c r="S1" s="223" t="inlineStr">
        <is>
          <t>第五轮</t>
        </is>
      </c>
    </row>
    <row r="2" ht="14" customFormat="1" customHeight="1" s="1">
      <c r="A2" s="231" t="inlineStr">
        <is>
          <t>SKU-C78CA26A</t>
        </is>
      </c>
      <c r="B2" s="231" t="n">
        <v>100</v>
      </c>
      <c r="C2" s="19" t="inlineStr">
        <is>
          <t>Product-0CBDA773</t>
        </is>
      </c>
      <c r="D2" s="231" t="n">
        <v>3</v>
      </c>
      <c r="E2" s="51" t="n">
        <v>1079.784</v>
      </c>
      <c r="F2" s="184" t="n">
        <v>333.1</v>
      </c>
      <c r="G2" s="184" t="n">
        <v>137.228</v>
      </c>
      <c r="H2" s="27" t="inlineStr"/>
      <c r="I2" s="27" t="inlineStr"/>
      <c r="J2" s="27" t="inlineStr">
        <is>
          <t>Brand-Anonymized</t>
        </is>
      </c>
      <c r="K2" s="27" t="n">
        <v>200</v>
      </c>
      <c r="L2" s="27" t="n"/>
      <c r="M2" s="27" t="n"/>
      <c r="N2" s="27" t="n"/>
      <c r="O2" s="226" t="n">
        <v>0</v>
      </c>
      <c r="P2" s="226" t="n">
        <v>85</v>
      </c>
      <c r="Q2" s="226" t="n">
        <v>85</v>
      </c>
      <c r="R2" s="226" t="n">
        <v>85</v>
      </c>
      <c r="S2" s="226" t="n">
        <v>78.09999999999999</v>
      </c>
    </row>
    <row r="3" ht="14" customFormat="1" customHeight="1" s="1">
      <c r="A3" s="231" t="inlineStr">
        <is>
          <t>SKU-FEFFF06B</t>
        </is>
      </c>
      <c r="B3" s="231" t="n">
        <v>100</v>
      </c>
      <c r="C3" s="19" t="inlineStr">
        <is>
          <t>Product-2824E2BD</t>
        </is>
      </c>
      <c r="D3" s="231" t="n">
        <v>2</v>
      </c>
      <c r="E3" s="51" t="n">
        <v>15.59</v>
      </c>
      <c r="F3" s="184" t="n">
        <v>28.1</v>
      </c>
      <c r="G3" s="184" t="n">
        <v>1.14</v>
      </c>
      <c r="H3" s="27" t="inlineStr">
        <is>
          <t>T</t>
        </is>
      </c>
      <c r="I3" s="27" t="inlineStr"/>
      <c r="J3" s="27" t="inlineStr">
        <is>
          <t>Brand-Anonymized</t>
        </is>
      </c>
      <c r="K3" s="27" t="n">
        <v>200</v>
      </c>
      <c r="L3" s="27" t="n"/>
      <c r="M3" s="27" t="n"/>
      <c r="N3" s="27" t="n"/>
      <c r="O3" s="226" t="n">
        <v>0</v>
      </c>
      <c r="P3" s="226" t="n">
        <v>28.1</v>
      </c>
      <c r="Q3" s="226" t="inlineStr">
        <is>
          <t>0</t>
        </is>
      </c>
      <c r="R3" s="226" t="inlineStr">
        <is>
          <t>0</t>
        </is>
      </c>
      <c r="S3" s="226" t="inlineStr">
        <is>
          <t>0</t>
        </is>
      </c>
    </row>
    <row r="4" ht="14" customFormat="1" customHeight="1" s="1">
      <c r="A4" s="231" t="inlineStr">
        <is>
          <t>SKU-2866FD1A</t>
        </is>
      </c>
      <c r="B4" s="231" t="n">
        <v>100</v>
      </c>
      <c r="C4" s="19" t="inlineStr">
        <is>
          <t>Product-B05D24B5</t>
        </is>
      </c>
      <c r="D4" s="231" t="n">
        <v>3</v>
      </c>
      <c r="E4" s="51" t="n">
        <v>138.016</v>
      </c>
      <c r="F4" s="184" t="n">
        <v>39.8</v>
      </c>
      <c r="G4" s="184" t="n">
        <v>16.272</v>
      </c>
      <c r="H4" s="27" t="inlineStr"/>
      <c r="I4" s="27" t="inlineStr"/>
      <c r="J4" s="27" t="inlineStr">
        <is>
          <t>Brand-Anonymized</t>
        </is>
      </c>
      <c r="K4" s="27" t="n">
        <v>200</v>
      </c>
      <c r="L4" s="27" t="n"/>
      <c r="M4" s="27" t="n"/>
      <c r="N4" s="27" t="n"/>
      <c r="O4" s="226" t="inlineStr">
        <is>
          <t>0</t>
        </is>
      </c>
      <c r="P4" s="226" t="inlineStr">
        <is>
          <t>0</t>
        </is>
      </c>
      <c r="Q4" s="226" t="n">
        <v>39.8</v>
      </c>
      <c r="R4" s="226" t="n">
        <v>0</v>
      </c>
      <c r="S4" s="226" t="inlineStr">
        <is>
          <t>0</t>
        </is>
      </c>
    </row>
    <row r="5" ht="14" customFormat="1" customHeight="1" s="1">
      <c r="A5" s="231" t="inlineStr">
        <is>
          <t>SKU-0260B714</t>
        </is>
      </c>
      <c r="B5" s="231" t="n">
        <v>100</v>
      </c>
      <c r="C5" s="33" t="inlineStr">
        <is>
          <t>Product-9FA41960</t>
        </is>
      </c>
      <c r="D5" s="231" t="n">
        <v>2</v>
      </c>
      <c r="E5" s="51" t="n">
        <v>0</v>
      </c>
      <c r="F5" s="184" t="n">
        <v>0</v>
      </c>
      <c r="G5" s="184" t="n">
        <v>0</v>
      </c>
      <c r="H5" s="27" t="inlineStr"/>
      <c r="I5" s="27" t="inlineStr"/>
      <c r="J5" s="27" t="inlineStr">
        <is>
          <t>Brand-Anonymized</t>
        </is>
      </c>
      <c r="K5" s="27" t="n">
        <v>200</v>
      </c>
      <c r="L5" s="27" t="n"/>
      <c r="M5" s="27" t="n"/>
      <c r="N5" s="27" t="n"/>
      <c r="O5" s="226" t="inlineStr">
        <is>
          <t>0</t>
        </is>
      </c>
      <c r="P5" s="226" t="inlineStr">
        <is>
          <t>0</t>
        </is>
      </c>
      <c r="Q5" s="226" t="inlineStr">
        <is>
          <t>0</t>
        </is>
      </c>
      <c r="R5" s="226" t="inlineStr">
        <is>
          <t>0</t>
        </is>
      </c>
      <c r="S5" s="226" t="inlineStr">
        <is>
          <t>0</t>
        </is>
      </c>
    </row>
    <row r="6" ht="14" customFormat="1" customHeight="1" s="1">
      <c r="A6" s="231" t="inlineStr">
        <is>
          <t>SKU-80DD304E</t>
        </is>
      </c>
      <c r="B6" s="231" t="n">
        <v>100</v>
      </c>
      <c r="C6" s="19" t="inlineStr">
        <is>
          <t>Product-104B7147</t>
        </is>
      </c>
      <c r="D6" s="231" t="n">
        <v>2</v>
      </c>
      <c r="E6" s="51" t="n">
        <v>26.026</v>
      </c>
      <c r="F6" s="184" t="n">
        <v>10</v>
      </c>
      <c r="G6" s="184" t="n">
        <v>10.372</v>
      </c>
      <c r="H6" s="27" t="inlineStr">
        <is>
          <t>C</t>
        </is>
      </c>
      <c r="I6" s="27" t="inlineStr">
        <is>
          <t>标</t>
        </is>
      </c>
      <c r="J6" s="27" t="inlineStr">
        <is>
          <t>Brand-Anonymized</t>
        </is>
      </c>
      <c r="K6" s="27" t="n">
        <v>200</v>
      </c>
      <c r="L6" s="27" t="inlineStr">
        <is>
          <t>C</t>
        </is>
      </c>
      <c r="M6" s="27" t="n"/>
      <c r="N6" s="27" t="n"/>
      <c r="O6" s="226" t="n">
        <v>10</v>
      </c>
      <c r="P6" s="226" t="n">
        <v>0</v>
      </c>
      <c r="Q6" s="226" t="n">
        <v>0</v>
      </c>
      <c r="R6" s="226" t="n">
        <v>0</v>
      </c>
      <c r="S6" s="226" t="n">
        <v>0</v>
      </c>
    </row>
    <row r="7" ht="14" customFormat="1" customHeight="1" s="1">
      <c r="A7" s="231" t="inlineStr">
        <is>
          <t>SKU-1DE29866</t>
        </is>
      </c>
      <c r="B7" s="231" t="n">
        <v>100</v>
      </c>
      <c r="C7" s="19" t="inlineStr">
        <is>
          <t>Product-F23B59C1</t>
        </is>
      </c>
      <c r="D7" s="231" t="n">
        <v>1</v>
      </c>
      <c r="E7" s="51" t="n">
        <v>153.11</v>
      </c>
      <c r="F7" s="184" t="n">
        <v>70</v>
      </c>
      <c r="G7" s="184" t="n">
        <v>4.9</v>
      </c>
      <c r="H7" s="27" t="inlineStr">
        <is>
          <t>X</t>
        </is>
      </c>
      <c r="I7" s="27" t="inlineStr">
        <is>
          <t>标</t>
        </is>
      </c>
      <c r="J7" s="27" t="inlineStr">
        <is>
          <t>Brand-Anonymized</t>
        </is>
      </c>
      <c r="K7" s="27" t="n">
        <v>200</v>
      </c>
      <c r="L7" s="27" t="inlineStr">
        <is>
          <t>C</t>
        </is>
      </c>
      <c r="M7" s="27" t="n"/>
      <c r="N7" s="27" t="n"/>
      <c r="O7" s="226" t="n">
        <v>0</v>
      </c>
      <c r="P7" s="226" t="n">
        <v>35</v>
      </c>
      <c r="Q7" s="226" t="n">
        <v>0</v>
      </c>
      <c r="R7" s="226" t="n">
        <v>35</v>
      </c>
      <c r="S7" s="226" t="n">
        <v>0</v>
      </c>
    </row>
    <row r="8" ht="14" customFormat="1" customHeight="1" s="1">
      <c r="A8" s="231" t="inlineStr">
        <is>
          <t>SKU-99A87208</t>
        </is>
      </c>
      <c r="B8" s="231" t="n">
        <v>100</v>
      </c>
      <c r="C8" s="45" t="inlineStr">
        <is>
          <t>Product-658841C6</t>
        </is>
      </c>
      <c r="D8" s="231" t="n">
        <v>1</v>
      </c>
      <c r="E8" s="51" t="n"/>
      <c r="F8" s="184" t="n">
        <v>15</v>
      </c>
      <c r="G8" s="184" t="n">
        <v>5</v>
      </c>
      <c r="H8" s="27" t="inlineStr">
        <is>
          <t>X</t>
        </is>
      </c>
      <c r="I8" s="27" t="inlineStr">
        <is>
          <t>细</t>
        </is>
      </c>
      <c r="J8" s="27" t="inlineStr">
        <is>
          <t>Brand-Anonymized</t>
        </is>
      </c>
      <c r="K8" s="27" t="n">
        <v>200</v>
      </c>
      <c r="L8" s="27" t="inlineStr">
        <is>
          <t>C</t>
        </is>
      </c>
      <c r="M8" s="27" t="n"/>
      <c r="N8" s="27" t="n"/>
      <c r="O8" s="226" t="n">
        <v>0</v>
      </c>
      <c r="P8" s="226" t="n">
        <v>7.5</v>
      </c>
      <c r="Q8" s="226" t="n">
        <v>0</v>
      </c>
      <c r="R8" s="226" t="n">
        <v>7.5</v>
      </c>
      <c r="S8" s="226" t="n">
        <v>0</v>
      </c>
    </row>
    <row r="9" ht="14" customFormat="1" customHeight="1" s="1">
      <c r="A9" s="231" t="inlineStr">
        <is>
          <t>SKU-D208A1F4</t>
        </is>
      </c>
      <c r="B9" s="231" t="n">
        <v>100</v>
      </c>
      <c r="C9" s="19" t="inlineStr">
        <is>
          <t>Product-DE70A72E</t>
        </is>
      </c>
      <c r="D9" s="231" t="n">
        <v>3</v>
      </c>
      <c r="E9" s="51" t="n">
        <v>2475.25</v>
      </c>
      <c r="F9" s="184" t="n">
        <v>1035.3</v>
      </c>
      <c r="G9" s="184" t="n">
        <v>243.76</v>
      </c>
      <c r="H9" s="42" t="inlineStr">
        <is>
          <t>T</t>
        </is>
      </c>
      <c r="I9" s="27" t="inlineStr"/>
      <c r="J9" s="27" t="inlineStr">
        <is>
          <t>Brand-Anonymized</t>
        </is>
      </c>
      <c r="K9" s="27" t="n">
        <v>200</v>
      </c>
      <c r="L9" s="27" t="n"/>
      <c r="M9" s="27" t="n"/>
      <c r="N9" s="27" t="n"/>
      <c r="O9" s="226" t="n">
        <v>200</v>
      </c>
      <c r="P9" s="226" t="n">
        <v>222</v>
      </c>
      <c r="Q9" s="226" t="n">
        <v>223</v>
      </c>
      <c r="R9" s="226" t="n">
        <v>235</v>
      </c>
      <c r="S9" s="226" t="n">
        <v>155.3</v>
      </c>
    </row>
    <row r="10" ht="14" customFormat="1" customHeight="1" s="1">
      <c r="A10" s="231" t="inlineStr">
        <is>
          <t>SKU-07FCDFBC</t>
        </is>
      </c>
      <c r="B10" s="231" t="n">
        <v>100</v>
      </c>
      <c r="C10" s="43" t="inlineStr">
        <is>
          <t>Product-7A1FEE2B</t>
        </is>
      </c>
      <c r="D10" s="231" t="n">
        <v>1</v>
      </c>
      <c r="E10" s="51" t="n">
        <v>0</v>
      </c>
      <c r="F10" s="184" t="n">
        <v>0</v>
      </c>
      <c r="G10" s="184" t="n">
        <v>0</v>
      </c>
      <c r="H10" s="27" t="inlineStr"/>
      <c r="I10" s="27" t="inlineStr">
        <is>
          <t>标</t>
        </is>
      </c>
      <c r="J10" s="27" t="inlineStr">
        <is>
          <t>Brand-Anonymized</t>
        </is>
      </c>
      <c r="K10" s="27" t="n">
        <v>200</v>
      </c>
      <c r="L10" s="27" t="inlineStr">
        <is>
          <t>C</t>
        </is>
      </c>
      <c r="M10" s="27" t="n"/>
      <c r="N10" s="27" t="n"/>
      <c r="O10" s="226" t="inlineStr">
        <is>
          <t>0</t>
        </is>
      </c>
      <c r="P10" s="226" t="inlineStr">
        <is>
          <t>0</t>
        </is>
      </c>
      <c r="Q10" s="226" t="inlineStr">
        <is>
          <t>0</t>
        </is>
      </c>
      <c r="R10" s="226" t="inlineStr">
        <is>
          <t>0</t>
        </is>
      </c>
      <c r="S10" s="226" t="inlineStr">
        <is>
          <t>0</t>
        </is>
      </c>
    </row>
    <row r="11" ht="14" customFormat="1" customHeight="1" s="1">
      <c r="A11" s="231" t="inlineStr">
        <is>
          <t>SKU-F24DC4CC</t>
        </is>
      </c>
      <c r="B11" s="231" t="n">
        <v>100</v>
      </c>
      <c r="C11" s="43" t="inlineStr">
        <is>
          <t>Product-3F617BC6</t>
        </is>
      </c>
      <c r="D11" s="231" t="n">
        <v>1</v>
      </c>
      <c r="E11" s="51" t="n">
        <v>-43.42</v>
      </c>
      <c r="F11" s="184" t="n">
        <v>0</v>
      </c>
      <c r="G11" s="184" t="n">
        <v>0</v>
      </c>
      <c r="H11" s="27" t="inlineStr"/>
      <c r="I11" s="27" t="inlineStr">
        <is>
          <t>方</t>
        </is>
      </c>
      <c r="J11" s="27" t="inlineStr">
        <is>
          <t>Brand-Anonymized</t>
        </is>
      </c>
      <c r="K11" s="27" t="n">
        <v>200</v>
      </c>
      <c r="L11" s="27" t="inlineStr">
        <is>
          <t>C</t>
        </is>
      </c>
      <c r="M11" s="27" t="n"/>
      <c r="N11" s="27" t="n"/>
      <c r="O11" s="226" t="inlineStr">
        <is>
          <t>0</t>
        </is>
      </c>
      <c r="P11" s="226" t="n">
        <v>0</v>
      </c>
      <c r="Q11" s="226" t="inlineStr">
        <is>
          <t>0</t>
        </is>
      </c>
      <c r="R11" s="226" t="inlineStr">
        <is>
          <t>0</t>
        </is>
      </c>
      <c r="S11" s="226" t="inlineStr">
        <is>
          <t>0</t>
        </is>
      </c>
    </row>
    <row r="12" ht="14" customFormat="1" customHeight="1" s="1">
      <c r="A12" s="231" t="inlineStr">
        <is>
          <t>SKU-D943D84F</t>
        </is>
      </c>
      <c r="B12" s="231" t="n">
        <v>100</v>
      </c>
      <c r="C12" s="44" t="inlineStr">
        <is>
          <t>Product-9C089579</t>
        </is>
      </c>
      <c r="D12" s="231" t="n">
        <v>1</v>
      </c>
      <c r="E12" s="51" t="n">
        <v>0</v>
      </c>
      <c r="F12" s="184" t="n">
        <v>0</v>
      </c>
      <c r="G12" s="184" t="n">
        <v>0</v>
      </c>
      <c r="H12" s="27" t="inlineStr"/>
      <c r="I12" s="27" t="inlineStr"/>
      <c r="J12" s="27" t="inlineStr">
        <is>
          <t>Brand-Anonymized</t>
        </is>
      </c>
      <c r="K12" s="27" t="n">
        <v>200</v>
      </c>
      <c r="L12" s="27" t="n"/>
      <c r="M12" s="27" t="n"/>
      <c r="N12" s="27" t="n"/>
      <c r="O12" s="226" t="inlineStr">
        <is>
          <t>0</t>
        </is>
      </c>
      <c r="P12" s="226" t="inlineStr">
        <is>
          <t>0</t>
        </is>
      </c>
      <c r="Q12" s="226" t="inlineStr">
        <is>
          <t>0</t>
        </is>
      </c>
      <c r="R12" s="226" t="inlineStr">
        <is>
          <t>0</t>
        </is>
      </c>
      <c r="S12" s="226" t="inlineStr">
        <is>
          <t>0</t>
        </is>
      </c>
    </row>
    <row r="13" ht="14" customFormat="1" customHeight="1" s="1">
      <c r="A13" s="231" t="inlineStr">
        <is>
          <t>SKU-6D9E63BD</t>
        </is>
      </c>
      <c r="B13" s="231" t="n">
        <v>100</v>
      </c>
      <c r="C13" s="19" t="inlineStr">
        <is>
          <t>Product-BC499EF2</t>
        </is>
      </c>
      <c r="D13" s="231" t="n">
        <v>1</v>
      </c>
      <c r="E13" s="51" t="n">
        <v>54.688</v>
      </c>
      <c r="F13" s="184" t="n">
        <v>60</v>
      </c>
      <c r="G13" s="184" t="n">
        <v>6.296</v>
      </c>
      <c r="H13" s="27" t="inlineStr">
        <is>
          <t>C</t>
        </is>
      </c>
      <c r="I13" s="27" t="inlineStr">
        <is>
          <t>方</t>
        </is>
      </c>
      <c r="J13" s="27" t="inlineStr">
        <is>
          <t>Brand-Anonymized</t>
        </is>
      </c>
      <c r="K13" s="27" t="n">
        <v>200</v>
      </c>
      <c r="L13" s="27" t="inlineStr">
        <is>
          <t>C</t>
        </is>
      </c>
      <c r="M13" s="27" t="n"/>
      <c r="N13" s="27" t="n"/>
      <c r="O13" s="226" t="n">
        <v>0</v>
      </c>
      <c r="P13" s="226" t="n">
        <v>0</v>
      </c>
      <c r="Q13" s="226" t="n">
        <v>60</v>
      </c>
      <c r="R13" s="226" t="n">
        <v>0</v>
      </c>
      <c r="S13" s="226" t="n">
        <v>0</v>
      </c>
    </row>
    <row r="14" ht="14" customFormat="1" customHeight="1" s="1">
      <c r="A14" s="231" t="inlineStr">
        <is>
          <t>SKU-01FF2431</t>
        </is>
      </c>
      <c r="B14" s="231" t="n">
        <v>100</v>
      </c>
      <c r="C14" s="19" t="inlineStr">
        <is>
          <t>Product-C54A353F</t>
        </is>
      </c>
      <c r="D14" s="231" t="n">
        <v>1</v>
      </c>
      <c r="E14" s="51" t="n">
        <v>369.198</v>
      </c>
      <c r="F14" s="184" t="n">
        <v>140</v>
      </c>
      <c r="G14" s="184" t="n">
        <v>51.476</v>
      </c>
      <c r="H14" s="27" t="inlineStr">
        <is>
          <t>C</t>
        </is>
      </c>
      <c r="I14" s="27" t="inlineStr">
        <is>
          <t>标</t>
        </is>
      </c>
      <c r="J14" s="27" t="inlineStr">
        <is>
          <t>Brand-Anonymized</t>
        </is>
      </c>
      <c r="K14" s="27" t="n">
        <v>200</v>
      </c>
      <c r="L14" s="27" t="inlineStr">
        <is>
          <t>C</t>
        </is>
      </c>
      <c r="M14" s="27" t="n"/>
      <c r="N14" s="27" t="n"/>
      <c r="O14" s="226" t="n">
        <v>50</v>
      </c>
      <c r="P14" s="226" t="n">
        <v>0</v>
      </c>
      <c r="Q14" s="226" t="n">
        <v>50</v>
      </c>
      <c r="R14" s="226" t="n">
        <v>0</v>
      </c>
      <c r="S14" s="226" t="n">
        <v>40</v>
      </c>
    </row>
    <row r="15" ht="14" customFormat="1" customHeight="1" s="1">
      <c r="A15" s="231" t="inlineStr">
        <is>
          <t>SKU-8916FAEC</t>
        </is>
      </c>
      <c r="B15" s="231" t="n">
        <v>100</v>
      </c>
      <c r="C15" s="19" t="inlineStr">
        <is>
          <t>Product-558A622A</t>
        </is>
      </c>
      <c r="D15" s="231" t="n">
        <v>1</v>
      </c>
      <c r="E15" s="51" t="n">
        <v>688.626</v>
      </c>
      <c r="F15" s="184" t="n">
        <v>302.78</v>
      </c>
      <c r="G15" s="184" t="n">
        <v>151.132</v>
      </c>
      <c r="H15" s="27" t="inlineStr">
        <is>
          <t>C</t>
        </is>
      </c>
      <c r="I15" s="27" t="inlineStr">
        <is>
          <t>长</t>
        </is>
      </c>
      <c r="J15" s="27" t="inlineStr">
        <is>
          <t>Brand-Anonymized</t>
        </is>
      </c>
      <c r="K15" s="27" t="n">
        <v>200</v>
      </c>
      <c r="L15" s="27" t="inlineStr">
        <is>
          <t>C</t>
        </is>
      </c>
      <c r="M15" s="27" t="n"/>
      <c r="N15" s="27" t="n"/>
      <c r="O15" s="226" t="n">
        <v>150</v>
      </c>
      <c r="P15" s="226" t="n">
        <v>152.78</v>
      </c>
      <c r="Q15" s="226" t="n">
        <v>0</v>
      </c>
      <c r="R15" s="226" t="n">
        <v>0</v>
      </c>
      <c r="S15" s="226" t="n">
        <v>0</v>
      </c>
    </row>
    <row r="16" ht="14" customFormat="1" customHeight="1" s="1">
      <c r="A16" s="231" t="inlineStr">
        <is>
          <t>SKU-13F48E9F</t>
        </is>
      </c>
      <c r="B16" s="231" t="n">
        <v>100</v>
      </c>
      <c r="C16" s="19" t="inlineStr">
        <is>
          <t>Product-9B1626A5</t>
        </is>
      </c>
      <c r="D16" s="231" t="n">
        <v>1</v>
      </c>
      <c r="E16" s="51" t="n">
        <v>182.012</v>
      </c>
      <c r="F16" s="184" t="n">
        <v>80</v>
      </c>
      <c r="G16" s="184" t="n">
        <v>20.184</v>
      </c>
      <c r="H16" s="27" t="inlineStr">
        <is>
          <t>C</t>
        </is>
      </c>
      <c r="I16" s="27" t="inlineStr">
        <is>
          <t>长</t>
        </is>
      </c>
      <c r="J16" s="27" t="inlineStr">
        <is>
          <t>Brand-Anonymized</t>
        </is>
      </c>
      <c r="K16" s="27" t="n">
        <v>200</v>
      </c>
      <c r="L16" s="27" t="inlineStr">
        <is>
          <t>C</t>
        </is>
      </c>
      <c r="M16" s="27" t="n"/>
      <c r="N16" s="27" t="n"/>
      <c r="O16" s="226" t="n">
        <v>20</v>
      </c>
      <c r="P16" s="226" t="n">
        <v>20</v>
      </c>
      <c r="Q16" s="226" t="n">
        <v>20</v>
      </c>
      <c r="R16" s="226" t="n">
        <v>20</v>
      </c>
      <c r="S16" s="226" t="n">
        <v>0</v>
      </c>
    </row>
    <row r="17" ht="14" customFormat="1" customHeight="1" s="1">
      <c r="A17" s="231" t="inlineStr">
        <is>
          <t>SKU-3095C758</t>
        </is>
      </c>
      <c r="B17" s="231" t="n">
        <v>100</v>
      </c>
      <c r="C17" s="19" t="inlineStr">
        <is>
          <t>Product-280802D6</t>
        </is>
      </c>
      <c r="D17" s="231" t="n">
        <v>4</v>
      </c>
      <c r="E17" s="51" t="n">
        <v>4873.926</v>
      </c>
      <c r="F17" s="184" t="n">
        <v>1360.8</v>
      </c>
      <c r="G17" s="184" t="n">
        <v>897.592</v>
      </c>
      <c r="H17" s="42" t="inlineStr">
        <is>
          <t>T</t>
        </is>
      </c>
      <c r="I17" s="27" t="inlineStr"/>
      <c r="J17" s="27" t="inlineStr">
        <is>
          <t>Brand-Anonymized</t>
        </is>
      </c>
      <c r="K17" s="27" t="n">
        <v>200</v>
      </c>
      <c r="L17" s="27" t="n"/>
      <c r="M17" s="27" t="n"/>
      <c r="N17" s="27" t="n"/>
      <c r="O17" s="226" t="n">
        <v>300</v>
      </c>
      <c r="P17" s="226" t="n">
        <v>300</v>
      </c>
      <c r="Q17" s="226" t="n">
        <v>300</v>
      </c>
      <c r="R17" s="226" t="n">
        <v>300</v>
      </c>
      <c r="S17" s="226" t="n">
        <v>160.8</v>
      </c>
    </row>
    <row r="18" ht="14" customFormat="1" customHeight="1" s="1">
      <c r="A18" s="231" t="inlineStr">
        <is>
          <t>SKU-22512FF3</t>
        </is>
      </c>
      <c r="B18" s="231" t="n">
        <v>100</v>
      </c>
      <c r="C18" s="19" t="inlineStr">
        <is>
          <t>Product-C617F7D2</t>
        </is>
      </c>
      <c r="D18" s="231" t="n">
        <v>1</v>
      </c>
      <c r="E18" s="51" t="n">
        <v>1937.902</v>
      </c>
      <c r="F18" s="184" t="n">
        <v>700</v>
      </c>
      <c r="G18" s="184" t="n">
        <v>247.884</v>
      </c>
      <c r="H18" s="27" t="inlineStr">
        <is>
          <t>C</t>
        </is>
      </c>
      <c r="I18" s="27" t="inlineStr"/>
      <c r="J18" s="27" t="inlineStr">
        <is>
          <t>Brand-Anonymized</t>
        </is>
      </c>
      <c r="K18" s="27" t="n">
        <v>200</v>
      </c>
      <c r="L18" s="27" t="n"/>
      <c r="M18" s="27" t="n"/>
      <c r="N18" s="27" t="n"/>
      <c r="O18" s="226" t="n">
        <v>140</v>
      </c>
      <c r="P18" s="226" t="n">
        <v>140</v>
      </c>
      <c r="Q18" s="226" t="n">
        <v>140</v>
      </c>
      <c r="R18" s="226" t="n">
        <v>140</v>
      </c>
      <c r="S18" s="226" t="n">
        <v>140</v>
      </c>
    </row>
    <row r="19" ht="14" customFormat="1" customHeight="1" s="1">
      <c r="A19" s="231" t="inlineStr">
        <is>
          <t>SKU-8B1D5EF6</t>
        </is>
      </c>
      <c r="B19" s="231" t="n">
        <v>100</v>
      </c>
      <c r="C19" s="19" t="inlineStr">
        <is>
          <t>Product-C0E4574A</t>
        </is>
      </c>
      <c r="D19" s="231" t="n">
        <v>1</v>
      </c>
      <c r="E19" s="51" t="n">
        <v>240.72</v>
      </c>
      <c r="F19" s="184" t="n">
        <v>50</v>
      </c>
      <c r="G19" s="184" t="n">
        <v>50</v>
      </c>
      <c r="H19" s="27" t="inlineStr">
        <is>
          <t>C</t>
        </is>
      </c>
      <c r="I19" s="27" t="inlineStr">
        <is>
          <t>标</t>
        </is>
      </c>
      <c r="J19" s="27" t="inlineStr">
        <is>
          <t>Brand-Anonymized</t>
        </is>
      </c>
      <c r="K19" s="27" t="n">
        <v>200</v>
      </c>
      <c r="L19" s="27" t="inlineStr">
        <is>
          <t>C</t>
        </is>
      </c>
      <c r="M19" s="27" t="n"/>
      <c r="N19" s="27" t="n"/>
      <c r="O19" s="226" t="n">
        <v>0</v>
      </c>
      <c r="P19" s="226" t="n">
        <v>25</v>
      </c>
      <c r="Q19" s="226" t="n">
        <v>0</v>
      </c>
      <c r="R19" s="226" t="n">
        <v>25</v>
      </c>
      <c r="S19" s="226" t="n">
        <v>0</v>
      </c>
    </row>
    <row r="20" ht="14" customFormat="1" customHeight="1" s="1">
      <c r="A20" s="231" t="inlineStr">
        <is>
          <t>SKU-8BA825B6</t>
        </is>
      </c>
      <c r="B20" s="231" t="n">
        <v>100</v>
      </c>
      <c r="C20" s="19" t="inlineStr">
        <is>
          <t>Product-E7EC78F7</t>
        </is>
      </c>
      <c r="D20" s="231" t="n">
        <v>1</v>
      </c>
      <c r="E20" s="51" t="n">
        <v>196.492</v>
      </c>
      <c r="F20" s="184" t="n">
        <v>70</v>
      </c>
      <c r="G20" s="184" t="n">
        <v>22.424</v>
      </c>
      <c r="H20" s="27" t="inlineStr">
        <is>
          <t>C</t>
        </is>
      </c>
      <c r="I20" s="27" t="inlineStr">
        <is>
          <t>标</t>
        </is>
      </c>
      <c r="J20" s="27" t="inlineStr">
        <is>
          <t>Brand-Anonymized</t>
        </is>
      </c>
      <c r="K20" s="27" t="n">
        <v>200</v>
      </c>
      <c r="L20" s="27" t="inlineStr">
        <is>
          <t>C</t>
        </is>
      </c>
      <c r="M20" s="27" t="n"/>
      <c r="N20" s="27" t="n"/>
      <c r="O20" s="226" t="n">
        <v>0</v>
      </c>
      <c r="P20" s="226" t="n">
        <v>35</v>
      </c>
      <c r="Q20" s="226" t="n">
        <v>0</v>
      </c>
      <c r="R20" s="226" t="n">
        <v>35</v>
      </c>
      <c r="S20" s="226" t="n">
        <v>0</v>
      </c>
    </row>
    <row r="21" ht="14" customFormat="1" customHeight="1" s="1">
      <c r="A21" s="231" t="inlineStr">
        <is>
          <t>SKU-DBE8D847</t>
        </is>
      </c>
      <c r="B21" s="231" t="n">
        <v>100</v>
      </c>
      <c r="C21" s="19" t="inlineStr">
        <is>
          <t>Product-31FC13CA</t>
        </is>
      </c>
      <c r="D21" s="231" t="n">
        <v>2</v>
      </c>
      <c r="E21" s="51" t="n">
        <v>404.022</v>
      </c>
      <c r="F21" s="184" t="n">
        <v>71.8</v>
      </c>
      <c r="G21" s="184" t="n">
        <v>75.684</v>
      </c>
      <c r="H21" s="27" t="inlineStr"/>
      <c r="I21" s="27" t="inlineStr">
        <is>
          <t>细</t>
        </is>
      </c>
      <c r="J21" s="27" t="inlineStr">
        <is>
          <t>Brand-Anonymized</t>
        </is>
      </c>
      <c r="K21" s="27" t="n">
        <v>200</v>
      </c>
      <c r="L21" s="27" t="inlineStr">
        <is>
          <t>C</t>
        </is>
      </c>
      <c r="M21" s="27" t="n"/>
      <c r="N21" s="27" t="n"/>
      <c r="O21" s="226" t="inlineStr">
        <is>
          <t>0</t>
        </is>
      </c>
      <c r="P21" s="226" t="n">
        <v>0</v>
      </c>
      <c r="Q21" s="226" t="n">
        <v>71.8</v>
      </c>
      <c r="R21" s="226" t="inlineStr">
        <is>
          <t>0</t>
        </is>
      </c>
      <c r="S21" s="226" t="inlineStr">
        <is>
          <t>0</t>
        </is>
      </c>
    </row>
    <row r="22" ht="14" customFormat="1" customHeight="1" s="1">
      <c r="A22" s="231" t="inlineStr">
        <is>
          <t>SKU-993415A4</t>
        </is>
      </c>
      <c r="B22" s="231" t="n">
        <v>100</v>
      </c>
      <c r="C22" s="19" t="inlineStr">
        <is>
          <t>Product-914BA5F4</t>
        </is>
      </c>
      <c r="D22" s="231" t="n">
        <v>3</v>
      </c>
      <c r="E22" s="51" t="n">
        <v>158.204</v>
      </c>
      <c r="F22" s="184" t="n">
        <v>52.3</v>
      </c>
      <c r="G22" s="184" t="n">
        <v>7.86800000000001</v>
      </c>
      <c r="H22" s="27" t="inlineStr"/>
      <c r="I22" s="27" t="inlineStr"/>
      <c r="J22" s="27" t="inlineStr">
        <is>
          <t>Brand-Anonymized</t>
        </is>
      </c>
      <c r="K22" s="27" t="n">
        <v>200</v>
      </c>
      <c r="L22" s="27" t="n"/>
      <c r="M22" s="27" t="n"/>
      <c r="N22" s="27" t="n"/>
      <c r="O22" s="226" t="inlineStr">
        <is>
          <t>0</t>
        </is>
      </c>
      <c r="P22" s="226" t="inlineStr">
        <is>
          <t>0</t>
        </is>
      </c>
      <c r="Q22" s="226" t="n">
        <v>0</v>
      </c>
      <c r="R22" s="226" t="n">
        <v>52.3</v>
      </c>
      <c r="S22" s="226" t="inlineStr">
        <is>
          <t>0</t>
        </is>
      </c>
    </row>
    <row r="23" ht="14" customFormat="1" customHeight="1" s="1">
      <c r="A23" s="231" t="inlineStr">
        <is>
          <t>SKU-D86E9747</t>
        </is>
      </c>
      <c r="B23" s="231" t="n">
        <v>100</v>
      </c>
      <c r="C23" s="33" t="inlineStr">
        <is>
          <t>Product-FF4227EA</t>
        </is>
      </c>
      <c r="D23" s="231" t="n">
        <v>1</v>
      </c>
      <c r="E23" s="51" t="n">
        <v>0</v>
      </c>
      <c r="F23" s="184" t="n">
        <v>0</v>
      </c>
      <c r="G23" s="184" t="n">
        <v>0</v>
      </c>
      <c r="H23" s="27" t="inlineStr"/>
      <c r="I23" s="27" t="inlineStr"/>
      <c r="J23" s="27" t="inlineStr">
        <is>
          <t>Brand-Anonymized</t>
        </is>
      </c>
      <c r="K23" s="27" t="n">
        <v>200</v>
      </c>
      <c r="L23" s="27" t="n"/>
      <c r="M23" s="27" t="n"/>
      <c r="N23" s="27" t="n"/>
      <c r="O23" s="226" t="inlineStr">
        <is>
          <t>0</t>
        </is>
      </c>
      <c r="P23" s="226" t="inlineStr">
        <is>
          <t>0</t>
        </is>
      </c>
      <c r="Q23" s="226" t="inlineStr">
        <is>
          <t>0</t>
        </is>
      </c>
      <c r="R23" s="226" t="inlineStr">
        <is>
          <t>0</t>
        </is>
      </c>
      <c r="S23" s="226" t="inlineStr">
        <is>
          <t>0</t>
        </is>
      </c>
    </row>
    <row r="24" ht="14" customFormat="1" customHeight="1" s="1">
      <c r="A24" s="231" t="inlineStr">
        <is>
          <t>SKU-7CB9F294</t>
        </is>
      </c>
      <c r="B24" s="231" t="n">
        <v>100</v>
      </c>
      <c r="C24" s="19" t="inlineStr">
        <is>
          <t>Product-1F3A5A4E</t>
        </is>
      </c>
      <c r="D24" s="231" t="n">
        <v>1</v>
      </c>
      <c r="E24" s="51" t="n">
        <v>77.364</v>
      </c>
      <c r="F24" s="184" t="n">
        <v>5</v>
      </c>
      <c r="G24" s="184" t="n">
        <v>5.628</v>
      </c>
      <c r="H24" s="27" t="inlineStr">
        <is>
          <t>X</t>
        </is>
      </c>
      <c r="I24" s="27" t="inlineStr"/>
      <c r="J24" s="27" t="inlineStr">
        <is>
          <t>Brand-Anonymized</t>
        </is>
      </c>
      <c r="K24" s="27" t="n">
        <v>200</v>
      </c>
      <c r="L24" s="27" t="n"/>
      <c r="M24" s="27" t="n"/>
      <c r="N24" s="27" t="n"/>
      <c r="O24" s="227" t="n">
        <v>2</v>
      </c>
      <c r="P24" s="227" t="n">
        <v>0</v>
      </c>
      <c r="Q24" s="227" t="n">
        <v>3</v>
      </c>
      <c r="R24" s="226" t="n">
        <v>0</v>
      </c>
      <c r="S24" s="226" t="n">
        <v>0</v>
      </c>
    </row>
    <row r="25" ht="14" customFormat="1" customHeight="1" s="1">
      <c r="A25" s="231" t="inlineStr">
        <is>
          <t>SKU-6FADBEBD</t>
        </is>
      </c>
      <c r="B25" s="231" t="n">
        <v>100</v>
      </c>
      <c r="C25" s="19" t="inlineStr">
        <is>
          <t>Product-224E6368</t>
        </is>
      </c>
      <c r="D25" s="231" t="n">
        <v>1</v>
      </c>
      <c r="E25" s="51" t="n">
        <v>-51.756</v>
      </c>
      <c r="F25" s="184" t="n">
        <v>6.776</v>
      </c>
      <c r="G25" s="184" t="n">
        <v>0.156</v>
      </c>
      <c r="H25" s="27" t="inlineStr"/>
      <c r="I25" s="27" t="inlineStr">
        <is>
          <t>细</t>
        </is>
      </c>
      <c r="J25" s="27" t="inlineStr">
        <is>
          <t>Brand-Anonymized</t>
        </is>
      </c>
      <c r="K25" s="27" t="n">
        <v>200</v>
      </c>
      <c r="L25" s="27" t="inlineStr">
        <is>
          <t>C</t>
        </is>
      </c>
      <c r="M25" s="27" t="n"/>
      <c r="N25" s="27" t="n"/>
      <c r="O25" s="226" t="inlineStr">
        <is>
          <t>0</t>
        </is>
      </c>
      <c r="P25" s="226" t="n">
        <v>6.776</v>
      </c>
      <c r="Q25" s="226" t="n">
        <v>0</v>
      </c>
      <c r="R25" s="226" t="inlineStr">
        <is>
          <t>0</t>
        </is>
      </c>
      <c r="S25" s="226" t="n">
        <v>0</v>
      </c>
    </row>
    <row r="26" ht="14" customFormat="1" customHeight="1" s="1">
      <c r="A26" s="231" t="inlineStr">
        <is>
          <t>SKU-6772DEBE</t>
        </is>
      </c>
      <c r="B26" s="231" t="n">
        <v>100</v>
      </c>
      <c r="C26" s="19" t="inlineStr">
        <is>
          <t>Product-82693D22</t>
        </is>
      </c>
      <c r="D26" s="231" t="n">
        <v>1</v>
      </c>
      <c r="E26" s="51" t="n">
        <v>278.702</v>
      </c>
      <c r="F26" s="184" t="n">
        <v>94.3</v>
      </c>
      <c r="G26" s="184" t="n">
        <v>44.344</v>
      </c>
      <c r="H26" s="27" t="inlineStr"/>
      <c r="I26" s="27" t="inlineStr">
        <is>
          <t>长</t>
        </is>
      </c>
      <c r="J26" s="27" t="inlineStr">
        <is>
          <t>Brand-Anonymized</t>
        </is>
      </c>
      <c r="K26" s="27" t="n">
        <v>200</v>
      </c>
      <c r="L26" s="27" t="inlineStr">
        <is>
          <t>C</t>
        </is>
      </c>
      <c r="M26" s="27" t="n"/>
      <c r="N26" s="27" t="n"/>
      <c r="O26" s="226" t="inlineStr">
        <is>
          <t>0</t>
        </is>
      </c>
      <c r="P26" s="226" t="n">
        <v>47</v>
      </c>
      <c r="Q26" s="226" t="n">
        <v>47.3</v>
      </c>
      <c r="R26" s="226" t="n">
        <v>0</v>
      </c>
      <c r="S26" s="226" t="inlineStr">
        <is>
          <t>0</t>
        </is>
      </c>
    </row>
    <row r="27" ht="14" customFormat="1" customHeight="1" s="1">
      <c r="A27" s="231" t="inlineStr">
        <is>
          <t>SKU-3B2628FE</t>
        </is>
      </c>
      <c r="B27" s="231" t="n">
        <v>100</v>
      </c>
      <c r="C27" s="44" t="inlineStr">
        <is>
          <t>Product-F68D7468</t>
        </is>
      </c>
      <c r="D27" s="231" t="n">
        <v>1</v>
      </c>
      <c r="E27" s="51" t="n">
        <v>0</v>
      </c>
      <c r="F27" s="184" t="n">
        <v>0</v>
      </c>
      <c r="G27" s="184" t="n">
        <v>0</v>
      </c>
      <c r="H27" s="27" t="inlineStr"/>
      <c r="I27" s="27" t="inlineStr"/>
      <c r="J27" s="27" t="inlineStr">
        <is>
          <t>Brand-Anonymized</t>
        </is>
      </c>
      <c r="K27" s="27" t="n">
        <v>200</v>
      </c>
      <c r="L27" s="27" t="n"/>
      <c r="M27" s="27" t="n"/>
      <c r="N27" s="27" t="n"/>
      <c r="O27" s="226" t="inlineStr">
        <is>
          <t>0</t>
        </is>
      </c>
      <c r="P27" s="226" t="inlineStr">
        <is>
          <t>0</t>
        </is>
      </c>
      <c r="Q27" s="226" t="inlineStr">
        <is>
          <t>0</t>
        </is>
      </c>
      <c r="R27" s="226" t="inlineStr">
        <is>
          <t>0</t>
        </is>
      </c>
      <c r="S27" s="226" t="inlineStr">
        <is>
          <t>0</t>
        </is>
      </c>
    </row>
    <row r="28" ht="14" customFormat="1" customHeight="1" s="1">
      <c r="A28" s="231" t="inlineStr">
        <is>
          <t>SKU-01CFC7C8</t>
        </is>
      </c>
      <c r="B28" s="231" t="n">
        <v>100</v>
      </c>
      <c r="C28" s="19" t="inlineStr">
        <is>
          <t>Product-1385CA82</t>
        </is>
      </c>
      <c r="D28" s="231" t="n">
        <v>1</v>
      </c>
      <c r="E28" s="51" t="n">
        <v>-11.098</v>
      </c>
      <c r="F28" s="184" t="n">
        <v>5</v>
      </c>
      <c r="G28" s="184" t="n">
        <v>5.284</v>
      </c>
      <c r="H28" s="27" t="inlineStr">
        <is>
          <t>X</t>
        </is>
      </c>
      <c r="I28" s="27" t="inlineStr">
        <is>
          <t>细</t>
        </is>
      </c>
      <c r="J28" s="27" t="inlineStr">
        <is>
          <t>Brand-Anonymized</t>
        </is>
      </c>
      <c r="K28" s="27" t="n">
        <v>200</v>
      </c>
      <c r="L28" s="27" t="inlineStr">
        <is>
          <t>C</t>
        </is>
      </c>
      <c r="M28" s="27" t="n"/>
      <c r="N28" s="27" t="n"/>
      <c r="O28" s="226" t="n">
        <v>0</v>
      </c>
      <c r="P28" s="226" t="n">
        <v>5</v>
      </c>
      <c r="Q28" s="226" t="n">
        <v>0</v>
      </c>
      <c r="R28" s="226" t="n">
        <v>0</v>
      </c>
      <c r="S28" s="226" t="n">
        <v>0</v>
      </c>
    </row>
    <row r="29" ht="14" customFormat="1" customHeight="1" s="1">
      <c r="A29" s="231" t="inlineStr">
        <is>
          <t>SKU-3BC6D3D6</t>
        </is>
      </c>
      <c r="B29" s="231" t="n">
        <v>100</v>
      </c>
      <c r="C29" s="19" t="inlineStr">
        <is>
          <t>Product-7FD02DE1</t>
        </is>
      </c>
      <c r="D29" s="231" t="n">
        <v>2</v>
      </c>
      <c r="E29" s="51" t="n">
        <v>377.596</v>
      </c>
      <c r="F29" s="184" t="n">
        <v>140.7</v>
      </c>
      <c r="G29" s="184" t="n">
        <v>65.812</v>
      </c>
      <c r="H29" s="27" t="inlineStr"/>
      <c r="I29" s="27" t="inlineStr"/>
      <c r="J29" s="27" t="inlineStr">
        <is>
          <t>Brand-Anonymized</t>
        </is>
      </c>
      <c r="K29" s="27" t="n">
        <v>200</v>
      </c>
      <c r="L29" s="27" t="n"/>
      <c r="M29" s="27" t="n"/>
      <c r="N29" s="27" t="n"/>
      <c r="O29" s="226" t="n">
        <v>45</v>
      </c>
      <c r="P29" s="226" t="n">
        <v>45</v>
      </c>
      <c r="Q29" s="226" t="n">
        <v>0</v>
      </c>
      <c r="R29" s="226" t="n">
        <v>50.7</v>
      </c>
      <c r="S29" s="226" t="inlineStr">
        <is>
          <t>0</t>
        </is>
      </c>
    </row>
    <row r="30" ht="14" customFormat="1" customHeight="1" s="1">
      <c r="A30" s="231" t="inlineStr">
        <is>
          <t>SKU-4BF6BE09</t>
        </is>
      </c>
      <c r="B30" s="231" t="n">
        <v>100</v>
      </c>
      <c r="C30" s="44" t="inlineStr">
        <is>
          <t>Product-685982B2</t>
        </is>
      </c>
      <c r="D30" s="231" t="n">
        <v>2</v>
      </c>
      <c r="E30" s="51" t="n">
        <v>0</v>
      </c>
      <c r="F30" s="184" t="n">
        <v>0</v>
      </c>
      <c r="G30" s="184" t="n">
        <v>0</v>
      </c>
      <c r="H30" s="27" t="inlineStr"/>
      <c r="I30" s="27" t="inlineStr"/>
      <c r="J30" s="27" t="inlineStr">
        <is>
          <t>Brand-Anonymized</t>
        </is>
      </c>
      <c r="K30" s="27" t="n">
        <v>200</v>
      </c>
      <c r="L30" s="27" t="n"/>
      <c r="M30" s="27" t="n"/>
      <c r="N30" s="27" t="n"/>
      <c r="O30" s="226" t="inlineStr">
        <is>
          <t>0</t>
        </is>
      </c>
      <c r="P30" s="226" t="inlineStr">
        <is>
          <t>0</t>
        </is>
      </c>
      <c r="Q30" s="226" t="inlineStr">
        <is>
          <t>0</t>
        </is>
      </c>
      <c r="R30" s="226" t="inlineStr">
        <is>
          <t>0</t>
        </is>
      </c>
      <c r="S30" s="226" t="inlineStr">
        <is>
          <t>0</t>
        </is>
      </c>
    </row>
    <row r="31" ht="14" customFormat="1" customHeight="1" s="1">
      <c r="A31" s="231" t="inlineStr">
        <is>
          <t>SKU-68F01DAC</t>
        </is>
      </c>
      <c r="B31" s="231" t="n">
        <v>100</v>
      </c>
      <c r="C31" s="19" t="inlineStr">
        <is>
          <t>Product-DB12469B</t>
        </is>
      </c>
      <c r="D31" s="231" t="n">
        <v>2</v>
      </c>
      <c r="E31" s="51" t="n">
        <v>998.866</v>
      </c>
      <c r="F31" s="184" t="n">
        <v>213.5</v>
      </c>
      <c r="G31" s="184" t="n">
        <v>214.852</v>
      </c>
      <c r="H31" s="27" t="inlineStr"/>
      <c r="I31" s="27" t="inlineStr">
        <is>
          <t>细</t>
        </is>
      </c>
      <c r="J31" s="27" t="inlineStr">
        <is>
          <t>Brand-Anonymized</t>
        </is>
      </c>
      <c r="K31" s="27" t="n">
        <v>200</v>
      </c>
      <c r="L31" s="27" t="inlineStr">
        <is>
          <t>C</t>
        </is>
      </c>
      <c r="M31" s="27" t="n"/>
      <c r="N31" s="27" t="n"/>
      <c r="O31" s="226" t="n">
        <v>71</v>
      </c>
      <c r="P31" s="226" t="inlineStr">
        <is>
          <t>0</t>
        </is>
      </c>
      <c r="Q31" s="226" t="n">
        <v>71</v>
      </c>
      <c r="R31" s="226" t="n">
        <v>71.5</v>
      </c>
      <c r="S31" s="226" t="inlineStr">
        <is>
          <t>0</t>
        </is>
      </c>
    </row>
    <row r="32" ht="14" customFormat="1" customHeight="1" s="1">
      <c r="A32" s="231" t="inlineStr">
        <is>
          <t>SKU-B376DBC8</t>
        </is>
      </c>
      <c r="B32" s="231" t="n">
        <v>100</v>
      </c>
      <c r="C32" s="44" t="inlineStr">
        <is>
          <t>Product-12486764</t>
        </is>
      </c>
      <c r="D32" s="231" t="n">
        <v>1</v>
      </c>
      <c r="E32" s="51" t="n">
        <v>0</v>
      </c>
      <c r="F32" s="184" t="n">
        <v>0</v>
      </c>
      <c r="G32" s="184" t="n">
        <v>0</v>
      </c>
      <c r="H32" s="27" t="inlineStr"/>
      <c r="I32" s="27" t="inlineStr">
        <is>
          <t>方</t>
        </is>
      </c>
      <c r="J32" s="27" t="inlineStr">
        <is>
          <t>Brand-Anonymized</t>
        </is>
      </c>
      <c r="K32" s="27" t="n">
        <v>200</v>
      </c>
      <c r="L32" s="27" t="inlineStr">
        <is>
          <t>C</t>
        </is>
      </c>
      <c r="M32" s="27" t="n"/>
      <c r="N32" s="27" t="n"/>
      <c r="O32" s="226" t="inlineStr">
        <is>
          <t>0</t>
        </is>
      </c>
      <c r="P32" s="226" t="inlineStr">
        <is>
          <t>0</t>
        </is>
      </c>
      <c r="Q32" s="226" t="inlineStr">
        <is>
          <t>0</t>
        </is>
      </c>
      <c r="R32" s="226" t="inlineStr">
        <is>
          <t>0</t>
        </is>
      </c>
      <c r="S32" s="226" t="inlineStr">
        <is>
          <t>0</t>
        </is>
      </c>
    </row>
    <row r="33" ht="14" customFormat="1" customHeight="1" s="1">
      <c r="A33" s="231" t="inlineStr">
        <is>
          <t>SKU-D051F69D</t>
        </is>
      </c>
      <c r="B33" s="231" t="n">
        <v>100</v>
      </c>
      <c r="C33" s="19" t="inlineStr">
        <is>
          <t>Product-89AAAC0F</t>
        </is>
      </c>
      <c r="D33" s="231" t="n">
        <v>1</v>
      </c>
      <c r="E33" s="51" t="n">
        <v>-9.696</v>
      </c>
      <c r="F33" s="184" t="n">
        <v>15</v>
      </c>
      <c r="G33" s="184" t="n">
        <v>15.268</v>
      </c>
      <c r="H33" s="27" t="inlineStr">
        <is>
          <t>X</t>
        </is>
      </c>
      <c r="I33" s="27" t="inlineStr">
        <is>
          <t>标</t>
        </is>
      </c>
      <c r="J33" s="27" t="inlineStr">
        <is>
          <t>Brand-Anonymized</t>
        </is>
      </c>
      <c r="K33" s="27" t="n">
        <v>200</v>
      </c>
      <c r="L33" s="27" t="inlineStr">
        <is>
          <t>C</t>
        </is>
      </c>
      <c r="M33" s="27" t="n"/>
      <c r="N33" s="27" t="n"/>
      <c r="O33" s="226" t="n">
        <v>15</v>
      </c>
      <c r="P33" s="226" t="n">
        <v>0</v>
      </c>
      <c r="Q33" s="226" t="n">
        <v>0</v>
      </c>
      <c r="R33" s="226" t="n">
        <v>0</v>
      </c>
      <c r="S33" s="226" t="n">
        <v>0</v>
      </c>
    </row>
    <row r="34" ht="14" customFormat="1" customHeight="1" s="1">
      <c r="A34" s="231" t="inlineStr">
        <is>
          <t>SKU-D6DABD2C</t>
        </is>
      </c>
      <c r="B34" s="231" t="n">
        <v>100</v>
      </c>
      <c r="C34" s="19" t="inlineStr">
        <is>
          <t>Product-E13E7723</t>
        </is>
      </c>
      <c r="D34" s="231" t="n">
        <v>1</v>
      </c>
      <c r="E34" s="51" t="n">
        <v>77.854</v>
      </c>
      <c r="F34" s="184" t="n">
        <v>24</v>
      </c>
      <c r="G34" s="184" t="n">
        <v>24.028</v>
      </c>
      <c r="H34" s="27" t="inlineStr">
        <is>
          <t>X</t>
        </is>
      </c>
      <c r="I34" s="27" t="inlineStr">
        <is>
          <t>细</t>
        </is>
      </c>
      <c r="J34" s="27" t="inlineStr">
        <is>
          <t>Brand-Anonymized</t>
        </is>
      </c>
      <c r="K34" s="27" t="n">
        <v>200</v>
      </c>
      <c r="L34" s="27" t="inlineStr">
        <is>
          <t>C</t>
        </is>
      </c>
      <c r="M34" s="27" t="n"/>
      <c r="N34" s="27" t="n"/>
      <c r="O34" s="226" t="n">
        <v>0</v>
      </c>
      <c r="P34" s="226" t="n">
        <v>12</v>
      </c>
      <c r="Q34" s="226" t="n">
        <v>0</v>
      </c>
      <c r="R34" s="226" t="n">
        <v>12</v>
      </c>
      <c r="S34" s="226" t="n">
        <v>0</v>
      </c>
    </row>
    <row r="35" ht="14" customFormat="1" customHeight="1" s="1">
      <c r="A35" s="231" t="inlineStr">
        <is>
          <t>SKU-58C29290</t>
        </is>
      </c>
      <c r="B35" s="231" t="n">
        <v>100</v>
      </c>
      <c r="C35" s="19" t="inlineStr">
        <is>
          <t>Product-0F81BD89</t>
        </is>
      </c>
      <c r="D35" s="231" t="n">
        <v>3</v>
      </c>
      <c r="E35" s="51" t="n">
        <v>1391.158</v>
      </c>
      <c r="F35" s="184" t="n">
        <v>503</v>
      </c>
      <c r="G35" s="184" t="n">
        <v>211.296</v>
      </c>
      <c r="H35" s="27" t="inlineStr"/>
      <c r="I35" s="27" t="inlineStr"/>
      <c r="J35" s="27" t="inlineStr">
        <is>
          <t>Brand-Anonymized</t>
        </is>
      </c>
      <c r="K35" s="27" t="n">
        <v>200</v>
      </c>
      <c r="L35" s="27" t="n"/>
      <c r="M35" s="27" t="n"/>
      <c r="N35" s="27" t="n"/>
      <c r="O35" s="226" t="n">
        <v>130</v>
      </c>
      <c r="P35" s="226" t="n">
        <v>130</v>
      </c>
      <c r="Q35" s="226" t="n">
        <v>130</v>
      </c>
      <c r="R35" s="226" t="n">
        <v>113</v>
      </c>
      <c r="S35" s="226" t="n">
        <v>0</v>
      </c>
    </row>
    <row r="36" ht="14" customFormat="1" customHeight="1" s="1">
      <c r="A36" s="231" t="inlineStr">
        <is>
          <t>SKU-204217AA</t>
        </is>
      </c>
      <c r="B36" s="231" t="n">
        <v>100</v>
      </c>
      <c r="C36" s="19" t="inlineStr">
        <is>
          <t>Product-65B192F5</t>
        </is>
      </c>
      <c r="D36" s="231" t="n">
        <v>3</v>
      </c>
      <c r="E36" s="51" t="n">
        <v>2203.414</v>
      </c>
      <c r="F36" s="184" t="n">
        <v>680.5</v>
      </c>
      <c r="G36" s="184" t="n">
        <v>351.148</v>
      </c>
      <c r="H36" s="42" t="inlineStr">
        <is>
          <t>T</t>
        </is>
      </c>
      <c r="I36" s="27" t="inlineStr"/>
      <c r="J36" s="27" t="inlineStr">
        <is>
          <t>Brand-Anonymized</t>
        </is>
      </c>
      <c r="K36" s="27" t="n">
        <v>200</v>
      </c>
      <c r="L36" s="27" t="n"/>
      <c r="M36" s="27" t="n"/>
      <c r="N36" s="27" t="n"/>
      <c r="O36" s="226" t="n">
        <v>130</v>
      </c>
      <c r="P36" s="226" t="n">
        <v>150</v>
      </c>
      <c r="Q36" s="226" t="n">
        <v>130</v>
      </c>
      <c r="R36" s="226" t="n">
        <v>140</v>
      </c>
      <c r="S36" s="226" t="n">
        <v>130.5</v>
      </c>
    </row>
    <row r="37" ht="14" customFormat="1" customHeight="1" s="1">
      <c r="A37" s="231" t="inlineStr">
        <is>
          <t>SKU-AA06D68B</t>
        </is>
      </c>
      <c r="B37" s="231" t="n">
        <v>100</v>
      </c>
      <c r="C37" s="19" t="inlineStr">
        <is>
          <t>Product-BC490182</t>
        </is>
      </c>
      <c r="D37" s="231" t="n">
        <v>1</v>
      </c>
      <c r="E37" s="51" t="n">
        <v>78.274</v>
      </c>
      <c r="F37" s="184" t="n">
        <v>29.7</v>
      </c>
      <c r="G37" s="184" t="n">
        <v>12.068</v>
      </c>
      <c r="H37" s="27" t="inlineStr"/>
      <c r="I37" s="27" t="inlineStr"/>
      <c r="J37" s="27" t="inlineStr">
        <is>
          <t>Brand-Anonymized</t>
        </is>
      </c>
      <c r="K37" s="27" t="n">
        <v>200</v>
      </c>
      <c r="L37" s="27" t="n"/>
      <c r="M37" s="27" t="n"/>
      <c r="N37" s="27" t="n"/>
      <c r="O37" s="226" t="inlineStr">
        <is>
          <t>0</t>
        </is>
      </c>
      <c r="P37" s="226" t="inlineStr">
        <is>
          <t>0</t>
        </is>
      </c>
      <c r="Q37" s="226" t="n">
        <v>29.7</v>
      </c>
      <c r="R37" s="226" t="n">
        <v>0</v>
      </c>
      <c r="S37" s="226" t="inlineStr">
        <is>
          <t>0</t>
        </is>
      </c>
    </row>
    <row r="38" ht="14" customFormat="1" customHeight="1" s="1">
      <c r="A38" s="231" t="inlineStr">
        <is>
          <t>SKU-AB711576</t>
        </is>
      </c>
      <c r="B38" s="231" t="n">
        <v>100</v>
      </c>
      <c r="C38" s="19" t="inlineStr">
        <is>
          <t>Product-606B1B6A</t>
        </is>
      </c>
      <c r="D38" s="231" t="n">
        <v>2</v>
      </c>
      <c r="E38" s="51" t="n">
        <v>3952.988</v>
      </c>
      <c r="F38" s="184" t="n">
        <v>1404.4</v>
      </c>
      <c r="G38" s="184" t="n">
        <v>563.816</v>
      </c>
      <c r="H38" s="27" t="inlineStr">
        <is>
          <t>T</t>
        </is>
      </c>
      <c r="I38" s="27" t="inlineStr">
        <is>
          <t>细</t>
        </is>
      </c>
      <c r="J38" s="27" t="inlineStr">
        <is>
          <t>Brand-Anonymized</t>
        </is>
      </c>
      <c r="K38" s="27" t="n">
        <v>200</v>
      </c>
      <c r="L38" s="27" t="inlineStr">
        <is>
          <t>C</t>
        </is>
      </c>
      <c r="M38" s="27" t="n"/>
      <c r="N38" s="27" t="n"/>
      <c r="O38" s="226" t="n">
        <v>300</v>
      </c>
      <c r="P38" s="226" t="n">
        <v>320</v>
      </c>
      <c r="Q38" s="226" t="n">
        <v>320</v>
      </c>
      <c r="R38" s="226" t="n">
        <v>280</v>
      </c>
      <c r="S38" s="226" t="n">
        <v>184.4</v>
      </c>
    </row>
    <row r="39" ht="14" customFormat="1" customHeight="1" s="1">
      <c r="A39" s="231" t="inlineStr">
        <is>
          <t>SKU-9F810407</t>
        </is>
      </c>
      <c r="B39" s="231" t="n">
        <v>100</v>
      </c>
      <c r="C39" s="19" t="inlineStr">
        <is>
          <t>Product-F93B8445</t>
        </is>
      </c>
      <c r="D39" s="231" t="n">
        <v>3</v>
      </c>
      <c r="E39" s="51" t="n">
        <v>1246.84</v>
      </c>
      <c r="F39" s="184" t="n">
        <v>444.2</v>
      </c>
      <c r="G39" s="184" t="n">
        <v>180.72</v>
      </c>
      <c r="H39" s="27" t="inlineStr"/>
      <c r="I39" s="27" t="inlineStr">
        <is>
          <t>细</t>
        </is>
      </c>
      <c r="J39" s="27" t="inlineStr">
        <is>
          <t>Brand-Anonymized</t>
        </is>
      </c>
      <c r="K39" s="27" t="n">
        <v>200</v>
      </c>
      <c r="L39" s="27" t="inlineStr">
        <is>
          <t>C</t>
        </is>
      </c>
      <c r="M39" s="27" t="n"/>
      <c r="N39" s="27" t="n"/>
      <c r="O39" s="226" t="n">
        <v>112</v>
      </c>
      <c r="P39" s="226" t="n">
        <v>112</v>
      </c>
      <c r="Q39" s="226" t="n">
        <v>112</v>
      </c>
      <c r="R39" s="226" t="n">
        <v>108.2</v>
      </c>
      <c r="S39" s="226" t="inlineStr">
        <is>
          <t>0</t>
        </is>
      </c>
    </row>
    <row r="40" ht="14" customFormat="1" customHeight="1" s="1">
      <c r="A40" s="231" t="inlineStr">
        <is>
          <t>SKU-F676B681</t>
        </is>
      </c>
      <c r="B40" s="231" t="n">
        <v>100</v>
      </c>
      <c r="C40" s="44" t="inlineStr">
        <is>
          <t>Product-33875634</t>
        </is>
      </c>
      <c r="D40" s="231" t="n">
        <v>1</v>
      </c>
      <c r="E40" s="51" t="n">
        <v>0</v>
      </c>
      <c r="F40" s="184" t="n">
        <v>0</v>
      </c>
      <c r="G40" s="184" t="n">
        <v>0</v>
      </c>
      <c r="H40" s="27" t="inlineStr"/>
      <c r="I40" s="27" t="inlineStr"/>
      <c r="J40" s="27" t="inlineStr">
        <is>
          <t>Brand-Anonymized</t>
        </is>
      </c>
      <c r="K40" s="27" t="n">
        <v>200</v>
      </c>
      <c r="L40" s="27" t="n"/>
      <c r="M40" s="27" t="n"/>
      <c r="N40" s="27" t="n"/>
      <c r="O40" s="226" t="inlineStr">
        <is>
          <t>0</t>
        </is>
      </c>
      <c r="P40" s="226" t="inlineStr">
        <is>
          <t>0</t>
        </is>
      </c>
      <c r="Q40" s="226" t="inlineStr">
        <is>
          <t>0</t>
        </is>
      </c>
      <c r="R40" s="226" t="inlineStr">
        <is>
          <t>0</t>
        </is>
      </c>
      <c r="S40" s="226" t="inlineStr">
        <is>
          <t>0</t>
        </is>
      </c>
    </row>
    <row r="41" ht="14" customFormat="1" customHeight="1" s="1">
      <c r="A41" s="231" t="inlineStr">
        <is>
          <t>SKU-E4C1BC6F</t>
        </is>
      </c>
      <c r="B41" s="231" t="n">
        <v>100</v>
      </c>
      <c r="C41" s="19" t="inlineStr">
        <is>
          <t>Product-10F9DCAD</t>
        </is>
      </c>
      <c r="D41" s="231" t="n">
        <v>1</v>
      </c>
      <c r="E41" s="51" t="n">
        <v>1993.894</v>
      </c>
      <c r="F41" s="184" t="n">
        <v>738.3</v>
      </c>
      <c r="G41" s="184" t="n">
        <v>290.828</v>
      </c>
      <c r="H41" s="27" t="inlineStr"/>
      <c r="I41" s="27" t="inlineStr">
        <is>
          <t>细</t>
        </is>
      </c>
      <c r="J41" s="27" t="inlineStr">
        <is>
          <t>Brand-Anonymized</t>
        </is>
      </c>
      <c r="K41" s="27" t="n">
        <v>200</v>
      </c>
      <c r="L41" s="27" t="inlineStr">
        <is>
          <t>C</t>
        </is>
      </c>
      <c r="M41" s="27" t="n"/>
      <c r="N41" s="27" t="n"/>
      <c r="O41" s="226" t="n">
        <v>181</v>
      </c>
      <c r="P41" s="226" t="n">
        <v>181</v>
      </c>
      <c r="Q41" s="226" t="n">
        <v>200</v>
      </c>
      <c r="R41" s="226" t="n">
        <v>176.3</v>
      </c>
      <c r="S41" s="226" t="inlineStr">
        <is>
          <t>0</t>
        </is>
      </c>
    </row>
    <row r="42" ht="14" customFormat="1" customHeight="1" s="1">
      <c r="A42" s="231" t="inlineStr">
        <is>
          <t>SKU-CD605EDE</t>
        </is>
      </c>
      <c r="B42" s="231" t="n">
        <v>100</v>
      </c>
      <c r="C42" s="19" t="inlineStr">
        <is>
          <t>Product-219B759F</t>
        </is>
      </c>
      <c r="D42" s="231" t="n">
        <v>1</v>
      </c>
      <c r="E42" s="51" t="n">
        <v>48.788</v>
      </c>
      <c r="F42" s="184" t="n">
        <v>20</v>
      </c>
      <c r="G42" s="184" t="n">
        <v>20.856</v>
      </c>
      <c r="H42" s="27" t="inlineStr">
        <is>
          <t>X</t>
        </is>
      </c>
      <c r="I42" s="27" t="inlineStr">
        <is>
          <t>长</t>
        </is>
      </c>
      <c r="J42" s="27" t="inlineStr">
        <is>
          <t>Brand-Anonymized</t>
        </is>
      </c>
      <c r="K42" s="27" t="n">
        <v>200</v>
      </c>
      <c r="L42" s="27" t="inlineStr">
        <is>
          <t>C</t>
        </is>
      </c>
      <c r="M42" s="27" t="n"/>
      <c r="N42" s="27" t="n"/>
      <c r="O42" s="226" t="n">
        <v>20</v>
      </c>
      <c r="P42" s="226" t="n">
        <v>0</v>
      </c>
      <c r="Q42" s="226" t="n">
        <v>0</v>
      </c>
      <c r="R42" s="226" t="n">
        <v>0</v>
      </c>
      <c r="S42" s="226" t="n">
        <v>0</v>
      </c>
    </row>
    <row r="43" ht="14" customFormat="1" customHeight="1" s="1">
      <c r="A43" s="231" t="inlineStr">
        <is>
          <t>SKU-D485CCCA</t>
        </is>
      </c>
      <c r="B43" s="231" t="n">
        <v>100</v>
      </c>
      <c r="C43" s="19" t="inlineStr">
        <is>
          <t>Product-05507059</t>
        </is>
      </c>
      <c r="D43" s="231" t="n">
        <v>3</v>
      </c>
      <c r="E43" s="51" t="n">
        <v>586.024</v>
      </c>
      <c r="F43" s="184" t="n">
        <v>131</v>
      </c>
      <c r="G43" s="184" t="n">
        <v>90.348</v>
      </c>
      <c r="H43" s="27" t="inlineStr"/>
      <c r="I43" s="27" t="inlineStr">
        <is>
          <t>标</t>
        </is>
      </c>
      <c r="J43" s="27" t="inlineStr">
        <is>
          <t>Brand-Anonymized</t>
        </is>
      </c>
      <c r="K43" s="27" t="n">
        <v>200</v>
      </c>
      <c r="L43" s="27" t="inlineStr">
        <is>
          <t>C</t>
        </is>
      </c>
      <c r="M43" s="27" t="n"/>
      <c r="N43" s="27" t="n"/>
      <c r="O43" s="226" t="n">
        <v>0</v>
      </c>
      <c r="P43" s="226" t="n">
        <v>0</v>
      </c>
      <c r="Q43" s="226" t="n">
        <v>65.5</v>
      </c>
      <c r="R43" s="226" t="n">
        <v>65.5</v>
      </c>
      <c r="S43" s="226" t="n">
        <v>0</v>
      </c>
    </row>
    <row r="44" ht="14" customFormat="1" customHeight="1" s="1">
      <c r="A44" s="231" t="inlineStr">
        <is>
          <t>SKU-66238053</t>
        </is>
      </c>
      <c r="B44" s="231" t="n">
        <v>100</v>
      </c>
      <c r="C44" s="43" t="inlineStr">
        <is>
          <t>Product-B4F67B70</t>
        </is>
      </c>
      <c r="D44" s="231" t="n">
        <v>2</v>
      </c>
      <c r="E44" s="51" t="n">
        <v>0</v>
      </c>
      <c r="F44" s="184" t="n">
        <v>0</v>
      </c>
      <c r="G44" s="184" t="n">
        <v>0</v>
      </c>
      <c r="H44" s="27" t="inlineStr"/>
      <c r="I44" s="27" t="inlineStr">
        <is>
          <t>标</t>
        </is>
      </c>
      <c r="J44" s="27" t="inlineStr">
        <is>
          <t>Brand-Anonymized</t>
        </is>
      </c>
      <c r="K44" s="27" t="n">
        <v>200</v>
      </c>
      <c r="L44" s="27" t="inlineStr">
        <is>
          <t>C</t>
        </is>
      </c>
      <c r="M44" s="27" t="n"/>
      <c r="N44" s="27" t="n"/>
      <c r="O44" s="226" t="inlineStr">
        <is>
          <t>0</t>
        </is>
      </c>
      <c r="P44" s="226" t="inlineStr">
        <is>
          <t>0</t>
        </is>
      </c>
      <c r="Q44" s="226" t="inlineStr">
        <is>
          <t>0</t>
        </is>
      </c>
      <c r="R44" s="226" t="inlineStr">
        <is>
          <t>0</t>
        </is>
      </c>
      <c r="S44" s="226" t="inlineStr">
        <is>
          <t>0</t>
        </is>
      </c>
    </row>
    <row r="45" ht="14" customFormat="1" customHeight="1" s="1">
      <c r="A45" s="231" t="inlineStr">
        <is>
          <t>SKU-AEC03642</t>
        </is>
      </c>
      <c r="B45" s="231" t="n">
        <v>100</v>
      </c>
      <c r="C45" s="45" t="inlineStr">
        <is>
          <t>Product-5A4A091A</t>
        </is>
      </c>
      <c r="D45" s="231" t="n">
        <v>1</v>
      </c>
      <c r="E45" s="51" t="n">
        <v>58.772</v>
      </c>
      <c r="F45" s="184" t="n">
        <v>16</v>
      </c>
      <c r="G45" s="184" t="n">
        <v>16.424</v>
      </c>
      <c r="H45" s="27" t="inlineStr">
        <is>
          <t>X</t>
        </is>
      </c>
      <c r="I45" s="27" t="inlineStr">
        <is>
          <t>长</t>
        </is>
      </c>
      <c r="J45" s="27" t="inlineStr">
        <is>
          <t>Brand-Anonymized</t>
        </is>
      </c>
      <c r="K45" s="27" t="n">
        <v>200</v>
      </c>
      <c r="L45" s="27" t="inlineStr">
        <is>
          <t>C</t>
        </is>
      </c>
      <c r="M45" s="27" t="n"/>
      <c r="N45" s="27" t="n"/>
      <c r="O45" s="226" t="n">
        <v>0</v>
      </c>
      <c r="P45" s="226" t="n">
        <v>8</v>
      </c>
      <c r="Q45" s="226" t="n">
        <v>0</v>
      </c>
      <c r="R45" s="226" t="n">
        <v>8</v>
      </c>
      <c r="S45" s="226" t="n">
        <v>0</v>
      </c>
    </row>
    <row r="46" ht="14" customFormat="1" customHeight="1" s="1">
      <c r="A46" s="231" t="inlineStr">
        <is>
          <t>SKU-84735B62</t>
        </is>
      </c>
      <c r="B46" s="231" t="n">
        <v>100</v>
      </c>
      <c r="C46" s="19" t="inlineStr">
        <is>
          <t>Product-61AE19F7</t>
        </is>
      </c>
      <c r="D46" s="231" t="n">
        <v>3</v>
      </c>
      <c r="E46" s="51" t="n">
        <v>7562.652</v>
      </c>
      <c r="F46" s="184" t="n">
        <v>3220.6</v>
      </c>
      <c r="G46" s="184" t="n">
        <v>668.8440000000001</v>
      </c>
      <c r="H46" s="27" t="inlineStr">
        <is>
          <t>T</t>
        </is>
      </c>
      <c r="I46" s="27" t="inlineStr"/>
      <c r="J46" s="27" t="inlineStr">
        <is>
          <t>Brand-Anonymized</t>
        </is>
      </c>
      <c r="K46" s="27" t="n">
        <v>200</v>
      </c>
      <c r="L46" s="27" t="n"/>
      <c r="M46" s="27" t="n"/>
      <c r="N46" s="27" t="n"/>
      <c r="O46" s="226" t="n">
        <v>503</v>
      </c>
      <c r="P46" s="226" t="n">
        <v>700</v>
      </c>
      <c r="Q46" s="226" t="n">
        <v>700</v>
      </c>
      <c r="R46" s="226" t="n">
        <v>733</v>
      </c>
      <c r="S46" s="226" t="n">
        <v>584.6</v>
      </c>
    </row>
    <row r="47" ht="14" customFormat="1" customHeight="1" s="1">
      <c r="A47" s="231" t="inlineStr">
        <is>
          <t>SKU-9356910A</t>
        </is>
      </c>
      <c r="B47" s="231" t="n">
        <v>100</v>
      </c>
      <c r="C47" s="19" t="inlineStr">
        <is>
          <t>Product-1433AC24</t>
        </is>
      </c>
      <c r="D47" s="231" t="n">
        <v>2</v>
      </c>
      <c r="E47" s="51" t="n">
        <v>907.258</v>
      </c>
      <c r="F47" s="184" t="n">
        <v>400.7</v>
      </c>
      <c r="G47" s="184" t="n">
        <v>84.696</v>
      </c>
      <c r="H47" s="27" t="inlineStr">
        <is>
          <t>T</t>
        </is>
      </c>
      <c r="I47" s="27" t="inlineStr"/>
      <c r="J47" s="27" t="inlineStr">
        <is>
          <t>Brand-Anonymized</t>
        </is>
      </c>
      <c r="K47" s="27" t="n">
        <v>200</v>
      </c>
      <c r="L47" s="27" t="n"/>
      <c r="M47" s="27" t="n"/>
      <c r="N47" s="27" t="n"/>
      <c r="O47" s="228" t="n">
        <v>84</v>
      </c>
      <c r="P47" s="226" t="n">
        <v>105</v>
      </c>
      <c r="Q47" s="226" t="n">
        <v>105</v>
      </c>
      <c r="R47" s="226" t="n">
        <v>106.7</v>
      </c>
      <c r="S47" s="226" t="inlineStr">
        <is>
          <t>0</t>
        </is>
      </c>
    </row>
    <row r="48" ht="14" customFormat="1" customHeight="1" s="1">
      <c r="A48" s="231" t="inlineStr">
        <is>
          <t>SKU-A1C9F3C5</t>
        </is>
      </c>
      <c r="B48" s="231" t="n">
        <v>100</v>
      </c>
      <c r="C48" s="19" t="inlineStr">
        <is>
          <t>Product-A7F669A5</t>
        </is>
      </c>
      <c r="D48" s="231" t="n">
        <v>2</v>
      </c>
      <c r="E48" s="51" t="n">
        <v>935.3819999999999</v>
      </c>
      <c r="F48" s="184" t="n">
        <v>409.7</v>
      </c>
      <c r="G48" s="184" t="n">
        <v>84.304</v>
      </c>
      <c r="H48" s="27" t="inlineStr">
        <is>
          <t>T</t>
        </is>
      </c>
      <c r="I48" s="27" t="inlineStr"/>
      <c r="J48" s="27" t="inlineStr">
        <is>
          <t>Brand-Anonymized</t>
        </is>
      </c>
      <c r="K48" s="27" t="n">
        <v>200</v>
      </c>
      <c r="L48" s="27" t="n"/>
      <c r="M48" s="27" t="n"/>
      <c r="N48" s="27" t="n"/>
      <c r="O48" s="228" t="n">
        <v>84</v>
      </c>
      <c r="P48" s="226" t="n">
        <v>110</v>
      </c>
      <c r="Q48" s="226" t="n">
        <v>110</v>
      </c>
      <c r="R48" s="226" t="n">
        <v>105.7</v>
      </c>
      <c r="S48" s="226" t="inlineStr">
        <is>
          <t>0</t>
        </is>
      </c>
    </row>
    <row r="49" ht="14" customFormat="1" customHeight="1" s="1">
      <c r="A49" s="231" t="inlineStr">
        <is>
          <t>SKU-9FED3CD7</t>
        </is>
      </c>
      <c r="B49" s="231" t="n">
        <v>100</v>
      </c>
      <c r="C49" s="44" t="inlineStr">
        <is>
          <t>Product-80F515FA</t>
        </is>
      </c>
      <c r="D49" s="231" t="n">
        <v>1</v>
      </c>
      <c r="E49" s="51" t="n">
        <v>0</v>
      </c>
      <c r="F49" s="184" t="n">
        <v>0</v>
      </c>
      <c r="G49" s="184" t="n">
        <v>0</v>
      </c>
      <c r="H49" s="27" t="inlineStr"/>
      <c r="I49" s="27" t="inlineStr">
        <is>
          <t>方</t>
        </is>
      </c>
      <c r="J49" s="27" t="inlineStr">
        <is>
          <t>Brand-Anonymized</t>
        </is>
      </c>
      <c r="K49" s="27" t="n">
        <v>200</v>
      </c>
      <c r="L49" s="27" t="inlineStr">
        <is>
          <t>C</t>
        </is>
      </c>
      <c r="M49" s="27" t="n"/>
      <c r="N49" s="27" t="n"/>
      <c r="O49" s="226" t="inlineStr">
        <is>
          <t>0</t>
        </is>
      </c>
      <c r="P49" s="226" t="inlineStr">
        <is>
          <t>0</t>
        </is>
      </c>
      <c r="Q49" s="226" t="inlineStr">
        <is>
          <t>0</t>
        </is>
      </c>
      <c r="R49" s="226" t="inlineStr">
        <is>
          <t>0</t>
        </is>
      </c>
      <c r="S49" s="226" t="inlineStr">
        <is>
          <t>0</t>
        </is>
      </c>
    </row>
    <row r="50" ht="14" customFormat="1" customHeight="1" s="1">
      <c r="A50" s="231" t="inlineStr">
        <is>
          <t>SKU-D2D4FD85</t>
        </is>
      </c>
      <c r="B50" s="231" t="n">
        <v>100</v>
      </c>
      <c r="C50" s="33" t="inlineStr">
        <is>
          <t>Product-D1D130D9</t>
        </is>
      </c>
      <c r="D50" s="231" t="n">
        <v>1</v>
      </c>
      <c r="E50" s="51" t="n">
        <v>0</v>
      </c>
      <c r="F50" s="184" t="n">
        <v>0</v>
      </c>
      <c r="G50" s="184" t="n">
        <v>0</v>
      </c>
      <c r="H50" s="27" t="inlineStr"/>
      <c r="I50" s="27" t="inlineStr"/>
      <c r="J50" s="27" t="inlineStr">
        <is>
          <t>Brand-Anonymized</t>
        </is>
      </c>
      <c r="K50" s="27" t="n">
        <v>200</v>
      </c>
      <c r="L50" s="27" t="n"/>
      <c r="M50" s="27" t="n"/>
      <c r="N50" s="27" t="n"/>
      <c r="O50" s="226" t="inlineStr">
        <is>
          <t>0</t>
        </is>
      </c>
      <c r="P50" s="226" t="inlineStr">
        <is>
          <t>0</t>
        </is>
      </c>
      <c r="Q50" s="226" t="inlineStr">
        <is>
          <t>0</t>
        </is>
      </c>
      <c r="R50" s="226" t="inlineStr">
        <is>
          <t>0</t>
        </is>
      </c>
      <c r="S50" s="226" t="inlineStr">
        <is>
          <t>0</t>
        </is>
      </c>
    </row>
    <row r="51" ht="14" customFormat="1" customHeight="1" s="1">
      <c r="A51" s="231" t="inlineStr">
        <is>
          <t>SKU-2324D87D</t>
        </is>
      </c>
      <c r="B51" s="231" t="n">
        <v>100</v>
      </c>
      <c r="C51" s="19" t="inlineStr">
        <is>
          <t>Product-142947AA</t>
        </is>
      </c>
      <c r="D51" s="231" t="n">
        <v>1</v>
      </c>
      <c r="E51" s="51" t="n">
        <v>56.956</v>
      </c>
      <c r="F51" s="184" t="n">
        <v>14</v>
      </c>
      <c r="G51" s="184" t="n">
        <v>1.152</v>
      </c>
      <c r="H51" s="27" t="inlineStr">
        <is>
          <t>C</t>
        </is>
      </c>
      <c r="I51" s="27" t="inlineStr">
        <is>
          <t>长</t>
        </is>
      </c>
      <c r="J51" s="27" t="inlineStr">
        <is>
          <t>Brand-Anonymized</t>
        </is>
      </c>
      <c r="K51" s="27" t="n">
        <v>200</v>
      </c>
      <c r="L51" s="27" t="inlineStr">
        <is>
          <t>C</t>
        </is>
      </c>
      <c r="M51" s="27" t="n"/>
      <c r="N51" s="27" t="n"/>
      <c r="O51" s="226" t="n">
        <v>0</v>
      </c>
      <c r="P51" s="227" t="n">
        <v>0</v>
      </c>
      <c r="Q51" s="229" t="n">
        <v>0</v>
      </c>
      <c r="R51" s="227" t="n">
        <v>7</v>
      </c>
      <c r="S51" s="227" t="n">
        <v>7</v>
      </c>
    </row>
    <row r="52" ht="14" customFormat="1" customHeight="1" s="1">
      <c r="A52" s="231" t="inlineStr">
        <is>
          <t>SKU-D3A8D0D1</t>
        </is>
      </c>
      <c r="B52" s="231" t="n">
        <v>100</v>
      </c>
      <c r="C52" s="19" t="inlineStr">
        <is>
          <t>Product-B80128BB</t>
        </is>
      </c>
      <c r="D52" s="231" t="n">
        <v>1</v>
      </c>
      <c r="E52" s="51" t="n">
        <v>101.536</v>
      </c>
      <c r="F52" s="184" t="n">
        <v>13</v>
      </c>
      <c r="G52" s="184" t="n">
        <v>13.812</v>
      </c>
      <c r="H52" s="27" t="inlineStr">
        <is>
          <t>X</t>
        </is>
      </c>
      <c r="I52" s="27" t="inlineStr">
        <is>
          <t>长</t>
        </is>
      </c>
      <c r="J52" s="27" t="inlineStr">
        <is>
          <t>Brand-Anonymized</t>
        </is>
      </c>
      <c r="K52" s="27" t="n">
        <v>200</v>
      </c>
      <c r="L52" s="27" t="inlineStr">
        <is>
          <t>C</t>
        </is>
      </c>
      <c r="M52" s="27" t="n"/>
      <c r="N52" s="27" t="n"/>
      <c r="O52" s="226" t="n">
        <v>13</v>
      </c>
      <c r="P52" s="226" t="n">
        <v>0</v>
      </c>
      <c r="Q52" s="226" t="n">
        <v>0</v>
      </c>
      <c r="R52" s="226" t="n">
        <v>0</v>
      </c>
      <c r="S52" s="226" t="n">
        <v>0</v>
      </c>
    </row>
    <row r="53" ht="14" customFormat="1" customHeight="1" s="1">
      <c r="A53" s="231" t="inlineStr">
        <is>
          <t>SKU-8E8B63E5</t>
        </is>
      </c>
      <c r="B53" s="231" t="n">
        <v>100</v>
      </c>
      <c r="C53" s="230" t="inlineStr">
        <is>
          <t>Product-F4608C8A</t>
        </is>
      </c>
      <c r="D53" s="231" t="n">
        <v>1</v>
      </c>
      <c r="E53" s="51" t="n"/>
      <c r="F53" s="184" t="n">
        <v>20</v>
      </c>
      <c r="G53" s="184" t="n">
        <v>0</v>
      </c>
      <c r="H53" s="27" t="inlineStr">
        <is>
          <t>X</t>
        </is>
      </c>
      <c r="I53" s="27" t="inlineStr">
        <is>
          <t>细</t>
        </is>
      </c>
      <c r="J53" s="27" t="inlineStr">
        <is>
          <t>Brand-Anonymized</t>
        </is>
      </c>
      <c r="K53" s="27" t="n">
        <v>200</v>
      </c>
      <c r="L53" s="27" t="inlineStr">
        <is>
          <t>C</t>
        </is>
      </c>
      <c r="M53" s="27" t="n"/>
      <c r="N53" s="27" t="n"/>
      <c r="O53" s="226" t="n">
        <v>0</v>
      </c>
      <c r="P53" s="226" t="n">
        <v>0</v>
      </c>
      <c r="Q53" s="226" t="n">
        <v>0</v>
      </c>
      <c r="R53" s="226" t="n">
        <v>0</v>
      </c>
      <c r="S53" s="227" t="n">
        <v>0</v>
      </c>
    </row>
    <row r="54" ht="14" customFormat="1" customHeight="1" s="1">
      <c r="A54" s="231" t="inlineStr">
        <is>
          <t>SKU-9D8A6BF0</t>
        </is>
      </c>
      <c r="B54" s="231" t="n">
        <v>100</v>
      </c>
      <c r="C54" s="45" t="inlineStr">
        <is>
          <t>Product-C76E7B79</t>
        </is>
      </c>
      <c r="D54" s="231" t="n">
        <v>1</v>
      </c>
      <c r="E54" s="51" t="n">
        <v>0</v>
      </c>
      <c r="F54" s="184" t="n">
        <v>0</v>
      </c>
      <c r="G54" s="184" t="n">
        <v>0</v>
      </c>
      <c r="H54" s="27" t="inlineStr">
        <is>
          <t>X</t>
        </is>
      </c>
      <c r="I54" s="27" t="inlineStr">
        <is>
          <t>长</t>
        </is>
      </c>
      <c r="J54" s="27" t="inlineStr">
        <is>
          <t>Brand-Anonymized</t>
        </is>
      </c>
      <c r="K54" s="27" t="n">
        <v>200</v>
      </c>
      <c r="L54" s="27" t="inlineStr">
        <is>
          <t>C</t>
        </is>
      </c>
      <c r="M54" s="27" t="n"/>
      <c r="N54" s="27" t="n"/>
      <c r="O54" s="226" t="inlineStr">
        <is>
          <t>0</t>
        </is>
      </c>
      <c r="P54" s="226" t="inlineStr">
        <is>
          <t>0</t>
        </is>
      </c>
      <c r="Q54" s="226" t="inlineStr">
        <is>
          <t>0</t>
        </is>
      </c>
      <c r="R54" s="226" t="inlineStr">
        <is>
          <t>0</t>
        </is>
      </c>
      <c r="S54" s="226" t="inlineStr">
        <is>
          <t>0</t>
        </is>
      </c>
    </row>
    <row r="55" ht="14" customFormat="1" customHeight="1" s="1">
      <c r="A55" s="231" t="inlineStr">
        <is>
          <t>SKU-5EA6EAAE</t>
        </is>
      </c>
      <c r="B55" s="231" t="n">
        <v>100</v>
      </c>
      <c r="C55" s="45" t="inlineStr">
        <is>
          <t>Product-C4CD4D56</t>
        </is>
      </c>
      <c r="D55" s="231" t="n">
        <v>1</v>
      </c>
      <c r="E55" s="51" t="n">
        <v>600</v>
      </c>
      <c r="F55" s="184" t="n">
        <v>300</v>
      </c>
      <c r="G55" s="184" t="n">
        <v>0</v>
      </c>
      <c r="H55" s="27" t="inlineStr">
        <is>
          <t>X</t>
        </is>
      </c>
      <c r="I55" s="27" t="inlineStr">
        <is>
          <t>长</t>
        </is>
      </c>
      <c r="J55" s="27" t="inlineStr">
        <is>
          <t>Brand-Anonymized</t>
        </is>
      </c>
      <c r="K55" s="27" t="n">
        <v>200</v>
      </c>
      <c r="L55" s="27" t="inlineStr">
        <is>
          <t>C</t>
        </is>
      </c>
      <c r="M55" s="27" t="n"/>
      <c r="N55" s="27" t="n"/>
      <c r="O55" s="226" t="inlineStr">
        <is>
          <t>0</t>
        </is>
      </c>
      <c r="P55" s="226" t="inlineStr">
        <is>
          <t>0</t>
        </is>
      </c>
      <c r="Q55" s="226" t="inlineStr">
        <is>
          <t>0</t>
        </is>
      </c>
      <c r="R55" s="226" t="n">
        <v>150</v>
      </c>
      <c r="S55" s="226" t="n">
        <v>150</v>
      </c>
    </row>
    <row r="56" ht="14" customFormat="1" customHeight="1" s="1">
      <c r="A56" s="231" t="inlineStr">
        <is>
          <t>SKU-55B49425</t>
        </is>
      </c>
      <c r="B56" s="231" t="n">
        <v>100</v>
      </c>
      <c r="C56" s="19" t="inlineStr">
        <is>
          <t>Product-2E005B6F</t>
        </is>
      </c>
      <c r="D56" s="231" t="n">
        <v>1</v>
      </c>
      <c r="E56" s="51" t="n">
        <v>2406.782</v>
      </c>
      <c r="F56" s="184" t="n">
        <v>1050</v>
      </c>
      <c r="G56" s="184" t="n">
        <v>325.884</v>
      </c>
      <c r="H56" s="27" t="inlineStr">
        <is>
          <t>T</t>
        </is>
      </c>
      <c r="I56" s="27" t="inlineStr"/>
      <c r="J56" s="27" t="inlineStr">
        <is>
          <t>Brand-Anonymized</t>
        </is>
      </c>
      <c r="K56" s="27" t="n">
        <v>200</v>
      </c>
      <c r="L56" s="27" t="n"/>
      <c r="M56" s="27" t="n"/>
      <c r="N56" s="27" t="n"/>
      <c r="O56" s="226" t="n">
        <v>300</v>
      </c>
      <c r="P56" s="226" t="n">
        <v>320</v>
      </c>
      <c r="Q56" s="226" t="n">
        <v>173</v>
      </c>
      <c r="R56" s="226" t="n">
        <v>127</v>
      </c>
      <c r="S56" s="226" t="n">
        <v>130</v>
      </c>
    </row>
    <row r="57" ht="14" customFormat="1" customHeight="1" s="1">
      <c r="A57" s="231" t="inlineStr">
        <is>
          <t>SKU-7E7C0C23</t>
        </is>
      </c>
      <c r="B57" s="231" t="n">
        <v>100</v>
      </c>
      <c r="C57" s="19" t="inlineStr">
        <is>
          <t>Product-8C5BA899</t>
        </is>
      </c>
      <c r="D57" s="231" t="n">
        <v>1</v>
      </c>
      <c r="E57" s="51" t="n">
        <v>74.116</v>
      </c>
      <c r="F57" s="184" t="n">
        <v>0</v>
      </c>
      <c r="G57" s="184" t="n">
        <v>35.732</v>
      </c>
      <c r="H57" s="27" t="inlineStr">
        <is>
          <t>T</t>
        </is>
      </c>
      <c r="I57" s="27" t="inlineStr"/>
      <c r="J57" s="27" t="inlineStr">
        <is>
          <t>Brand-Anonymized</t>
        </is>
      </c>
      <c r="K57" s="27" t="n">
        <v>200</v>
      </c>
      <c r="L57" s="27" t="n"/>
      <c r="M57" s="27" t="n"/>
      <c r="N57" s="27" t="n"/>
      <c r="O57" s="226" t="inlineStr">
        <is>
          <t>0</t>
        </is>
      </c>
      <c r="P57" s="228" t="n">
        <v>0</v>
      </c>
      <c r="Q57" s="226" t="n">
        <v>0</v>
      </c>
      <c r="R57" s="228" t="n">
        <v>0</v>
      </c>
      <c r="S57" s="226" t="n">
        <v>0</v>
      </c>
    </row>
    <row r="58" ht="14" customFormat="1" customHeight="1" s="1">
      <c r="A58" s="231" t="inlineStr">
        <is>
          <t>SKU-581048FF</t>
        </is>
      </c>
      <c r="B58" s="231" t="n">
        <v>100</v>
      </c>
      <c r="C58" s="19" t="inlineStr">
        <is>
          <t>Product-9C9F0DD0</t>
        </is>
      </c>
      <c r="D58" s="231" t="n">
        <v>1</v>
      </c>
      <c r="E58" s="51" t="n">
        <v>50.896</v>
      </c>
      <c r="F58" s="184" t="n">
        <v>25</v>
      </c>
      <c r="G58" s="184" t="n">
        <v>0.492</v>
      </c>
      <c r="H58" s="27" t="inlineStr">
        <is>
          <t>C</t>
        </is>
      </c>
      <c r="I58" s="27" t="inlineStr">
        <is>
          <t>方</t>
        </is>
      </c>
      <c r="J58" s="27" t="inlineStr">
        <is>
          <t>Brand-Anonymized</t>
        </is>
      </c>
      <c r="K58" s="27" t="n">
        <v>200</v>
      </c>
      <c r="L58" s="27" t="inlineStr">
        <is>
          <t>C</t>
        </is>
      </c>
      <c r="M58" s="27" t="n"/>
      <c r="N58" s="27" t="n"/>
      <c r="O58" s="226" t="n">
        <v>0</v>
      </c>
      <c r="P58" s="226" t="n">
        <v>0</v>
      </c>
      <c r="Q58" s="226" t="n">
        <v>25</v>
      </c>
      <c r="R58" s="226" t="n">
        <v>0</v>
      </c>
      <c r="S58" s="226" t="n">
        <v>0</v>
      </c>
    </row>
    <row r="59" ht="14" customFormat="1" customHeight="1" s="1">
      <c r="A59" s="231" t="inlineStr">
        <is>
          <t>SKU-1943C75B</t>
        </is>
      </c>
      <c r="B59" s="231" t="n">
        <v>100</v>
      </c>
      <c r="C59" s="19" t="inlineStr">
        <is>
          <t>Product-62BC29B7</t>
        </is>
      </c>
      <c r="D59" s="231" t="n">
        <v>1</v>
      </c>
      <c r="E59" s="51" t="n">
        <v>179.23</v>
      </c>
      <c r="F59" s="184" t="n">
        <v>45</v>
      </c>
      <c r="G59" s="184" t="n">
        <v>1</v>
      </c>
      <c r="H59" s="27" t="inlineStr">
        <is>
          <t>C</t>
        </is>
      </c>
      <c r="I59" s="27" t="inlineStr">
        <is>
          <t>方</t>
        </is>
      </c>
      <c r="J59" s="27" t="inlineStr">
        <is>
          <t>Brand-Anonymized</t>
        </is>
      </c>
      <c r="K59" s="27" t="n">
        <v>200</v>
      </c>
      <c r="L59" s="27" t="inlineStr">
        <is>
          <t>C</t>
        </is>
      </c>
      <c r="M59" s="27" t="n"/>
      <c r="N59" s="27" t="n"/>
      <c r="O59" s="226" t="n">
        <v>0</v>
      </c>
      <c r="P59" s="226" t="n">
        <v>0</v>
      </c>
      <c r="Q59" s="226" t="n">
        <v>35</v>
      </c>
      <c r="R59" s="226" t="n">
        <v>0</v>
      </c>
      <c r="S59" s="226" t="n">
        <v>10</v>
      </c>
    </row>
    <row r="60" ht="14" customFormat="1" customHeight="1" s="1">
      <c r="A60" s="231" t="inlineStr">
        <is>
          <t>SKU-51C641E5</t>
        </is>
      </c>
      <c r="B60" s="231" t="n">
        <v>100</v>
      </c>
      <c r="C60" s="19" t="inlineStr">
        <is>
          <t>Product-4CA63C06</t>
        </is>
      </c>
      <c r="D60" s="231" t="n">
        <v>1</v>
      </c>
      <c r="E60" s="51" t="n">
        <v>1458.662</v>
      </c>
      <c r="F60" s="184" t="n">
        <v>521.8</v>
      </c>
      <c r="G60" s="184" t="n">
        <v>189.744</v>
      </c>
      <c r="H60" s="27" t="inlineStr">
        <is>
          <t>T</t>
        </is>
      </c>
      <c r="I60" s="27" t="inlineStr">
        <is>
          <t>长</t>
        </is>
      </c>
      <c r="J60" s="27" t="inlineStr">
        <is>
          <t>Brand-Anonymized</t>
        </is>
      </c>
      <c r="K60" s="27" t="n">
        <v>200</v>
      </c>
      <c r="L60" s="27" t="inlineStr">
        <is>
          <t>C</t>
        </is>
      </c>
      <c r="M60" s="27" t="n"/>
      <c r="N60" s="27" t="n"/>
      <c r="O60" s="226" t="n">
        <v>105</v>
      </c>
      <c r="P60" s="226" t="n">
        <v>125</v>
      </c>
      <c r="Q60" s="226" t="n">
        <v>110</v>
      </c>
      <c r="R60" s="226" t="n">
        <v>100</v>
      </c>
      <c r="S60" s="226" t="n">
        <v>81.8</v>
      </c>
    </row>
    <row r="61" ht="14" customFormat="1" customHeight="1" s="1">
      <c r="A61" s="231" t="inlineStr">
        <is>
          <t>SKU-740A9334</t>
        </is>
      </c>
      <c r="B61" s="231" t="n">
        <v>100</v>
      </c>
      <c r="C61" s="33" t="inlineStr">
        <is>
          <t>Product-7726A962</t>
        </is>
      </c>
      <c r="D61" s="231" t="n">
        <v>1</v>
      </c>
      <c r="E61" s="51" t="n">
        <v>0</v>
      </c>
      <c r="F61" s="184" t="n">
        <v>0</v>
      </c>
      <c r="G61" s="184" t="n">
        <v>0</v>
      </c>
      <c r="H61" s="27" t="inlineStr"/>
      <c r="I61" s="27" t="inlineStr">
        <is>
          <t>方</t>
        </is>
      </c>
      <c r="J61" s="27" t="inlineStr">
        <is>
          <t>Brand-Anonymized</t>
        </is>
      </c>
      <c r="K61" s="27" t="n">
        <v>200</v>
      </c>
      <c r="L61" s="27" t="inlineStr">
        <is>
          <t>C</t>
        </is>
      </c>
      <c r="M61" s="27" t="n"/>
      <c r="N61" s="27" t="n"/>
      <c r="O61" s="226" t="inlineStr">
        <is>
          <t>0</t>
        </is>
      </c>
      <c r="P61" s="226" t="inlineStr">
        <is>
          <t>0</t>
        </is>
      </c>
      <c r="Q61" s="226" t="inlineStr">
        <is>
          <t>0</t>
        </is>
      </c>
      <c r="R61" s="226" t="inlineStr">
        <is>
          <t>0</t>
        </is>
      </c>
      <c r="S61" s="226" t="inlineStr">
        <is>
          <t>0</t>
        </is>
      </c>
    </row>
    <row r="62" ht="14" customFormat="1" customHeight="1" s="1">
      <c r="A62" s="231" t="inlineStr">
        <is>
          <t>SKU-ABAD8823</t>
        </is>
      </c>
      <c r="B62" s="231" t="n">
        <v>100</v>
      </c>
      <c r="C62" s="19" t="inlineStr">
        <is>
          <t>Product-342D1F0D</t>
        </is>
      </c>
      <c r="D62" s="231" t="n">
        <v>1</v>
      </c>
      <c r="E62" s="51" t="n">
        <v>227.232</v>
      </c>
      <c r="F62" s="184" t="n">
        <v>75</v>
      </c>
      <c r="G62" s="184" t="n">
        <v>20.084</v>
      </c>
      <c r="H62" s="27" t="inlineStr">
        <is>
          <t>C</t>
        </is>
      </c>
      <c r="I62" s="27" t="inlineStr">
        <is>
          <t>细</t>
        </is>
      </c>
      <c r="J62" s="27" t="inlineStr">
        <is>
          <t>Brand-Anonymized</t>
        </is>
      </c>
      <c r="K62" s="27" t="n">
        <v>200</v>
      </c>
      <c r="L62" s="27" t="inlineStr">
        <is>
          <t>C</t>
        </is>
      </c>
      <c r="M62" s="27" t="n"/>
      <c r="N62" s="27" t="n"/>
      <c r="O62" s="226" t="n">
        <v>0</v>
      </c>
      <c r="P62" s="227" t="n">
        <v>22</v>
      </c>
      <c r="Q62" s="226" t="n">
        <v>0</v>
      </c>
      <c r="R62" s="227" t="n">
        <v>53</v>
      </c>
      <c r="S62" s="226" t="n">
        <v>0</v>
      </c>
    </row>
    <row r="63" ht="14" customFormat="1" customHeight="1" s="1">
      <c r="A63" s="231" t="inlineStr">
        <is>
          <t>SKU-CD40403A</t>
        </is>
      </c>
      <c r="B63" s="231" t="n">
        <v>100</v>
      </c>
      <c r="C63" s="19" t="inlineStr">
        <is>
          <t>Product-D6D3CCE6</t>
        </is>
      </c>
      <c r="D63" s="231" t="n">
        <v>1</v>
      </c>
      <c r="E63" s="51" t="n">
        <v>-1.742</v>
      </c>
      <c r="F63" s="184" t="n">
        <v>4</v>
      </c>
      <c r="G63" s="184" t="n">
        <v>0.836</v>
      </c>
      <c r="H63" s="27" t="inlineStr">
        <is>
          <t>C</t>
        </is>
      </c>
      <c r="I63" s="27" t="inlineStr">
        <is>
          <t>标</t>
        </is>
      </c>
      <c r="J63" s="27" t="inlineStr">
        <is>
          <t>Brand-Anonymized</t>
        </is>
      </c>
      <c r="K63" s="27" t="n">
        <v>200</v>
      </c>
      <c r="L63" s="27" t="inlineStr">
        <is>
          <t>C</t>
        </is>
      </c>
      <c r="M63" s="27" t="n"/>
      <c r="N63" s="27" t="n"/>
      <c r="O63" s="226" t="n">
        <v>0</v>
      </c>
      <c r="P63" s="226" t="n">
        <v>0</v>
      </c>
      <c r="Q63" s="226" t="n">
        <v>4</v>
      </c>
      <c r="R63" s="226" t="n">
        <v>0</v>
      </c>
      <c r="S63" s="226" t="n">
        <v>0</v>
      </c>
    </row>
    <row r="64" ht="14" customFormat="1" customHeight="1" s="1">
      <c r="A64" s="231" t="inlineStr">
        <is>
          <t>SKU-B0D292B1</t>
        </is>
      </c>
      <c r="B64" s="231" t="n">
        <v>100</v>
      </c>
      <c r="C64" s="19" t="inlineStr">
        <is>
          <t>Product-7726A962</t>
        </is>
      </c>
      <c r="D64" s="231" t="n">
        <v>1</v>
      </c>
      <c r="E64" s="51" t="n">
        <v>-24.86</v>
      </c>
      <c r="F64" s="184" t="n">
        <v>0</v>
      </c>
      <c r="G64" s="184" t="n">
        <v>0</v>
      </c>
      <c r="H64" s="27" t="inlineStr">
        <is>
          <t>X</t>
        </is>
      </c>
      <c r="I64" s="27" t="inlineStr">
        <is>
          <t>标</t>
        </is>
      </c>
      <c r="J64" s="27" t="inlineStr">
        <is>
          <t>Brand-Anonymized</t>
        </is>
      </c>
      <c r="K64" s="27" t="n">
        <v>200</v>
      </c>
      <c r="L64" s="27" t="inlineStr">
        <is>
          <t>C</t>
        </is>
      </c>
      <c r="M64" s="27" t="n"/>
      <c r="N64" s="27" t="n"/>
      <c r="O64" s="226" t="n">
        <v>0</v>
      </c>
      <c r="P64" s="226" t="n">
        <v>0</v>
      </c>
      <c r="Q64" s="226" t="n">
        <v>0</v>
      </c>
      <c r="R64" s="226" t="n">
        <v>0</v>
      </c>
      <c r="S64" s="226" t="n">
        <v>0</v>
      </c>
    </row>
    <row r="65" ht="14" customFormat="1" customHeight="1" s="1">
      <c r="A65" s="231" t="inlineStr">
        <is>
          <t>SKU-C4F98012</t>
        </is>
      </c>
      <c r="B65" s="231" t="n">
        <v>100</v>
      </c>
      <c r="C65" s="45" t="inlineStr">
        <is>
          <t>Product-0BBC9522</t>
        </is>
      </c>
      <c r="D65" s="231" t="n">
        <v>1</v>
      </c>
      <c r="E65" s="51" t="n"/>
      <c r="F65" s="184" t="n">
        <v>0.76</v>
      </c>
      <c r="G65" s="184" t="n">
        <v>1</v>
      </c>
      <c r="H65" s="27" t="inlineStr">
        <is>
          <t>X</t>
        </is>
      </c>
      <c r="I65" s="27" t="inlineStr">
        <is>
          <t>细</t>
        </is>
      </c>
      <c r="J65" s="27" t="inlineStr">
        <is>
          <t>Brand-Anonymized</t>
        </is>
      </c>
      <c r="K65" s="27" t="n">
        <v>200</v>
      </c>
      <c r="L65" s="27" t="inlineStr">
        <is>
          <t>C</t>
        </is>
      </c>
      <c r="M65" s="27" t="n"/>
      <c r="N65" s="27" t="n"/>
      <c r="O65" s="226" t="n">
        <v>0</v>
      </c>
      <c r="P65" s="227" t="n">
        <v>0</v>
      </c>
      <c r="Q65" s="226" t="n">
        <v>0.76</v>
      </c>
      <c r="R65" s="226" t="n">
        <v>0</v>
      </c>
      <c r="S65" s="226" t="n">
        <v>0</v>
      </c>
    </row>
    <row r="66" ht="14" customFormat="1" customHeight="1" s="1">
      <c r="A66" s="231" t="inlineStr">
        <is>
          <t>SKU-D5FB4C4D</t>
        </is>
      </c>
      <c r="B66" s="231" t="n">
        <v>100</v>
      </c>
      <c r="C66" s="33" t="inlineStr">
        <is>
          <t>Product-3DCEC0C0</t>
        </is>
      </c>
      <c r="D66" s="231" t="n">
        <v>1</v>
      </c>
      <c r="E66" s="51" t="n">
        <v>0</v>
      </c>
      <c r="F66" s="184" t="n">
        <v>0</v>
      </c>
      <c r="G66" s="184" t="n">
        <v>0</v>
      </c>
      <c r="H66" s="27" t="inlineStr"/>
      <c r="I66" s="27" t="inlineStr">
        <is>
          <t>标</t>
        </is>
      </c>
      <c r="J66" s="27" t="inlineStr">
        <is>
          <t>Brand-Anonymized</t>
        </is>
      </c>
      <c r="K66" s="27" t="n">
        <v>200</v>
      </c>
      <c r="L66" s="27" t="inlineStr">
        <is>
          <t>C</t>
        </is>
      </c>
      <c r="M66" s="27" t="n"/>
      <c r="N66" s="27" t="n"/>
      <c r="O66" s="226" t="inlineStr">
        <is>
          <t>0</t>
        </is>
      </c>
      <c r="P66" s="226" t="inlineStr">
        <is>
          <t>0</t>
        </is>
      </c>
      <c r="Q66" s="226" t="inlineStr">
        <is>
          <t>0</t>
        </is>
      </c>
      <c r="R66" s="226" t="inlineStr">
        <is>
          <t>0</t>
        </is>
      </c>
      <c r="S66" s="226" t="inlineStr">
        <is>
          <t>0</t>
        </is>
      </c>
    </row>
    <row r="67" ht="14" customFormat="1" customHeight="1" s="1">
      <c r="A67" s="231" t="inlineStr">
        <is>
          <t>SKU-DCF98B33</t>
        </is>
      </c>
      <c r="B67" s="231" t="n">
        <v>100</v>
      </c>
      <c r="C67" s="19" t="inlineStr">
        <is>
          <t>Product-3DCEC0C0</t>
        </is>
      </c>
      <c r="D67" s="231" t="n">
        <v>1</v>
      </c>
      <c r="E67" s="51" t="n">
        <v>44.74</v>
      </c>
      <c r="F67" s="184" t="n">
        <v>5</v>
      </c>
      <c r="G67" s="184" t="n">
        <v>0.42</v>
      </c>
      <c r="H67" s="27" t="inlineStr">
        <is>
          <t>X</t>
        </is>
      </c>
      <c r="I67" s="27" t="inlineStr">
        <is>
          <t>标</t>
        </is>
      </c>
      <c r="J67" s="27" t="inlineStr">
        <is>
          <t>Brand-Anonymized</t>
        </is>
      </c>
      <c r="K67" s="27" t="n">
        <v>200</v>
      </c>
      <c r="L67" s="27" t="inlineStr">
        <is>
          <t>C</t>
        </is>
      </c>
      <c r="M67" s="27" t="n"/>
      <c r="N67" s="27" t="n"/>
      <c r="O67" s="228" t="n">
        <v>0</v>
      </c>
      <c r="P67" s="226" t="n">
        <v>0</v>
      </c>
      <c r="Q67" s="226" t="n">
        <v>5</v>
      </c>
      <c r="R67" s="226" t="n">
        <v>0</v>
      </c>
      <c r="S67" s="226" t="n">
        <v>0</v>
      </c>
    </row>
    <row r="68" ht="14" customFormat="1" customHeight="1" s="1">
      <c r="A68" s="231" t="inlineStr">
        <is>
          <t>SKU-7ECD2FA6</t>
        </is>
      </c>
      <c r="B68" s="231" t="n">
        <v>100</v>
      </c>
      <c r="C68" s="45" t="inlineStr">
        <is>
          <t>Product-29355C79</t>
        </is>
      </c>
      <c r="D68" s="231" t="n">
        <v>1</v>
      </c>
      <c r="E68" s="51" t="n">
        <v>1539.368</v>
      </c>
      <c r="F68" s="184" t="n">
        <v>0.76</v>
      </c>
      <c r="G68" s="184" t="n">
        <v>0.756</v>
      </c>
      <c r="H68" s="27" t="inlineStr">
        <is>
          <t>X</t>
        </is>
      </c>
      <c r="I68" s="27" t="inlineStr">
        <is>
          <t>长</t>
        </is>
      </c>
      <c r="J68" s="27" t="inlineStr">
        <is>
          <t>Brand-Anonymized</t>
        </is>
      </c>
      <c r="K68" s="27" t="n">
        <v>200</v>
      </c>
      <c r="L68" s="27" t="inlineStr">
        <is>
          <t>C</t>
        </is>
      </c>
      <c r="M68" s="27" t="n"/>
      <c r="N68" s="27" t="n"/>
      <c r="O68" s="226" t="n">
        <v>0</v>
      </c>
      <c r="P68" s="226" t="n">
        <v>0.76</v>
      </c>
      <c r="Q68" s="226" t="n">
        <v>0</v>
      </c>
      <c r="R68" s="226" t="n">
        <v>0</v>
      </c>
      <c r="S68" s="226" t="n">
        <v>0</v>
      </c>
    </row>
    <row r="69" ht="14" customFormat="1" customHeight="1" s="1">
      <c r="A69" s="231" t="inlineStr">
        <is>
          <t>SKU-8A01A251</t>
        </is>
      </c>
      <c r="B69" s="231" t="n">
        <v>100</v>
      </c>
      <c r="C69" s="33" t="inlineStr">
        <is>
          <t>Product-E520A49A</t>
        </is>
      </c>
      <c r="D69" s="231" t="n">
        <v>2</v>
      </c>
      <c r="E69" s="51" t="n">
        <v>0</v>
      </c>
      <c r="F69" s="184" t="n">
        <v>0</v>
      </c>
      <c r="G69" s="184" t="n">
        <v>0</v>
      </c>
      <c r="H69" s="27" t="inlineStr"/>
      <c r="I69" s="27" t="inlineStr"/>
      <c r="J69" s="27" t="inlineStr">
        <is>
          <t>Brand-Anonymized</t>
        </is>
      </c>
      <c r="K69" s="27" t="n">
        <v>200</v>
      </c>
      <c r="L69" s="27" t="n"/>
      <c r="M69" s="27" t="n"/>
      <c r="N69" s="27" t="n"/>
      <c r="O69" s="226" t="inlineStr">
        <is>
          <t>0</t>
        </is>
      </c>
      <c r="P69" s="226" t="inlineStr">
        <is>
          <t>0</t>
        </is>
      </c>
      <c r="Q69" s="226" t="inlineStr">
        <is>
          <t>0</t>
        </is>
      </c>
      <c r="R69" s="226" t="inlineStr">
        <is>
          <t>0</t>
        </is>
      </c>
      <c r="S69" s="226" t="inlineStr">
        <is>
          <t>0</t>
        </is>
      </c>
    </row>
    <row r="70" ht="14" customFormat="1" customHeight="1" s="1">
      <c r="A70" s="231" t="inlineStr">
        <is>
          <t>SKU-F12BD851</t>
        </is>
      </c>
      <c r="B70" s="231" t="n">
        <v>100</v>
      </c>
      <c r="C70" s="19" t="inlineStr">
        <is>
          <t>Product-C8CC2E46</t>
        </is>
      </c>
      <c r="D70" s="231" t="n">
        <v>2</v>
      </c>
      <c r="E70" s="51" t="n">
        <v>1376.414</v>
      </c>
      <c r="F70" s="184" t="n">
        <v>400.5</v>
      </c>
      <c r="G70" s="184" t="n">
        <v>250.388</v>
      </c>
      <c r="H70" s="27" t="inlineStr"/>
      <c r="I70" s="27" t="inlineStr"/>
      <c r="J70" s="27" t="inlineStr">
        <is>
          <t>Brand-Anonymized</t>
        </is>
      </c>
      <c r="K70" s="27" t="n">
        <v>200</v>
      </c>
      <c r="L70" s="27" t="n"/>
      <c r="M70" s="27" t="n"/>
      <c r="N70" s="27" t="n"/>
      <c r="O70" s="226" t="n">
        <v>103</v>
      </c>
      <c r="P70" s="226" t="n">
        <v>103</v>
      </c>
      <c r="Q70" s="226" t="n">
        <v>0</v>
      </c>
      <c r="R70" s="226" t="n">
        <v>103</v>
      </c>
      <c r="S70" s="226" t="n">
        <v>91.5</v>
      </c>
    </row>
    <row r="71" ht="14" customFormat="1" customHeight="1" s="1">
      <c r="A71" s="231" t="inlineStr">
        <is>
          <t>SKU-FBC6A90A</t>
        </is>
      </c>
      <c r="B71" s="231" t="n">
        <v>100</v>
      </c>
      <c r="C71" s="44" t="inlineStr">
        <is>
          <t>Product-6215959E</t>
        </is>
      </c>
      <c r="D71" s="231" t="n">
        <v>1</v>
      </c>
      <c r="E71" s="51" t="n">
        <v>0</v>
      </c>
      <c r="F71" s="184" t="n">
        <v>0</v>
      </c>
      <c r="G71" s="184" t="n">
        <v>0</v>
      </c>
      <c r="H71" s="27" t="inlineStr"/>
      <c r="I71" s="27" t="inlineStr">
        <is>
          <t>标</t>
        </is>
      </c>
      <c r="J71" s="27" t="inlineStr">
        <is>
          <t>Brand-Anonymized</t>
        </is>
      </c>
      <c r="K71" s="27" t="n">
        <v>200</v>
      </c>
      <c r="L71" s="27" t="inlineStr">
        <is>
          <t>C</t>
        </is>
      </c>
      <c r="M71" s="27" t="n"/>
      <c r="N71" s="27" t="n"/>
      <c r="O71" s="226" t="inlineStr">
        <is>
          <t>0</t>
        </is>
      </c>
      <c r="P71" s="226" t="inlineStr">
        <is>
          <t>0</t>
        </is>
      </c>
      <c r="Q71" s="226" t="inlineStr">
        <is>
          <t>0</t>
        </is>
      </c>
      <c r="R71" s="226" t="inlineStr">
        <is>
          <t>0</t>
        </is>
      </c>
      <c r="S71" s="226" t="inlineStr">
        <is>
          <t>0</t>
        </is>
      </c>
    </row>
    <row r="72" ht="14" customFormat="1" customHeight="1" s="1">
      <c r="A72" s="231" t="inlineStr">
        <is>
          <t>SKU-8D50A17D</t>
        </is>
      </c>
      <c r="B72" s="231" t="n">
        <v>100</v>
      </c>
      <c r="C72" s="19" t="inlineStr">
        <is>
          <t>Product-33956506</t>
        </is>
      </c>
      <c r="D72" s="231" t="n">
        <v>1</v>
      </c>
      <c r="E72" s="51" t="n">
        <v>517.522</v>
      </c>
      <c r="F72" s="184" t="n">
        <v>198.5</v>
      </c>
      <c r="G72" s="184" t="n">
        <v>80.20399999999999</v>
      </c>
      <c r="H72" s="27" t="inlineStr">
        <is>
          <t>T</t>
        </is>
      </c>
      <c r="I72" s="27" t="inlineStr">
        <is>
          <t>细</t>
        </is>
      </c>
      <c r="J72" s="27" t="inlineStr">
        <is>
          <t>Brand-Anonymized</t>
        </is>
      </c>
      <c r="K72" s="27" t="n">
        <v>200</v>
      </c>
      <c r="L72" s="27" t="inlineStr">
        <is>
          <t>C</t>
        </is>
      </c>
      <c r="M72" s="27" t="n"/>
      <c r="N72" s="27" t="n"/>
      <c r="O72" s="226" t="n">
        <v>80</v>
      </c>
      <c r="P72" s="226" t="n">
        <v>0</v>
      </c>
      <c r="Q72" s="226" t="n">
        <v>118.5</v>
      </c>
      <c r="R72" s="226" t="n">
        <v>0</v>
      </c>
      <c r="S72" s="226" t="inlineStr">
        <is>
          <t>0</t>
        </is>
      </c>
    </row>
    <row r="73" ht="14" customFormat="1" customHeight="1" s="1">
      <c r="A73" s="231" t="inlineStr">
        <is>
          <t>SKU-685DD3D2</t>
        </is>
      </c>
      <c r="B73" s="231" t="n">
        <v>100</v>
      </c>
      <c r="C73" s="19" t="inlineStr">
        <is>
          <t>Product-F61FD83C</t>
        </is>
      </c>
      <c r="D73" s="231" t="n">
        <v>1</v>
      </c>
      <c r="E73" s="51" t="n">
        <v>1017.006</v>
      </c>
      <c r="F73" s="184" t="n">
        <v>390</v>
      </c>
      <c r="G73" s="184" t="n">
        <v>150.332</v>
      </c>
      <c r="H73" s="27" t="inlineStr"/>
      <c r="I73" s="27" t="inlineStr">
        <is>
          <t>细</t>
        </is>
      </c>
      <c r="J73" s="27" t="inlineStr">
        <is>
          <t>Brand-Anonymized</t>
        </is>
      </c>
      <c r="K73" s="27" t="n">
        <v>200</v>
      </c>
      <c r="L73" s="27" t="inlineStr">
        <is>
          <t>C</t>
        </is>
      </c>
      <c r="M73" s="27" t="n"/>
      <c r="N73" s="27" t="n"/>
      <c r="O73" s="226" t="n">
        <v>100</v>
      </c>
      <c r="P73" s="228" t="n">
        <v>110</v>
      </c>
      <c r="Q73" s="226" t="n">
        <v>0</v>
      </c>
      <c r="R73" s="226" t="n">
        <v>180</v>
      </c>
      <c r="S73" s="226" t="inlineStr">
        <is>
          <t>0</t>
        </is>
      </c>
    </row>
    <row r="74" ht="14" customFormat="1" customHeight="1" s="1">
      <c r="A74" s="231" t="inlineStr">
        <is>
          <t>SKU-55E23DA5</t>
        </is>
      </c>
      <c r="B74" s="231" t="n">
        <v>100</v>
      </c>
      <c r="C74" s="19" t="inlineStr">
        <is>
          <t>Product-7D170E46</t>
        </is>
      </c>
      <c r="D74" s="231" t="n">
        <v>2</v>
      </c>
      <c r="E74" s="51" t="n">
        <v>9202.448</v>
      </c>
      <c r="F74" s="184" t="n">
        <v>2645.5</v>
      </c>
      <c r="G74" s="184" t="n">
        <v>1636.716</v>
      </c>
      <c r="H74" s="27" t="inlineStr"/>
      <c r="I74" s="27" t="inlineStr">
        <is>
          <t>细</t>
        </is>
      </c>
      <c r="J74" s="27" t="inlineStr">
        <is>
          <t>Brand-Anonymized</t>
        </is>
      </c>
      <c r="K74" s="27" t="n">
        <v>200</v>
      </c>
      <c r="L74" s="27" t="inlineStr">
        <is>
          <t>C</t>
        </is>
      </c>
      <c r="M74" s="27" t="n"/>
      <c r="N74" s="27" t="n"/>
      <c r="O74" s="226" t="n">
        <v>550</v>
      </c>
      <c r="P74" s="226" t="n">
        <v>600</v>
      </c>
      <c r="Q74" s="226" t="n">
        <v>550</v>
      </c>
      <c r="R74" s="226" t="n">
        <v>550</v>
      </c>
      <c r="S74" s="226" t="n">
        <v>395.5</v>
      </c>
    </row>
    <row r="75" ht="14" customFormat="1" customHeight="1" s="1">
      <c r="A75" s="231" t="inlineStr">
        <is>
          <t>SKU-07310B8A</t>
        </is>
      </c>
      <c r="B75" s="231" t="n">
        <v>100</v>
      </c>
      <c r="C75" s="19" t="inlineStr">
        <is>
          <t>Product-9FF55A7C</t>
        </is>
      </c>
      <c r="D75" s="231" t="n">
        <v>1</v>
      </c>
      <c r="E75" s="51" t="n">
        <v>57.144</v>
      </c>
      <c r="F75" s="184" t="n">
        <v>4</v>
      </c>
      <c r="G75" s="184" t="n">
        <v>0.208</v>
      </c>
      <c r="H75" s="27" t="inlineStr">
        <is>
          <t>C</t>
        </is>
      </c>
      <c r="I75" s="27" t="inlineStr">
        <is>
          <t>方</t>
        </is>
      </c>
      <c r="J75" s="27" t="inlineStr">
        <is>
          <t>Brand-Anonymized</t>
        </is>
      </c>
      <c r="K75" s="27" t="n">
        <v>200</v>
      </c>
      <c r="L75" s="27" t="inlineStr">
        <is>
          <t>C</t>
        </is>
      </c>
      <c r="M75" s="27" t="n"/>
      <c r="N75" s="27" t="n"/>
      <c r="O75" s="226" t="n">
        <v>0</v>
      </c>
      <c r="P75" s="226" t="n">
        <v>0</v>
      </c>
      <c r="Q75" s="226" t="n">
        <v>4</v>
      </c>
      <c r="R75" s="226" t="n">
        <v>0</v>
      </c>
      <c r="S75" s="226" t="n">
        <v>0</v>
      </c>
    </row>
    <row r="76" ht="14" customFormat="1" customHeight="1" s="1">
      <c r="A76" s="231" t="inlineStr">
        <is>
          <t>SKU-8EBE1AD6</t>
        </is>
      </c>
      <c r="B76" s="231" t="n">
        <v>100</v>
      </c>
      <c r="C76" s="19" t="inlineStr">
        <is>
          <t>Product-9A6C9779</t>
        </is>
      </c>
      <c r="D76" s="231" t="n">
        <v>1</v>
      </c>
      <c r="E76" s="51" t="n">
        <v>566.494</v>
      </c>
      <c r="F76" s="184" t="n">
        <v>247.7</v>
      </c>
      <c r="G76" s="184" t="n">
        <v>76.58799999999999</v>
      </c>
      <c r="H76" s="27" t="inlineStr"/>
      <c r="I76" s="27" t="inlineStr">
        <is>
          <t>细</t>
        </is>
      </c>
      <c r="J76" s="27" t="inlineStr">
        <is>
          <t>Brand-Anonymized</t>
        </is>
      </c>
      <c r="K76" s="27" t="n">
        <v>200</v>
      </c>
      <c r="L76" s="27" t="inlineStr">
        <is>
          <t>C</t>
        </is>
      </c>
      <c r="M76" s="27" t="n"/>
      <c r="N76" s="27" t="n"/>
      <c r="O76" s="226" t="n">
        <v>76</v>
      </c>
      <c r="P76" s="226" t="n">
        <v>84</v>
      </c>
      <c r="Q76" s="226" t="inlineStr">
        <is>
          <t>0</t>
        </is>
      </c>
      <c r="R76" s="226" t="n">
        <v>87.7</v>
      </c>
      <c r="S76" s="226" t="inlineStr">
        <is>
          <t>0</t>
        </is>
      </c>
    </row>
    <row r="77" ht="14" customFormat="1" customHeight="1" s="1">
      <c r="A77" s="231" t="inlineStr">
        <is>
          <t>SKU-06D5C6B5</t>
        </is>
      </c>
      <c r="B77" s="231" t="n">
        <v>100</v>
      </c>
      <c r="C77" s="19" t="inlineStr">
        <is>
          <t>Product-79046E1F</t>
        </is>
      </c>
      <c r="D77" s="231" t="n">
        <v>1</v>
      </c>
      <c r="E77" s="51" t="n">
        <v>13.194</v>
      </c>
      <c r="F77" s="184" t="n">
        <v>5</v>
      </c>
      <c r="G77" s="184" t="n">
        <v>5.888</v>
      </c>
      <c r="H77" s="27" t="inlineStr">
        <is>
          <t>C</t>
        </is>
      </c>
      <c r="I77" s="27" t="inlineStr">
        <is>
          <t>标</t>
        </is>
      </c>
      <c r="J77" s="27" t="inlineStr">
        <is>
          <t>Brand-Anonymized</t>
        </is>
      </c>
      <c r="K77" s="27" t="n">
        <v>200</v>
      </c>
      <c r="L77" s="27" t="inlineStr">
        <is>
          <t>C</t>
        </is>
      </c>
      <c r="M77" s="27" t="n"/>
      <c r="N77" s="27" t="n"/>
      <c r="O77" s="227" t="n">
        <v>5</v>
      </c>
      <c r="P77" s="226" t="n">
        <v>0</v>
      </c>
      <c r="Q77" s="226" t="n">
        <v>0</v>
      </c>
      <c r="R77" s="226" t="n">
        <v>0</v>
      </c>
      <c r="S77" s="226" t="n">
        <v>0</v>
      </c>
    </row>
    <row r="78" ht="14" customFormat="1" customHeight="1" s="1">
      <c r="A78" s="231" t="inlineStr">
        <is>
          <t>SKU-0472D802</t>
        </is>
      </c>
      <c r="B78" s="231" t="n">
        <v>100</v>
      </c>
      <c r="C78" s="19" t="inlineStr">
        <is>
          <t>Product-0EE8F563</t>
        </is>
      </c>
      <c r="D78" s="231" t="n">
        <v>1</v>
      </c>
      <c r="E78" s="51" t="n">
        <v>362.128</v>
      </c>
      <c r="F78" s="184" t="n">
        <v>122</v>
      </c>
      <c r="G78" s="184" t="n">
        <v>44.056</v>
      </c>
      <c r="H78" s="27" t="inlineStr"/>
      <c r="I78" s="27" t="inlineStr">
        <is>
          <t>细</t>
        </is>
      </c>
      <c r="J78" s="27" t="inlineStr">
        <is>
          <t>Brand-Anonymized</t>
        </is>
      </c>
      <c r="K78" s="27" t="n">
        <v>200</v>
      </c>
      <c r="L78" s="27" t="inlineStr">
        <is>
          <t>C</t>
        </is>
      </c>
      <c r="M78" s="27" t="n"/>
      <c r="N78" s="27" t="n"/>
      <c r="O78" s="226" t="inlineStr">
        <is>
          <t>0</t>
        </is>
      </c>
      <c r="P78" s="226" t="n">
        <v>54</v>
      </c>
      <c r="Q78" s="226" t="inlineStr">
        <is>
          <t>0</t>
        </is>
      </c>
      <c r="R78" s="226" t="n">
        <v>68</v>
      </c>
      <c r="S78" s="226" t="inlineStr">
        <is>
          <t>0</t>
        </is>
      </c>
    </row>
    <row r="79" ht="14" customFormat="1" customHeight="1" s="1">
      <c r="A79" s="231" t="inlineStr">
        <is>
          <t>SKU-8992A5AF</t>
        </is>
      </c>
      <c r="B79" s="231" t="n">
        <v>100</v>
      </c>
      <c r="C79" s="19" t="inlineStr">
        <is>
          <t>Product-15073DAA</t>
        </is>
      </c>
      <c r="D79" s="231" t="n">
        <v>1</v>
      </c>
      <c r="E79" s="51" t="n">
        <v>30.98</v>
      </c>
      <c r="F79" s="184" t="n">
        <v>4</v>
      </c>
      <c r="G79" s="184" t="n">
        <v>4.82</v>
      </c>
      <c r="H79" s="27" t="inlineStr">
        <is>
          <t>X</t>
        </is>
      </c>
      <c r="I79" s="27" t="inlineStr">
        <is>
          <t>标</t>
        </is>
      </c>
      <c r="J79" s="27" t="inlineStr">
        <is>
          <t>Brand-Anonymized</t>
        </is>
      </c>
      <c r="K79" s="27" t="n">
        <v>200</v>
      </c>
      <c r="L79" s="27" t="inlineStr">
        <is>
          <t>C</t>
        </is>
      </c>
      <c r="M79" s="27" t="n"/>
      <c r="N79" s="27" t="n"/>
      <c r="O79" s="226" t="n">
        <v>4</v>
      </c>
      <c r="P79" s="226" t="n">
        <v>0</v>
      </c>
      <c r="Q79" s="226" t="n">
        <v>0</v>
      </c>
      <c r="R79" s="226" t="n">
        <v>0</v>
      </c>
      <c r="S79" s="226" t="n">
        <v>0</v>
      </c>
    </row>
    <row r="80" ht="14" customFormat="1" customHeight="1" s="1">
      <c r="A80" s="231" t="inlineStr">
        <is>
          <t>SKU-9DFEFE7F</t>
        </is>
      </c>
      <c r="B80" s="231" t="n">
        <v>100</v>
      </c>
      <c r="C80" s="19" t="inlineStr">
        <is>
          <t>Product-14B419F6</t>
        </is>
      </c>
      <c r="D80" s="231" t="n">
        <v>1</v>
      </c>
      <c r="E80" s="51" t="n">
        <v>76.77800000000001</v>
      </c>
      <c r="F80" s="184" t="n">
        <v>22</v>
      </c>
      <c r="G80" s="184" t="n">
        <v>11.376</v>
      </c>
      <c r="H80" s="27" t="inlineStr">
        <is>
          <t>X</t>
        </is>
      </c>
      <c r="I80" s="27" t="inlineStr">
        <is>
          <t>细</t>
        </is>
      </c>
      <c r="J80" s="27" t="inlineStr">
        <is>
          <t>Brand-Anonymized</t>
        </is>
      </c>
      <c r="K80" s="27" t="n">
        <v>200</v>
      </c>
      <c r="L80" s="27" t="inlineStr">
        <is>
          <t>C</t>
        </is>
      </c>
      <c r="M80" s="27" t="n"/>
      <c r="N80" s="27" t="n"/>
      <c r="O80" s="226" t="n">
        <v>0</v>
      </c>
      <c r="P80" s="226" t="n">
        <v>0</v>
      </c>
      <c r="Q80" s="226" t="n">
        <v>0</v>
      </c>
      <c r="R80" s="226" t="n">
        <v>22</v>
      </c>
      <c r="S80" s="226" t="n">
        <v>0</v>
      </c>
    </row>
    <row r="81" ht="14" customFormat="1" customHeight="1" s="1">
      <c r="A81" s="231" t="inlineStr">
        <is>
          <t>SKU-707B6E8A</t>
        </is>
      </c>
      <c r="B81" s="231" t="n">
        <v>100</v>
      </c>
      <c r="C81" s="19" t="inlineStr">
        <is>
          <t>Product-069A5966</t>
        </is>
      </c>
      <c r="D81" s="231" t="n">
        <v>1</v>
      </c>
      <c r="E81" s="51" t="n">
        <v>60.162</v>
      </c>
      <c r="F81" s="184" t="n">
        <v>4</v>
      </c>
      <c r="G81" s="184" t="n">
        <v>4.404</v>
      </c>
      <c r="H81" s="27" t="inlineStr">
        <is>
          <t>X</t>
        </is>
      </c>
      <c r="I81" s="27" t="inlineStr">
        <is>
          <t>标</t>
        </is>
      </c>
      <c r="J81" s="27" t="inlineStr">
        <is>
          <t>Brand-Anonymized</t>
        </is>
      </c>
      <c r="K81" s="27" t="n">
        <v>200</v>
      </c>
      <c r="L81" s="27" t="inlineStr">
        <is>
          <t>C</t>
        </is>
      </c>
      <c r="M81" s="27" t="n"/>
      <c r="N81" s="27" t="n"/>
      <c r="O81" s="226" t="n">
        <v>4</v>
      </c>
      <c r="P81" s="226" t="n">
        <v>0</v>
      </c>
      <c r="Q81" s="226" t="n">
        <v>0</v>
      </c>
      <c r="R81" s="226" t="n">
        <v>0</v>
      </c>
      <c r="S81" s="226" t="n">
        <v>0</v>
      </c>
    </row>
    <row r="82" ht="14" customFormat="1" customHeight="1" s="1">
      <c r="A82" s="231" t="inlineStr">
        <is>
          <t>SKU-5969B13C</t>
        </is>
      </c>
      <c r="B82" s="231" t="n">
        <v>100</v>
      </c>
      <c r="C82" s="19" t="inlineStr">
        <is>
          <t>Product-D41D58A6</t>
        </is>
      </c>
      <c r="D82" s="231" t="n">
        <v>1</v>
      </c>
      <c r="E82" s="51" t="n">
        <v>49.67</v>
      </c>
      <c r="F82" s="184" t="n">
        <v>17.3</v>
      </c>
      <c r="G82" s="184" t="n">
        <v>16.7</v>
      </c>
      <c r="H82" s="27" t="inlineStr"/>
      <c r="I82" s="27" t="inlineStr"/>
      <c r="J82" s="27" t="inlineStr">
        <is>
          <t>Brand-Anonymized</t>
        </is>
      </c>
      <c r="K82" s="27" t="n">
        <v>200</v>
      </c>
      <c r="L82" s="27" t="n"/>
      <c r="M82" s="27" t="n"/>
      <c r="N82" s="27" t="n"/>
      <c r="O82" s="226" t="inlineStr">
        <is>
          <t>0</t>
        </is>
      </c>
      <c r="P82" s="226" t="n">
        <v>16.3</v>
      </c>
      <c r="Q82" s="226" t="inlineStr">
        <is>
          <t>0</t>
        </is>
      </c>
      <c r="R82" s="226" t="n">
        <v>1</v>
      </c>
      <c r="S82" s="226" t="inlineStr">
        <is>
          <t>0</t>
        </is>
      </c>
    </row>
    <row r="83" ht="14" customFormat="1" customHeight="1" s="1">
      <c r="A83" s="231" t="inlineStr">
        <is>
          <t>SKU-54FF462C</t>
        </is>
      </c>
      <c r="B83" s="231" t="n">
        <v>100</v>
      </c>
      <c r="C83" s="19" t="inlineStr">
        <is>
          <t>Product-61A907C6</t>
        </is>
      </c>
      <c r="D83" s="231" t="n">
        <v>1</v>
      </c>
      <c r="E83" s="51" t="n">
        <v>281.698</v>
      </c>
      <c r="F83" s="184" t="n">
        <v>114.2</v>
      </c>
      <c r="G83" s="184" t="n">
        <v>44.696</v>
      </c>
      <c r="H83" s="27" t="inlineStr"/>
      <c r="I83" s="27" t="inlineStr"/>
      <c r="J83" s="27" t="inlineStr">
        <is>
          <t>Brand-Anonymized</t>
        </is>
      </c>
      <c r="K83" s="27" t="n">
        <v>200</v>
      </c>
      <c r="L83" s="27" t="n"/>
      <c r="M83" s="27" t="n"/>
      <c r="N83" s="27" t="n"/>
      <c r="O83" s="226" t="inlineStr">
        <is>
          <t>0</t>
        </is>
      </c>
      <c r="P83" s="228" t="n">
        <v>107.2</v>
      </c>
      <c r="Q83" s="226" t="n">
        <v>0</v>
      </c>
      <c r="R83" s="226" t="n">
        <v>7</v>
      </c>
      <c r="S83" s="226" t="inlineStr">
        <is>
          <t>0</t>
        </is>
      </c>
    </row>
    <row r="84" ht="14" customFormat="1" customHeight="1" s="1">
      <c r="A84" s="231" t="inlineStr">
        <is>
          <t>SKU-124FFA8F</t>
        </is>
      </c>
      <c r="B84" s="231" t="n">
        <v>100</v>
      </c>
      <c r="C84" s="33" t="inlineStr">
        <is>
          <t>Product-D911580D</t>
        </is>
      </c>
      <c r="D84" s="231" t="n">
        <v>1</v>
      </c>
      <c r="E84" s="51" t="n">
        <v>0</v>
      </c>
      <c r="F84" s="184" t="n">
        <v>0</v>
      </c>
      <c r="G84" s="184" t="n">
        <v>0</v>
      </c>
      <c r="H84" s="27" t="inlineStr"/>
      <c r="I84" s="27" t="inlineStr"/>
      <c r="J84" s="27" t="inlineStr">
        <is>
          <t>Brand-Anonymized</t>
        </is>
      </c>
      <c r="K84" s="27" t="n">
        <v>200</v>
      </c>
      <c r="L84" s="27" t="n"/>
      <c r="M84" s="27" t="n"/>
      <c r="N84" s="27" t="n"/>
      <c r="O84" s="226" t="inlineStr">
        <is>
          <t>0</t>
        </is>
      </c>
      <c r="P84" s="226" t="inlineStr">
        <is>
          <t>0</t>
        </is>
      </c>
      <c r="Q84" s="226" t="inlineStr">
        <is>
          <t>0</t>
        </is>
      </c>
      <c r="R84" s="226" t="inlineStr">
        <is>
          <t>0</t>
        </is>
      </c>
      <c r="S84" s="226" t="inlineStr">
        <is>
          <t>0</t>
        </is>
      </c>
    </row>
    <row r="85" ht="14" customFormat="1" customHeight="1" s="1">
      <c r="A85" s="231" t="inlineStr">
        <is>
          <t>SKU-AA4E2A39</t>
        </is>
      </c>
      <c r="B85" s="231" t="n">
        <v>100</v>
      </c>
      <c r="C85" s="33" t="inlineStr">
        <is>
          <t>Product-702B5290</t>
        </is>
      </c>
      <c r="D85" s="231" t="n">
        <v>1</v>
      </c>
      <c r="E85" s="51" t="n">
        <v>0</v>
      </c>
      <c r="F85" s="184" t="n">
        <v>0</v>
      </c>
      <c r="G85" s="184" t="n">
        <v>0</v>
      </c>
      <c r="H85" s="27" t="inlineStr"/>
      <c r="I85" s="27" t="inlineStr">
        <is>
          <t>方</t>
        </is>
      </c>
      <c r="J85" s="27" t="inlineStr">
        <is>
          <t>Brand-Anonymized</t>
        </is>
      </c>
      <c r="K85" s="27" t="n">
        <v>200</v>
      </c>
      <c r="L85" s="27" t="inlineStr">
        <is>
          <t>C</t>
        </is>
      </c>
      <c r="M85" s="27" t="n"/>
      <c r="N85" s="27" t="n"/>
      <c r="O85" s="226" t="inlineStr">
        <is>
          <t>0</t>
        </is>
      </c>
      <c r="P85" s="226" t="inlineStr">
        <is>
          <t>0</t>
        </is>
      </c>
      <c r="Q85" s="226" t="inlineStr">
        <is>
          <t>0</t>
        </is>
      </c>
      <c r="R85" s="226" t="inlineStr">
        <is>
          <t>0</t>
        </is>
      </c>
      <c r="S85" s="226" t="inlineStr">
        <is>
          <t>0</t>
        </is>
      </c>
    </row>
    <row r="86" ht="14" customFormat="1" customHeight="1" s="1">
      <c r="A86" s="231" t="inlineStr">
        <is>
          <t>SKU-913263BA</t>
        </is>
      </c>
      <c r="B86" s="231" t="n">
        <v>100</v>
      </c>
      <c r="C86" s="19" t="inlineStr">
        <is>
          <t>Product-702B5290</t>
        </is>
      </c>
      <c r="D86" s="231" t="n">
        <v>1</v>
      </c>
      <c r="E86" s="51" t="n">
        <v>60.372</v>
      </c>
      <c r="F86" s="184" t="n">
        <v>15</v>
      </c>
      <c r="G86" s="184" t="n">
        <v>15.924</v>
      </c>
      <c r="H86" s="27" t="inlineStr">
        <is>
          <t>X</t>
        </is>
      </c>
      <c r="I86" s="27" t="inlineStr">
        <is>
          <t>长</t>
        </is>
      </c>
      <c r="J86" s="27" t="inlineStr">
        <is>
          <t>Brand-Anonymized</t>
        </is>
      </c>
      <c r="K86" s="27" t="n">
        <v>200</v>
      </c>
      <c r="L86" s="27" t="inlineStr">
        <is>
          <t>C</t>
        </is>
      </c>
      <c r="M86" s="27" t="n"/>
      <c r="N86" s="27" t="n"/>
      <c r="O86" s="226" t="n">
        <v>0</v>
      </c>
      <c r="P86" s="226" t="n">
        <v>15</v>
      </c>
      <c r="Q86" s="226" t="n">
        <v>0</v>
      </c>
      <c r="R86" s="226" t="n">
        <v>0</v>
      </c>
      <c r="S86" s="226" t="n">
        <v>0</v>
      </c>
    </row>
    <row r="87" ht="14" customFormat="1" customHeight="1" s="1">
      <c r="A87" s="231" t="inlineStr">
        <is>
          <t>SKU-C3332279</t>
        </is>
      </c>
      <c r="B87" s="231" t="n">
        <v>100</v>
      </c>
      <c r="C87" s="19" t="inlineStr">
        <is>
          <t>Product-DBF6F56C</t>
        </is>
      </c>
      <c r="D87" s="231" t="n">
        <v>2</v>
      </c>
      <c r="E87" s="51" t="n">
        <v>6585.416</v>
      </c>
      <c r="F87" s="184" t="n">
        <v>1920.5</v>
      </c>
      <c r="G87" s="184" t="n">
        <v>1116.692</v>
      </c>
      <c r="H87" s="27" t="inlineStr">
        <is>
          <t>T</t>
        </is>
      </c>
      <c r="I87" s="27" t="inlineStr"/>
      <c r="J87" s="27" t="inlineStr">
        <is>
          <t>Brand-Anonymized</t>
        </is>
      </c>
      <c r="K87" s="27" t="n">
        <v>200</v>
      </c>
      <c r="L87" s="27" t="n"/>
      <c r="M87" s="27" t="n"/>
      <c r="N87" s="27" t="n"/>
      <c r="O87" s="226" t="n">
        <v>330</v>
      </c>
      <c r="P87" s="226" t="n">
        <v>450</v>
      </c>
      <c r="Q87" s="226" t="n">
        <v>432</v>
      </c>
      <c r="R87" s="226" t="n">
        <v>427</v>
      </c>
      <c r="S87" s="226" t="n">
        <v>281.5</v>
      </c>
    </row>
    <row r="88" ht="14" customFormat="1" customHeight="1" s="1">
      <c r="A88" s="231" t="inlineStr">
        <is>
          <t>SKU-98BD550F</t>
        </is>
      </c>
      <c r="B88" s="231" t="n">
        <v>100</v>
      </c>
      <c r="C88" s="19" t="inlineStr">
        <is>
          <t>Product-63C67A59</t>
        </is>
      </c>
      <c r="D88" s="231" t="n">
        <v>1</v>
      </c>
      <c r="E88" s="51" t="n">
        <v>742.332</v>
      </c>
      <c r="F88" s="184" t="n">
        <v>263.3</v>
      </c>
      <c r="G88" s="184" t="n">
        <v>97.464</v>
      </c>
      <c r="H88" s="27" t="inlineStr"/>
      <c r="I88" s="27" t="inlineStr"/>
      <c r="J88" s="27" t="inlineStr">
        <is>
          <t>Brand-Anonymized</t>
        </is>
      </c>
      <c r="K88" s="27" t="n">
        <v>200</v>
      </c>
      <c r="L88" s="27" t="n"/>
      <c r="M88" s="27" t="n"/>
      <c r="N88" s="27" t="n"/>
      <c r="O88" s="226" t="n">
        <v>80</v>
      </c>
      <c r="P88" s="226" t="n">
        <v>0</v>
      </c>
      <c r="Q88" s="226" t="n">
        <v>81</v>
      </c>
      <c r="R88" s="226" t="n">
        <v>102.3</v>
      </c>
      <c r="S88" s="226" t="inlineStr">
        <is>
          <t>0</t>
        </is>
      </c>
    </row>
    <row r="89" ht="14" customFormat="1" customHeight="1" s="1">
      <c r="A89" s="231" t="inlineStr">
        <is>
          <t>SKU-9165C4CC</t>
        </is>
      </c>
      <c r="B89" s="231" t="n">
        <v>100</v>
      </c>
      <c r="C89" s="44" t="inlineStr">
        <is>
          <t>Product-4EAD9177</t>
        </is>
      </c>
      <c r="D89" s="231" t="n">
        <v>2</v>
      </c>
      <c r="E89" s="51" t="n">
        <v>0</v>
      </c>
      <c r="F89" s="184" t="n">
        <v>0</v>
      </c>
      <c r="G89" s="184" t="n">
        <v>0</v>
      </c>
      <c r="H89" s="27" t="inlineStr"/>
      <c r="I89" s="27" t="inlineStr"/>
      <c r="J89" s="27" t="inlineStr">
        <is>
          <t>Brand-Anonymized</t>
        </is>
      </c>
      <c r="K89" s="27" t="n">
        <v>200</v>
      </c>
      <c r="L89" s="27" t="n"/>
      <c r="M89" s="27" t="n"/>
      <c r="N89" s="27" t="n"/>
      <c r="O89" s="226" t="inlineStr">
        <is>
          <t>0</t>
        </is>
      </c>
      <c r="P89" s="226" t="inlineStr">
        <is>
          <t>0</t>
        </is>
      </c>
      <c r="Q89" s="226" t="inlineStr">
        <is>
          <t>0</t>
        </is>
      </c>
      <c r="R89" s="226" t="inlineStr">
        <is>
          <t>0</t>
        </is>
      </c>
      <c r="S89" s="226" t="inlineStr">
        <is>
          <t>0</t>
        </is>
      </c>
    </row>
    <row r="90" ht="14" customFormat="1" customHeight="1" s="1">
      <c r="A90" s="231" t="inlineStr">
        <is>
          <t>SKU-7B3379FF</t>
        </is>
      </c>
      <c r="B90" s="231" t="n">
        <v>100</v>
      </c>
      <c r="C90" s="19" t="inlineStr">
        <is>
          <t>Product-B1B25B5B</t>
        </is>
      </c>
      <c r="D90" s="231" t="n">
        <v>1</v>
      </c>
      <c r="E90" s="51" t="n">
        <v>336.174</v>
      </c>
      <c r="F90" s="184" t="n">
        <v>107.1</v>
      </c>
      <c r="G90" s="184" t="n">
        <v>55.128</v>
      </c>
      <c r="H90" s="27" t="inlineStr"/>
      <c r="I90" s="27" t="inlineStr"/>
      <c r="J90" s="27" t="inlineStr">
        <is>
          <t>Brand-Anonymized</t>
        </is>
      </c>
      <c r="K90" s="27" t="n">
        <v>200</v>
      </c>
      <c r="L90" s="27" t="n"/>
      <c r="M90" s="27" t="n"/>
      <c r="N90" s="27" t="n"/>
      <c r="O90" s="226" t="n">
        <v>50</v>
      </c>
      <c r="P90" s="226" t="inlineStr">
        <is>
          <t>0</t>
        </is>
      </c>
      <c r="Q90" s="226" t="inlineStr">
        <is>
          <t>0</t>
        </is>
      </c>
      <c r="R90" s="226" t="n">
        <v>57.1</v>
      </c>
      <c r="S90" s="226" t="inlineStr">
        <is>
          <t>0</t>
        </is>
      </c>
    </row>
    <row r="91" ht="14" customFormat="1" customHeight="1" s="1">
      <c r="A91" s="231" t="inlineStr">
        <is>
          <t>SKU-32F1EBAD</t>
        </is>
      </c>
      <c r="B91" s="231" t="n">
        <v>100</v>
      </c>
      <c r="C91" s="19" t="inlineStr">
        <is>
          <t>Product-1D056F53</t>
        </is>
      </c>
      <c r="D91" s="231" t="n">
        <v>1</v>
      </c>
      <c r="E91" s="51" t="n">
        <v>751.022</v>
      </c>
      <c r="F91" s="184" t="n">
        <v>255.8</v>
      </c>
      <c r="G91" s="184" t="n">
        <v>78.464</v>
      </c>
      <c r="H91" s="27" t="inlineStr"/>
      <c r="I91" s="27" t="inlineStr"/>
      <c r="J91" s="27" t="inlineStr">
        <is>
          <t>Brand-Anonymized</t>
        </is>
      </c>
      <c r="K91" s="27" t="n">
        <v>200</v>
      </c>
      <c r="L91" s="27" t="n"/>
      <c r="M91" s="27" t="n"/>
      <c r="N91" s="27" t="n"/>
      <c r="O91" s="226" t="n">
        <v>0</v>
      </c>
      <c r="P91" s="226" t="n">
        <v>62</v>
      </c>
      <c r="Q91" s="226" t="n">
        <v>123</v>
      </c>
      <c r="R91" s="226" t="n">
        <v>70.8</v>
      </c>
      <c r="S91" s="226" t="inlineStr">
        <is>
          <t>0</t>
        </is>
      </c>
    </row>
    <row r="92" ht="14" customFormat="1" customHeight="1" s="1">
      <c r="A92" s="231" t="inlineStr">
        <is>
          <t>SKU-94863575</t>
        </is>
      </c>
      <c r="B92" s="231" t="n">
        <v>100</v>
      </c>
      <c r="C92" s="19" t="inlineStr">
        <is>
          <t>Product-ED96D303</t>
        </is>
      </c>
      <c r="D92" s="231" t="n">
        <v>1</v>
      </c>
      <c r="E92" s="51" t="n">
        <v>-46.18</v>
      </c>
      <c r="F92" s="184" t="n">
        <v>0</v>
      </c>
      <c r="G92" s="184" t="n">
        <v>0</v>
      </c>
      <c r="H92" s="27" t="inlineStr">
        <is>
          <t>C</t>
        </is>
      </c>
      <c r="I92" s="27" t="inlineStr">
        <is>
          <t>标</t>
        </is>
      </c>
      <c r="J92" s="27" t="inlineStr">
        <is>
          <t>Brand-Anonymized</t>
        </is>
      </c>
      <c r="K92" s="27" t="n">
        <v>200</v>
      </c>
      <c r="L92" s="27" t="inlineStr">
        <is>
          <t>C</t>
        </is>
      </c>
      <c r="M92" s="27" t="n"/>
      <c r="N92" s="27" t="n"/>
      <c r="O92" s="226" t="n">
        <v>0</v>
      </c>
      <c r="P92" s="226" t="n">
        <v>0</v>
      </c>
      <c r="Q92" s="226" t="n">
        <v>0</v>
      </c>
      <c r="R92" s="226" t="n">
        <v>0</v>
      </c>
      <c r="S92" s="226" t="n">
        <v>0</v>
      </c>
    </row>
    <row r="93" ht="14" customFormat="1" customHeight="1" s="1">
      <c r="A93" s="231" t="inlineStr">
        <is>
          <t>SKU-2FCA7D22</t>
        </is>
      </c>
      <c r="B93" s="231" t="n">
        <v>100</v>
      </c>
      <c r="C93" s="19" t="inlineStr">
        <is>
          <t>Product-7CFF1ED9</t>
        </is>
      </c>
      <c r="D93" s="231" t="n">
        <v>1</v>
      </c>
      <c r="E93" s="51" t="n">
        <v>386.996</v>
      </c>
      <c r="F93" s="184" t="n">
        <v>121.6</v>
      </c>
      <c r="G93" s="184" t="n">
        <v>45.912</v>
      </c>
      <c r="H93" s="27" t="inlineStr"/>
      <c r="I93" s="27" t="inlineStr"/>
      <c r="J93" s="27" t="inlineStr">
        <is>
          <t>Brand-Anonymized</t>
        </is>
      </c>
      <c r="K93" s="27" t="n">
        <v>200</v>
      </c>
      <c r="L93" s="27" t="n"/>
      <c r="M93" s="27" t="n"/>
      <c r="N93" s="27" t="n"/>
      <c r="O93" s="226" t="inlineStr">
        <is>
          <t>0</t>
        </is>
      </c>
      <c r="P93" s="226" t="n">
        <v>57</v>
      </c>
      <c r="Q93" s="226" t="inlineStr">
        <is>
          <t>0</t>
        </is>
      </c>
      <c r="R93" s="226" t="n">
        <v>64.59999999999999</v>
      </c>
      <c r="S93" s="226" t="inlineStr">
        <is>
          <t>0</t>
        </is>
      </c>
    </row>
    <row r="94" ht="14" customFormat="1" customHeight="1" s="1">
      <c r="A94" s="231" t="inlineStr">
        <is>
          <t>SKU-2B469B0C</t>
        </is>
      </c>
      <c r="B94" s="231" t="n">
        <v>100</v>
      </c>
      <c r="C94" s="19" t="inlineStr">
        <is>
          <t>Product-782A1545</t>
        </is>
      </c>
      <c r="D94" s="231" t="n">
        <v>1</v>
      </c>
      <c r="E94" s="51" t="n">
        <v>382.928</v>
      </c>
      <c r="F94" s="184" t="n">
        <v>100</v>
      </c>
      <c r="G94" s="184" t="n">
        <v>102.816</v>
      </c>
      <c r="H94" s="27" t="inlineStr"/>
      <c r="I94" s="27" t="inlineStr">
        <is>
          <t>细</t>
        </is>
      </c>
      <c r="J94" s="27" t="inlineStr">
        <is>
          <t>Brand-Anonymized</t>
        </is>
      </c>
      <c r="K94" s="27" t="n">
        <v>200</v>
      </c>
      <c r="L94" s="27" t="inlineStr">
        <is>
          <t>C</t>
        </is>
      </c>
      <c r="M94" s="27" t="n"/>
      <c r="N94" s="27" t="n"/>
      <c r="O94" s="226" t="n">
        <v>50</v>
      </c>
      <c r="P94" s="226" t="n">
        <v>50</v>
      </c>
      <c r="Q94" s="226" t="n">
        <v>0</v>
      </c>
      <c r="R94" s="226" t="inlineStr">
        <is>
          <t>0</t>
        </is>
      </c>
      <c r="S94" s="226" t="inlineStr">
        <is>
          <t>0</t>
        </is>
      </c>
    </row>
    <row r="95" ht="14" customFormat="1" customHeight="1" s="1">
      <c r="A95" s="231" t="inlineStr">
        <is>
          <t>SKU-D352A232</t>
        </is>
      </c>
      <c r="B95" s="231" t="n">
        <v>100</v>
      </c>
      <c r="C95" s="33" t="inlineStr">
        <is>
          <t>Product-6DB46461</t>
        </is>
      </c>
      <c r="D95" s="231" t="n">
        <v>1</v>
      </c>
      <c r="E95" s="51" t="n">
        <v>0</v>
      </c>
      <c r="F95" s="184" t="n">
        <v>0</v>
      </c>
      <c r="G95" s="184" t="n">
        <v>0</v>
      </c>
      <c r="H95" s="27" t="inlineStr"/>
      <c r="I95" s="27" t="inlineStr">
        <is>
          <t>标</t>
        </is>
      </c>
      <c r="J95" s="27" t="inlineStr">
        <is>
          <t>Brand-Anonymized</t>
        </is>
      </c>
      <c r="K95" s="27" t="n">
        <v>200</v>
      </c>
      <c r="L95" s="27" t="inlineStr">
        <is>
          <t>C</t>
        </is>
      </c>
      <c r="M95" s="27" t="n"/>
      <c r="N95" s="27" t="n"/>
      <c r="O95" s="226" t="inlineStr">
        <is>
          <t>0</t>
        </is>
      </c>
      <c r="P95" s="226" t="inlineStr">
        <is>
          <t>0</t>
        </is>
      </c>
      <c r="Q95" s="226" t="inlineStr">
        <is>
          <t>0</t>
        </is>
      </c>
      <c r="R95" s="226" t="inlineStr">
        <is>
          <t>0</t>
        </is>
      </c>
      <c r="S95" s="226" t="inlineStr">
        <is>
          <t>0</t>
        </is>
      </c>
    </row>
    <row r="96" ht="14" customFormat="1" customHeight="1" s="1">
      <c r="A96" s="231" t="inlineStr">
        <is>
          <t>SKU-497F1297</t>
        </is>
      </c>
      <c r="B96" s="231" t="n">
        <v>100</v>
      </c>
      <c r="C96" s="19" t="inlineStr">
        <is>
          <t>Product-FC06EE76</t>
        </is>
      </c>
      <c r="D96" s="231" t="n">
        <v>1</v>
      </c>
      <c r="E96" s="51" t="n">
        <v>1349.832</v>
      </c>
      <c r="F96" s="184" t="n">
        <v>462.5</v>
      </c>
      <c r="G96" s="184" t="n">
        <v>187.964</v>
      </c>
      <c r="H96" s="27" t="inlineStr">
        <is>
          <t>T</t>
        </is>
      </c>
      <c r="I96" s="27" t="inlineStr">
        <is>
          <t>标</t>
        </is>
      </c>
      <c r="J96" s="27" t="inlineStr">
        <is>
          <t>Brand-Anonymized</t>
        </is>
      </c>
      <c r="K96" s="27" t="n">
        <v>200</v>
      </c>
      <c r="L96" s="27" t="inlineStr">
        <is>
          <t>C</t>
        </is>
      </c>
      <c r="M96" s="27" t="n"/>
      <c r="N96" s="27" t="n"/>
      <c r="O96" s="226" t="n">
        <v>130</v>
      </c>
      <c r="P96" s="226" t="inlineStr">
        <is>
          <t>0</t>
        </is>
      </c>
      <c r="Q96" s="226" t="n">
        <v>115</v>
      </c>
      <c r="R96" s="226" t="n">
        <v>115</v>
      </c>
      <c r="S96" s="226" t="n">
        <v>102.5</v>
      </c>
    </row>
    <row r="97" ht="14" customFormat="1" customHeight="1" s="1">
      <c r="A97" s="231" t="inlineStr">
        <is>
          <t>SKU-E6463606</t>
        </is>
      </c>
      <c r="B97" s="231" t="n">
        <v>100</v>
      </c>
      <c r="C97" s="44" t="inlineStr">
        <is>
          <t>Product-348068FF</t>
        </is>
      </c>
      <c r="D97" s="231" t="n">
        <v>1</v>
      </c>
      <c r="E97" s="51" t="n">
        <v>0</v>
      </c>
      <c r="F97" s="184" t="n">
        <v>0</v>
      </c>
      <c r="G97" s="184" t="n">
        <v>0</v>
      </c>
      <c r="H97" s="27" t="inlineStr"/>
      <c r="I97" s="27" t="inlineStr">
        <is>
          <t>标</t>
        </is>
      </c>
      <c r="J97" s="27" t="inlineStr">
        <is>
          <t>Brand-Anonymized</t>
        </is>
      </c>
      <c r="K97" s="27" t="n">
        <v>200</v>
      </c>
      <c r="L97" s="27" t="inlineStr">
        <is>
          <t>C</t>
        </is>
      </c>
      <c r="M97" s="27" t="n"/>
      <c r="N97" s="27" t="n"/>
      <c r="O97" s="226" t="inlineStr">
        <is>
          <t>0</t>
        </is>
      </c>
      <c r="P97" s="226" t="inlineStr">
        <is>
          <t>0</t>
        </is>
      </c>
      <c r="Q97" s="226" t="inlineStr">
        <is>
          <t>0</t>
        </is>
      </c>
      <c r="R97" s="226" t="inlineStr">
        <is>
          <t>0</t>
        </is>
      </c>
      <c r="S97" s="226" t="inlineStr">
        <is>
          <t>0</t>
        </is>
      </c>
    </row>
    <row r="98" ht="14" customFormat="1" customHeight="1" s="1">
      <c r="A98" s="231" t="inlineStr">
        <is>
          <t>SKU-8EB26120</t>
        </is>
      </c>
      <c r="B98" s="231" t="n">
        <v>100</v>
      </c>
      <c r="C98" s="19" t="inlineStr">
        <is>
          <t>Product-73F3BBE5</t>
        </is>
      </c>
      <c r="D98" s="231" t="n">
        <v>1</v>
      </c>
      <c r="E98" s="51" t="n">
        <v>121.174</v>
      </c>
      <c r="F98" s="184" t="n">
        <v>15</v>
      </c>
      <c r="G98" s="184" t="n">
        <v>0.768000000000002</v>
      </c>
      <c r="H98" s="27" t="inlineStr">
        <is>
          <t>C</t>
        </is>
      </c>
      <c r="I98" s="27" t="inlineStr">
        <is>
          <t>标</t>
        </is>
      </c>
      <c r="J98" s="27" t="inlineStr">
        <is>
          <t>Brand-Anonymized</t>
        </is>
      </c>
      <c r="K98" s="27" t="n">
        <v>200</v>
      </c>
      <c r="L98" s="27" t="inlineStr">
        <is>
          <t>C</t>
        </is>
      </c>
      <c r="M98" s="27" t="n"/>
      <c r="N98" s="27" t="n"/>
      <c r="O98" s="226" t="n">
        <v>0</v>
      </c>
      <c r="P98" s="226" t="n">
        <v>7.5</v>
      </c>
      <c r="Q98" s="226" t="n">
        <v>0</v>
      </c>
      <c r="R98" s="226" t="n">
        <v>7.5</v>
      </c>
      <c r="S98" s="226" t="n">
        <v>0</v>
      </c>
    </row>
    <row r="99" ht="14" customFormat="1" customHeight="1" s="1">
      <c r="A99" s="231" t="inlineStr">
        <is>
          <t>SKU-8515A26A</t>
        </is>
      </c>
      <c r="B99" s="231" t="n">
        <v>100</v>
      </c>
      <c r="C99" s="19" t="inlineStr">
        <is>
          <t>Product-2C6E1A8D</t>
        </is>
      </c>
      <c r="D99" s="231" t="n">
        <v>1</v>
      </c>
      <c r="E99" s="51" t="n">
        <v>109.34</v>
      </c>
      <c r="F99" s="184" t="n">
        <v>40</v>
      </c>
      <c r="G99" s="184" t="n">
        <v>1.64</v>
      </c>
      <c r="H99" s="27" t="inlineStr">
        <is>
          <t>X</t>
        </is>
      </c>
      <c r="I99" s="27" t="inlineStr">
        <is>
          <t>方</t>
        </is>
      </c>
      <c r="J99" s="27" t="inlineStr">
        <is>
          <t>Brand-Anonymized</t>
        </is>
      </c>
      <c r="K99" s="27" t="n">
        <v>200</v>
      </c>
      <c r="L99" s="27" t="inlineStr">
        <is>
          <t>C</t>
        </is>
      </c>
      <c r="M99" s="27" t="n"/>
      <c r="N99" s="27" t="n"/>
      <c r="O99" s="226" t="n">
        <v>0</v>
      </c>
      <c r="P99" s="226" t="n">
        <v>0</v>
      </c>
      <c r="Q99" s="229" t="n">
        <v>0</v>
      </c>
      <c r="R99" s="229" t="n">
        <v>40</v>
      </c>
      <c r="S99" s="226" t="n">
        <v>0</v>
      </c>
    </row>
    <row r="100" ht="14" customFormat="1" customHeight="1" s="1">
      <c r="A100" s="231" t="inlineStr">
        <is>
          <t>SKU-2164A7E1</t>
        </is>
      </c>
      <c r="B100" s="231" t="n">
        <v>100</v>
      </c>
      <c r="C100" s="19" t="inlineStr">
        <is>
          <t>Product-E6A26B29</t>
        </is>
      </c>
      <c r="D100" s="231" t="n">
        <v>1</v>
      </c>
      <c r="E100" s="51" t="n">
        <v>1147.426</v>
      </c>
      <c r="F100" s="184" t="n">
        <v>400</v>
      </c>
      <c r="G100" s="184" t="n">
        <v>162.192</v>
      </c>
      <c r="H100" s="27" t="inlineStr">
        <is>
          <t>X</t>
        </is>
      </c>
      <c r="I100" s="27" t="inlineStr"/>
      <c r="J100" s="27" t="inlineStr">
        <is>
          <t>Brand-Anonymized</t>
        </is>
      </c>
      <c r="K100" s="27" t="n">
        <v>200</v>
      </c>
      <c r="L100" s="27" t="n"/>
      <c r="M100" s="27" t="n"/>
      <c r="N100" s="27" t="n"/>
      <c r="O100" s="226" t="n">
        <v>80</v>
      </c>
      <c r="P100" s="226" t="n">
        <v>80</v>
      </c>
      <c r="Q100" s="226" t="n">
        <v>80</v>
      </c>
      <c r="R100" s="226" t="n">
        <v>80</v>
      </c>
      <c r="S100" s="226" t="n">
        <v>80</v>
      </c>
    </row>
    <row r="101" ht="14" customFormat="1" customHeight="1" s="1">
      <c r="A101" s="231" t="inlineStr">
        <is>
          <t>SKU-C3DF57B7</t>
        </is>
      </c>
      <c r="B101" s="231" t="n">
        <v>100</v>
      </c>
      <c r="C101" s="19" t="inlineStr">
        <is>
          <t>Product-79AFFC5E</t>
        </is>
      </c>
      <c r="D101" s="231" t="n">
        <v>1</v>
      </c>
      <c r="E101" s="51" t="n">
        <v>115.146</v>
      </c>
      <c r="F101" s="184" t="n">
        <v>45</v>
      </c>
      <c r="G101" s="184" t="n">
        <v>0.632</v>
      </c>
      <c r="H101" s="27" t="inlineStr">
        <is>
          <t>X</t>
        </is>
      </c>
      <c r="I101" s="27" t="inlineStr">
        <is>
          <t>方</t>
        </is>
      </c>
      <c r="J101" s="27" t="inlineStr">
        <is>
          <t>Brand-Anonymized</t>
        </is>
      </c>
      <c r="K101" s="27" t="n">
        <v>200</v>
      </c>
      <c r="L101" s="27" t="inlineStr">
        <is>
          <t>C</t>
        </is>
      </c>
      <c r="M101" s="27" t="n"/>
      <c r="N101" s="27" t="n"/>
      <c r="O101" s="226" t="n">
        <v>0</v>
      </c>
      <c r="P101" s="226" t="n">
        <v>0</v>
      </c>
      <c r="Q101" s="229" t="n">
        <v>0</v>
      </c>
      <c r="R101" s="229" t="n">
        <v>45</v>
      </c>
      <c r="S101" s="226" t="n">
        <v>0</v>
      </c>
    </row>
    <row r="102" ht="14" customFormat="1" customHeight="1" s="1">
      <c r="A102" s="231" t="inlineStr">
        <is>
          <t>SKU-0EB1BF1E</t>
        </is>
      </c>
      <c r="B102" s="231" t="n">
        <v>100</v>
      </c>
      <c r="C102" s="45" t="inlineStr">
        <is>
          <t>Product-E003C35F</t>
        </is>
      </c>
      <c r="D102" s="231" t="n">
        <v>1</v>
      </c>
      <c r="E102" s="51" t="n"/>
      <c r="F102" s="184" t="n">
        <v>50</v>
      </c>
      <c r="G102" s="184" t="n">
        <v>36</v>
      </c>
      <c r="H102" s="27" t="inlineStr">
        <is>
          <t>X</t>
        </is>
      </c>
      <c r="I102" s="27" t="inlineStr">
        <is>
          <t>细</t>
        </is>
      </c>
      <c r="J102" s="27" t="inlineStr">
        <is>
          <t>Brand-Anonymized</t>
        </is>
      </c>
      <c r="K102" s="27" t="n">
        <v>200</v>
      </c>
      <c r="L102" s="27" t="inlineStr">
        <is>
          <t>C</t>
        </is>
      </c>
      <c r="M102" s="27" t="n"/>
      <c r="N102" s="27" t="n"/>
      <c r="O102" s="226" t="n">
        <v>0</v>
      </c>
      <c r="P102" s="226" t="n">
        <v>25</v>
      </c>
      <c r="Q102" s="229" t="n">
        <v>0</v>
      </c>
      <c r="R102" s="226" t="n">
        <v>25</v>
      </c>
      <c r="S102" s="226" t="n">
        <v>0</v>
      </c>
    </row>
    <row r="103" ht="14" customFormat="1" customHeight="1" s="1">
      <c r="A103" s="231" t="inlineStr">
        <is>
          <t>SKU-0E698170</t>
        </is>
      </c>
      <c r="B103" s="231" t="n">
        <v>100</v>
      </c>
      <c r="C103" s="19" t="inlineStr">
        <is>
          <t>Product-EF8C3EC5</t>
        </is>
      </c>
      <c r="D103" s="231" t="n">
        <v>1</v>
      </c>
      <c r="E103" s="51" t="n">
        <v>53.826</v>
      </c>
      <c r="F103" s="184" t="n">
        <v>33.6</v>
      </c>
      <c r="G103" s="184" t="n">
        <v>2.172</v>
      </c>
      <c r="H103" s="27" t="inlineStr"/>
      <c r="I103" s="27" t="inlineStr">
        <is>
          <t>长</t>
        </is>
      </c>
      <c r="J103" s="27" t="inlineStr">
        <is>
          <t>Brand-Anonymized</t>
        </is>
      </c>
      <c r="K103" s="27" t="n">
        <v>200</v>
      </c>
      <c r="L103" s="27" t="inlineStr">
        <is>
          <t>C</t>
        </is>
      </c>
      <c r="M103" s="27" t="n"/>
      <c r="N103" s="27" t="n"/>
      <c r="O103" s="226" t="inlineStr">
        <is>
          <t>0</t>
        </is>
      </c>
      <c r="P103" s="226" t="inlineStr">
        <is>
          <t>0</t>
        </is>
      </c>
      <c r="Q103" s="226" t="inlineStr">
        <is>
          <t>0</t>
        </is>
      </c>
      <c r="R103" s="226" t="n">
        <v>33.6</v>
      </c>
      <c r="S103" s="226" t="inlineStr">
        <is>
          <t>0</t>
        </is>
      </c>
    </row>
    <row r="104" ht="14" customFormat="1" customHeight="1" s="1">
      <c r="A104" s="231" t="inlineStr">
        <is>
          <t>SKU-B0AA269B</t>
        </is>
      </c>
      <c r="B104" s="231" t="n">
        <v>100</v>
      </c>
      <c r="C104" s="19" t="inlineStr">
        <is>
          <t>Product-BFD53BC0</t>
        </is>
      </c>
      <c r="D104" s="231" t="n">
        <v>2</v>
      </c>
      <c r="E104" s="51" t="n">
        <v>410.652</v>
      </c>
      <c r="F104" s="184" t="n">
        <v>101.5</v>
      </c>
      <c r="G104" s="184" t="n">
        <v>93.724</v>
      </c>
      <c r="H104" s="27" t="inlineStr"/>
      <c r="I104" s="27" t="inlineStr">
        <is>
          <t>标</t>
        </is>
      </c>
      <c r="J104" s="27" t="inlineStr">
        <is>
          <t>Brand-Anonymized</t>
        </is>
      </c>
      <c r="K104" s="27" t="n">
        <v>200</v>
      </c>
      <c r="L104" s="27" t="inlineStr">
        <is>
          <t>C</t>
        </is>
      </c>
      <c r="M104" s="27" t="n"/>
      <c r="N104" s="27" t="n"/>
      <c r="O104" s="226" t="n">
        <v>53</v>
      </c>
      <c r="P104" s="226" t="n">
        <v>0</v>
      </c>
      <c r="Q104" s="226" t="n">
        <v>48.5</v>
      </c>
      <c r="R104" s="226" t="n">
        <v>0</v>
      </c>
      <c r="S104" s="226" t="n">
        <v>0</v>
      </c>
    </row>
    <row r="105" ht="14" customFormat="1" customHeight="1" s="1">
      <c r="A105" s="231" t="inlineStr">
        <is>
          <t>SKU-95370A38</t>
        </is>
      </c>
      <c r="B105" s="231" t="n">
        <v>100</v>
      </c>
      <c r="C105" s="44" t="inlineStr">
        <is>
          <t>Product-204DEBD7</t>
        </is>
      </c>
      <c r="D105" s="231" t="n">
        <v>3</v>
      </c>
      <c r="E105" s="51" t="n">
        <v>0</v>
      </c>
      <c r="F105" s="184" t="n">
        <v>0</v>
      </c>
      <c r="G105" s="184" t="n">
        <v>0</v>
      </c>
      <c r="H105" s="42" t="inlineStr"/>
      <c r="I105" s="27" t="inlineStr"/>
      <c r="J105" s="27" t="inlineStr">
        <is>
          <t>Brand-Anonymized</t>
        </is>
      </c>
      <c r="K105" s="27" t="n">
        <v>200</v>
      </c>
      <c r="L105" s="27" t="n"/>
      <c r="M105" s="27" t="n"/>
      <c r="N105" s="27" t="n"/>
      <c r="O105" s="226" t="inlineStr">
        <is>
          <t>0</t>
        </is>
      </c>
      <c r="P105" s="226" t="inlineStr">
        <is>
          <t>0</t>
        </is>
      </c>
      <c r="Q105" s="226" t="inlineStr">
        <is>
          <t>0</t>
        </is>
      </c>
      <c r="R105" s="226" t="inlineStr">
        <is>
          <t>0</t>
        </is>
      </c>
      <c r="S105" s="226" t="inlineStr">
        <is>
          <t>0</t>
        </is>
      </c>
    </row>
    <row r="106" ht="14" customFormat="1" customHeight="1" s="1">
      <c r="A106" s="231" t="inlineStr">
        <is>
          <t>SKU-C25067A0</t>
        </is>
      </c>
      <c r="B106" s="231" t="n">
        <v>100</v>
      </c>
      <c r="C106" s="19" t="inlineStr">
        <is>
          <t>Product-0FF79B6A</t>
        </is>
      </c>
      <c r="D106" s="231" t="n">
        <v>1</v>
      </c>
      <c r="E106" s="51" t="n">
        <v>1471.838</v>
      </c>
      <c r="F106" s="184" t="n">
        <v>454.8</v>
      </c>
      <c r="G106" s="184" t="n">
        <v>259.796</v>
      </c>
      <c r="H106" s="27" t="inlineStr"/>
      <c r="I106" s="27" t="inlineStr">
        <is>
          <t>细</t>
        </is>
      </c>
      <c r="J106" s="27" t="inlineStr">
        <is>
          <t>Brand-Anonymized</t>
        </is>
      </c>
      <c r="K106" s="27" t="n">
        <v>200</v>
      </c>
      <c r="L106" s="27" t="inlineStr">
        <is>
          <t>C</t>
        </is>
      </c>
      <c r="M106" s="27" t="n"/>
      <c r="N106" s="27" t="n"/>
      <c r="O106" s="226" t="n">
        <v>110</v>
      </c>
      <c r="P106" s="226" t="n">
        <v>110</v>
      </c>
      <c r="Q106" s="226" t="n">
        <v>110</v>
      </c>
      <c r="R106" s="226" t="n">
        <v>124.8</v>
      </c>
      <c r="S106" s="226" t="inlineStr">
        <is>
          <t>0</t>
        </is>
      </c>
    </row>
    <row r="107" ht="14" customFormat="1" customHeight="1" s="1">
      <c r="A107" s="231" t="inlineStr">
        <is>
          <t>SKU-D7B45BE5</t>
        </is>
      </c>
      <c r="B107" s="231" t="n">
        <v>100</v>
      </c>
      <c r="C107" s="44" t="inlineStr">
        <is>
          <t>Product-58C86CC9</t>
        </is>
      </c>
      <c r="D107" s="231" t="n">
        <v>3</v>
      </c>
      <c r="E107" s="51" t="n">
        <v>0</v>
      </c>
      <c r="F107" s="184" t="n">
        <v>0</v>
      </c>
      <c r="G107" s="184" t="n">
        <v>0</v>
      </c>
      <c r="H107" s="27" t="inlineStr"/>
      <c r="I107" s="27" t="inlineStr"/>
      <c r="J107" s="27" t="inlineStr">
        <is>
          <t>Brand-Anonymized</t>
        </is>
      </c>
      <c r="K107" s="27" t="n">
        <v>200</v>
      </c>
      <c r="L107" s="27" t="n"/>
      <c r="M107" s="27" t="n"/>
      <c r="N107" s="27" t="n"/>
      <c r="O107" s="226" t="inlineStr">
        <is>
          <t>0</t>
        </is>
      </c>
      <c r="P107" s="226" t="inlineStr">
        <is>
          <t>0</t>
        </is>
      </c>
      <c r="Q107" s="226" t="inlineStr">
        <is>
          <t>0</t>
        </is>
      </c>
      <c r="R107" s="226" t="inlineStr">
        <is>
          <t>0</t>
        </is>
      </c>
      <c r="S107" s="226" t="inlineStr">
        <is>
          <t>0</t>
        </is>
      </c>
    </row>
    <row r="108" ht="14" customFormat="1" customHeight="1" s="1">
      <c r="A108" s="231" t="inlineStr">
        <is>
          <t>SKU-B2C22E30</t>
        </is>
      </c>
      <c r="B108" s="231" t="n">
        <v>100</v>
      </c>
      <c r="C108" s="19" t="inlineStr">
        <is>
          <t>Product-5FF63CBE</t>
        </is>
      </c>
      <c r="D108" s="231" t="n">
        <v>3</v>
      </c>
      <c r="E108" s="51" t="n">
        <v>4305.818</v>
      </c>
      <c r="F108" s="184" t="n">
        <v>942.6</v>
      </c>
      <c r="G108" s="184" t="n">
        <v>806.256</v>
      </c>
      <c r="H108" s="42" t="inlineStr">
        <is>
          <t>T</t>
        </is>
      </c>
      <c r="I108" s="27" t="inlineStr"/>
      <c r="J108" s="27" t="inlineStr">
        <is>
          <t>Brand-Anonymized</t>
        </is>
      </c>
      <c r="K108" s="27" t="n">
        <v>200</v>
      </c>
      <c r="L108" s="27" t="n"/>
      <c r="M108" s="27" t="n"/>
      <c r="N108" s="27" t="n"/>
      <c r="O108" s="226" t="inlineStr">
        <is>
          <t>0</t>
        </is>
      </c>
      <c r="P108" s="226" t="n">
        <v>250</v>
      </c>
      <c r="Q108" s="226" t="n">
        <v>250</v>
      </c>
      <c r="R108" s="226" t="n">
        <v>250</v>
      </c>
      <c r="S108" s="226" t="n">
        <v>192.6</v>
      </c>
    </row>
    <row r="109" ht="14" customFormat="1" customHeight="1" s="1">
      <c r="A109" s="231" t="inlineStr">
        <is>
          <t>SKU-F56BB5B7</t>
        </is>
      </c>
      <c r="B109" s="231" t="n">
        <v>100</v>
      </c>
      <c r="C109" s="19" t="inlineStr">
        <is>
          <t>Product-DD0EEB81</t>
        </is>
      </c>
      <c r="D109" s="231" t="n">
        <v>1</v>
      </c>
      <c r="E109" s="51" t="n">
        <v>225.46</v>
      </c>
      <c r="F109" s="184" t="n">
        <v>100</v>
      </c>
      <c r="G109" s="184" t="n">
        <v>1.68</v>
      </c>
      <c r="H109" s="27" t="inlineStr">
        <is>
          <t>C</t>
        </is>
      </c>
      <c r="I109" s="27" t="inlineStr">
        <is>
          <t>方</t>
        </is>
      </c>
      <c r="J109" s="27" t="inlineStr">
        <is>
          <t>Brand-Anonymized</t>
        </is>
      </c>
      <c r="K109" s="27" t="n">
        <v>200</v>
      </c>
      <c r="L109" s="27" t="inlineStr">
        <is>
          <t>C</t>
        </is>
      </c>
      <c r="M109" s="27" t="n"/>
      <c r="N109" s="27" t="n"/>
      <c r="O109" s="226" t="n">
        <v>0</v>
      </c>
      <c r="P109" s="226" t="n">
        <v>0</v>
      </c>
      <c r="Q109" s="226" t="n">
        <v>100</v>
      </c>
      <c r="R109" s="226" t="n">
        <v>0</v>
      </c>
      <c r="S109" s="226" t="n">
        <v>0</v>
      </c>
    </row>
    <row r="110" ht="14" customFormat="1" customHeight="1" s="1">
      <c r="A110" s="231" t="inlineStr">
        <is>
          <t>SKU-3F557AF3</t>
        </is>
      </c>
      <c r="B110" s="231" t="n">
        <v>100</v>
      </c>
      <c r="C110" s="19" t="inlineStr">
        <is>
          <t>Product-B7D004B8</t>
        </is>
      </c>
      <c r="D110" s="231" t="n">
        <v>1</v>
      </c>
      <c r="E110" s="51" t="n">
        <v>736.322</v>
      </c>
      <c r="F110" s="184" t="n">
        <v>240.7</v>
      </c>
      <c r="G110" s="184" t="n">
        <v>141.824</v>
      </c>
      <c r="H110" s="27" t="inlineStr"/>
      <c r="I110" s="27" t="inlineStr">
        <is>
          <t>长</t>
        </is>
      </c>
      <c r="J110" s="27" t="inlineStr">
        <is>
          <t>Brand-Anonymized</t>
        </is>
      </c>
      <c r="K110" s="27" t="n">
        <v>200</v>
      </c>
      <c r="L110" s="27" t="inlineStr">
        <is>
          <t>C</t>
        </is>
      </c>
      <c r="M110" s="27" t="n"/>
      <c r="N110" s="27" t="n"/>
      <c r="O110" s="226" t="n">
        <v>77</v>
      </c>
      <c r="P110" s="226" t="n">
        <v>77</v>
      </c>
      <c r="Q110" s="226" t="inlineStr">
        <is>
          <t>0</t>
        </is>
      </c>
      <c r="R110" s="226" t="n">
        <v>0</v>
      </c>
      <c r="S110" s="226" t="n">
        <v>86.7</v>
      </c>
    </row>
    <row r="111" ht="14" customFormat="1" customHeight="1" s="1">
      <c r="A111" s="231" t="inlineStr">
        <is>
          <t>SKU-B84F77F7</t>
        </is>
      </c>
      <c r="B111" s="231" t="n">
        <v>100</v>
      </c>
      <c r="C111" s="19" t="inlineStr">
        <is>
          <t>Product-12BB50D3</t>
        </is>
      </c>
      <c r="D111" s="231" t="n">
        <v>2</v>
      </c>
      <c r="E111" s="51" t="n">
        <v>531.568</v>
      </c>
      <c r="F111" s="184" t="n">
        <v>120</v>
      </c>
      <c r="G111" s="184" t="n">
        <v>101.696</v>
      </c>
      <c r="H111" s="27" t="inlineStr">
        <is>
          <t>C</t>
        </is>
      </c>
      <c r="I111" s="27" t="inlineStr"/>
      <c r="J111" s="27" t="inlineStr">
        <is>
          <t>Brand-Anonymized</t>
        </is>
      </c>
      <c r="K111" s="27" t="n">
        <v>200</v>
      </c>
      <c r="L111" s="27" t="n"/>
      <c r="M111" s="27" t="n"/>
      <c r="N111" s="27" t="n"/>
      <c r="O111" s="226" t="n">
        <v>0</v>
      </c>
      <c r="P111" s="226" t="n">
        <v>60</v>
      </c>
      <c r="Q111" s="226" t="n">
        <v>0</v>
      </c>
      <c r="R111" s="226" t="n">
        <v>60</v>
      </c>
      <c r="S111" s="226" t="n">
        <v>0</v>
      </c>
    </row>
    <row r="112" ht="14" customFormat="1" customHeight="1" s="1">
      <c r="A112" s="231" t="inlineStr">
        <is>
          <t>SKU-810E6D7D</t>
        </is>
      </c>
      <c r="B112" s="231" t="n">
        <v>100</v>
      </c>
      <c r="C112" s="19" t="inlineStr">
        <is>
          <t>Product-C780D3B4</t>
        </is>
      </c>
      <c r="D112" s="231" t="n">
        <v>1</v>
      </c>
      <c r="E112" s="51" t="n">
        <v>-10.198</v>
      </c>
      <c r="F112" s="184" t="n">
        <v>3</v>
      </c>
      <c r="G112" s="184" t="n">
        <v>0.944</v>
      </c>
      <c r="H112" s="27" t="inlineStr">
        <is>
          <t>X</t>
        </is>
      </c>
      <c r="I112" s="27" t="inlineStr">
        <is>
          <t>方</t>
        </is>
      </c>
      <c r="J112" s="27" t="inlineStr">
        <is>
          <t>Brand-Anonymized</t>
        </is>
      </c>
      <c r="K112" s="27" t="n">
        <v>200</v>
      </c>
      <c r="L112" s="27" t="inlineStr">
        <is>
          <t>C</t>
        </is>
      </c>
      <c r="M112" s="27" t="n"/>
      <c r="N112" s="27" t="n"/>
      <c r="O112" s="226" t="n">
        <v>0</v>
      </c>
      <c r="P112" s="226" t="n">
        <v>0</v>
      </c>
      <c r="Q112" s="226" t="n">
        <v>3</v>
      </c>
      <c r="R112" s="226" t="n">
        <v>0</v>
      </c>
      <c r="S112" s="226" t="n">
        <v>0</v>
      </c>
    </row>
    <row r="113" ht="14" customFormat="1" customHeight="1" s="1">
      <c r="A113" s="231" t="inlineStr">
        <is>
          <t>SKU-43A0FE0C</t>
        </is>
      </c>
      <c r="B113" s="231" t="n">
        <v>100</v>
      </c>
      <c r="C113" s="19" t="inlineStr">
        <is>
          <t>Product-48B5A7C4</t>
        </is>
      </c>
      <c r="D113" s="231" t="n">
        <v>1</v>
      </c>
      <c r="E113" s="51" t="n">
        <v>35.048</v>
      </c>
      <c r="F113" s="184" t="n">
        <v>22</v>
      </c>
      <c r="G113" s="184" t="n">
        <v>1.016</v>
      </c>
      <c r="H113" s="27" t="inlineStr">
        <is>
          <t>X</t>
        </is>
      </c>
      <c r="I113" s="27" t="inlineStr">
        <is>
          <t>标</t>
        </is>
      </c>
      <c r="J113" s="27" t="inlineStr">
        <is>
          <t>Brand-Anonymized</t>
        </is>
      </c>
      <c r="K113" s="27" t="n">
        <v>200</v>
      </c>
      <c r="L113" s="27" t="inlineStr">
        <is>
          <t>C</t>
        </is>
      </c>
      <c r="M113" s="27" t="n"/>
      <c r="N113" s="27" t="n"/>
      <c r="O113" s="226" t="n">
        <v>0</v>
      </c>
      <c r="P113" s="226" t="n">
        <v>0</v>
      </c>
      <c r="Q113" s="226" t="n">
        <v>0</v>
      </c>
      <c r="R113" s="226" t="n">
        <v>22</v>
      </c>
      <c r="S113" s="226" t="n">
        <v>0</v>
      </c>
    </row>
    <row r="114" ht="14" customFormat="1" customHeight="1" s="1">
      <c r="A114" s="231" t="inlineStr">
        <is>
          <t>SKU-3D7D2993</t>
        </is>
      </c>
      <c r="B114" s="231" t="n">
        <v>100</v>
      </c>
      <c r="C114" s="19" t="inlineStr">
        <is>
          <t>Product-E884C607</t>
        </is>
      </c>
      <c r="D114" s="231" t="n">
        <v>3</v>
      </c>
      <c r="E114" s="51" t="n">
        <v>76.768</v>
      </c>
      <c r="F114" s="184" t="n">
        <v>29.1</v>
      </c>
      <c r="G114" s="184" t="n">
        <v>12.976</v>
      </c>
      <c r="H114" s="27" t="inlineStr"/>
      <c r="I114" s="27" t="inlineStr"/>
      <c r="J114" s="27" t="inlineStr">
        <is>
          <t>Brand-Anonymized</t>
        </is>
      </c>
      <c r="K114" s="27" t="n">
        <v>200</v>
      </c>
      <c r="L114" s="27" t="n"/>
      <c r="M114" s="27" t="n"/>
      <c r="N114" s="27" t="n"/>
      <c r="O114" s="226" t="inlineStr">
        <is>
          <t>0</t>
        </is>
      </c>
      <c r="P114" s="226" t="n">
        <v>29.1</v>
      </c>
      <c r="Q114" s="226" t="inlineStr">
        <is>
          <t>0</t>
        </is>
      </c>
      <c r="R114" s="226" t="n">
        <v>0</v>
      </c>
      <c r="S114" s="226" t="n">
        <v>0</v>
      </c>
    </row>
    <row r="115" ht="14" customFormat="1" customHeight="1" s="1">
      <c r="A115" s="231" t="inlineStr">
        <is>
          <t>SKU-00283049</t>
        </is>
      </c>
      <c r="B115" s="231" t="n">
        <v>100</v>
      </c>
      <c r="C115" s="43" t="inlineStr">
        <is>
          <t>Product-BAE8A1A9</t>
        </is>
      </c>
      <c r="D115" s="55" t="n">
        <v>1</v>
      </c>
      <c r="E115" s="51" t="n">
        <v>-16.286</v>
      </c>
      <c r="F115" s="184" t="n">
        <v>0</v>
      </c>
      <c r="G115" s="184" t="n">
        <v>0.008</v>
      </c>
      <c r="H115" s="27" t="inlineStr"/>
      <c r="I115" s="27" t="inlineStr"/>
      <c r="J115" s="27" t="inlineStr">
        <is>
          <t>Brand-Anonymized</t>
        </is>
      </c>
      <c r="K115" s="27" t="n">
        <v>200</v>
      </c>
      <c r="L115" s="27" t="n"/>
      <c r="M115" s="27" t="n"/>
      <c r="N115" s="27" t="n"/>
      <c r="O115" s="226" t="n">
        <v>0</v>
      </c>
      <c r="P115" s="226" t="n">
        <v>0</v>
      </c>
      <c r="Q115" s="226" t="n">
        <v>0</v>
      </c>
      <c r="R115" s="226" t="n">
        <v>0</v>
      </c>
      <c r="S115" s="226" t="n">
        <v>0</v>
      </c>
    </row>
    <row r="116" ht="14" customFormat="1" customHeight="1" s="1">
      <c r="A116" s="231" t="inlineStr">
        <is>
          <t>SKU-BB75DCA2</t>
        </is>
      </c>
      <c r="B116" s="231" t="n">
        <v>100</v>
      </c>
      <c r="C116" s="19" t="inlineStr">
        <is>
          <t>Product-BEB895B0</t>
        </is>
      </c>
      <c r="D116" s="231" t="n">
        <v>2</v>
      </c>
      <c r="E116" s="51" t="n">
        <v>173.522</v>
      </c>
      <c r="F116" s="184" t="n">
        <v>47.3</v>
      </c>
      <c r="G116" s="184" t="n">
        <v>18.404</v>
      </c>
      <c r="H116" s="27" t="inlineStr"/>
      <c r="I116" s="27" t="inlineStr"/>
      <c r="J116" s="27" t="inlineStr">
        <is>
          <t>Brand-Anonymized</t>
        </is>
      </c>
      <c r="K116" s="27" t="n">
        <v>200</v>
      </c>
      <c r="L116" s="27" t="n"/>
      <c r="M116" s="27" t="n"/>
      <c r="N116" s="27" t="n"/>
      <c r="O116" s="226" t="inlineStr">
        <is>
          <t>0</t>
        </is>
      </c>
      <c r="P116" s="226" t="n">
        <v>0</v>
      </c>
      <c r="Q116" s="226" t="n">
        <v>0</v>
      </c>
      <c r="R116" s="226" t="n">
        <v>47.3</v>
      </c>
      <c r="S116" s="226" t="inlineStr">
        <is>
          <t>0</t>
        </is>
      </c>
    </row>
    <row r="117" ht="14" customFormat="1" customHeight="1" s="1">
      <c r="A117" s="231" t="inlineStr">
        <is>
          <t>SKU-388666F4</t>
        </is>
      </c>
      <c r="B117" s="231" t="n">
        <v>100</v>
      </c>
      <c r="C117" s="44" t="inlineStr">
        <is>
          <t>Product-6CBA44B1</t>
        </is>
      </c>
      <c r="D117" s="231" t="n">
        <v>3</v>
      </c>
      <c r="E117" s="51" t="n">
        <v>0</v>
      </c>
      <c r="F117" s="184" t="n">
        <v>0</v>
      </c>
      <c r="G117" s="184" t="n">
        <v>0</v>
      </c>
      <c r="H117" s="42" t="inlineStr"/>
      <c r="I117" s="27" t="inlineStr"/>
      <c r="J117" s="27" t="inlineStr">
        <is>
          <t>Brand-Anonymized</t>
        </is>
      </c>
      <c r="K117" s="27" t="n">
        <v>200</v>
      </c>
      <c r="L117" s="27" t="n"/>
      <c r="M117" s="27" t="n"/>
      <c r="N117" s="27" t="n"/>
      <c r="O117" s="226" t="inlineStr">
        <is>
          <t>0</t>
        </is>
      </c>
      <c r="P117" s="226" t="inlineStr">
        <is>
          <t>0</t>
        </is>
      </c>
      <c r="Q117" s="226" t="inlineStr">
        <is>
          <t>0</t>
        </is>
      </c>
      <c r="R117" s="226" t="inlineStr">
        <is>
          <t>0</t>
        </is>
      </c>
      <c r="S117" s="226" t="inlineStr">
        <is>
          <t>0</t>
        </is>
      </c>
    </row>
    <row r="118" ht="14" customFormat="1" customHeight="1" s="1">
      <c r="A118" s="231" t="inlineStr">
        <is>
          <t>SKU-817B132C</t>
        </is>
      </c>
      <c r="B118" s="231" t="n">
        <v>100</v>
      </c>
      <c r="C118" s="19" t="inlineStr">
        <is>
          <t>Product-9CA542CA</t>
        </is>
      </c>
      <c r="D118" s="231" t="n">
        <v>3</v>
      </c>
      <c r="E118" s="51" t="n">
        <v>2300.232</v>
      </c>
      <c r="F118" s="184" t="n">
        <v>793.5</v>
      </c>
      <c r="G118" s="184" t="n">
        <v>321.904</v>
      </c>
      <c r="H118" s="42" t="inlineStr">
        <is>
          <t>T</t>
        </is>
      </c>
      <c r="I118" s="27" t="inlineStr"/>
      <c r="J118" s="27" t="inlineStr">
        <is>
          <t>Brand-Anonymized</t>
        </is>
      </c>
      <c r="K118" s="27" t="n">
        <v>200</v>
      </c>
      <c r="L118" s="27" t="n"/>
      <c r="M118" s="27" t="n"/>
      <c r="N118" s="27" t="n"/>
      <c r="O118" s="226" t="n">
        <v>150</v>
      </c>
      <c r="P118" s="226" t="n">
        <v>170</v>
      </c>
      <c r="Q118" s="226" t="n">
        <v>170</v>
      </c>
      <c r="R118" s="226" t="n">
        <v>170</v>
      </c>
      <c r="S118" s="226" t="n">
        <v>133.5</v>
      </c>
    </row>
    <row r="119" ht="14" customFormat="1" customHeight="1" s="1">
      <c r="A119" s="231" t="inlineStr">
        <is>
          <t>SKU-CE68A1C3</t>
        </is>
      </c>
      <c r="B119" s="231" t="n">
        <v>100</v>
      </c>
      <c r="C119" s="19" t="inlineStr">
        <is>
          <t>Product-40217E2C</t>
        </is>
      </c>
      <c r="D119" s="231" t="n">
        <v>1</v>
      </c>
      <c r="E119" s="51" t="n">
        <v>259.088</v>
      </c>
      <c r="F119" s="184" t="n">
        <v>80</v>
      </c>
      <c r="G119" s="184" t="n">
        <v>41.236</v>
      </c>
      <c r="H119" s="27" t="inlineStr">
        <is>
          <t>X</t>
        </is>
      </c>
      <c r="I119" s="27" t="inlineStr">
        <is>
          <t>细</t>
        </is>
      </c>
      <c r="J119" s="27" t="inlineStr">
        <is>
          <t>Brand-Anonymized</t>
        </is>
      </c>
      <c r="K119" s="27" t="n">
        <v>200</v>
      </c>
      <c r="L119" s="27" t="inlineStr">
        <is>
          <t>C</t>
        </is>
      </c>
      <c r="M119" s="27" t="n"/>
      <c r="N119" s="27" t="n"/>
      <c r="O119" s="226" t="n">
        <v>0</v>
      </c>
      <c r="P119" s="226" t="n">
        <v>40</v>
      </c>
      <c r="Q119" s="226" t="n">
        <v>0</v>
      </c>
      <c r="R119" s="226" t="n">
        <v>40</v>
      </c>
      <c r="S119" s="226" t="n">
        <v>0</v>
      </c>
    </row>
    <row r="120" ht="14" customFormat="1" customHeight="1" s="1">
      <c r="A120" s="231" t="inlineStr">
        <is>
          <t>SKU-71660307</t>
        </is>
      </c>
      <c r="B120" s="231" t="n">
        <v>100</v>
      </c>
      <c r="C120" s="44" t="inlineStr">
        <is>
          <t>Product-72199E85</t>
        </is>
      </c>
      <c r="D120" s="231" t="n">
        <v>1</v>
      </c>
      <c r="E120" s="51" t="n">
        <v>0</v>
      </c>
      <c r="F120" s="184" t="n">
        <v>0</v>
      </c>
      <c r="G120" s="184" t="n">
        <v>0</v>
      </c>
      <c r="H120" s="27" t="inlineStr"/>
      <c r="I120" s="27" t="inlineStr">
        <is>
          <t>方</t>
        </is>
      </c>
      <c r="J120" s="27" t="inlineStr">
        <is>
          <t>Brand-Anonymized</t>
        </is>
      </c>
      <c r="K120" s="27" t="n">
        <v>200</v>
      </c>
      <c r="L120" s="27" t="inlineStr">
        <is>
          <t>C</t>
        </is>
      </c>
      <c r="M120" s="27" t="n"/>
      <c r="N120" s="27" t="n"/>
      <c r="O120" s="226" t="inlineStr">
        <is>
          <t>0</t>
        </is>
      </c>
      <c r="P120" s="226" t="inlineStr">
        <is>
          <t>0</t>
        </is>
      </c>
      <c r="Q120" s="226" t="inlineStr">
        <is>
          <t>0</t>
        </is>
      </c>
      <c r="R120" s="226" t="inlineStr">
        <is>
          <t>0</t>
        </is>
      </c>
      <c r="S120" s="226" t="inlineStr">
        <is>
          <t>0</t>
        </is>
      </c>
    </row>
    <row r="121" ht="14" customFormat="1" customHeight="1" s="1">
      <c r="A121" s="231" t="inlineStr">
        <is>
          <t>SKU-4945E111</t>
        </is>
      </c>
      <c r="B121" s="231" t="n">
        <v>100</v>
      </c>
      <c r="C121" s="19" t="inlineStr">
        <is>
          <t>Product-A927BD78</t>
        </is>
      </c>
      <c r="D121" s="231" t="n">
        <v>2</v>
      </c>
      <c r="E121" s="51" t="n">
        <v>1322.916</v>
      </c>
      <c r="F121" s="184" t="n">
        <v>450</v>
      </c>
      <c r="G121" s="184" t="n">
        <v>180.172</v>
      </c>
      <c r="H121" s="27" t="inlineStr">
        <is>
          <t>C</t>
        </is>
      </c>
      <c r="I121" s="27" t="inlineStr">
        <is>
          <t>长</t>
        </is>
      </c>
      <c r="J121" s="27" t="inlineStr">
        <is>
          <t>Brand-Anonymized</t>
        </is>
      </c>
      <c r="K121" s="27" t="n">
        <v>200</v>
      </c>
      <c r="L121" s="27" t="inlineStr">
        <is>
          <t>C</t>
        </is>
      </c>
      <c r="M121" s="27" t="n"/>
      <c r="N121" s="27" t="n"/>
      <c r="O121" s="226" t="n">
        <v>90</v>
      </c>
      <c r="P121" s="226" t="n">
        <v>90</v>
      </c>
      <c r="Q121" s="226" t="n">
        <v>90</v>
      </c>
      <c r="R121" s="226" t="n">
        <v>90</v>
      </c>
      <c r="S121" s="226" t="n">
        <v>90</v>
      </c>
    </row>
    <row r="122" ht="14" customFormat="1" customHeight="1" s="1">
      <c r="A122" s="231" t="inlineStr">
        <is>
          <t>SKU-823A2107</t>
        </is>
      </c>
      <c r="B122" s="231" t="n">
        <v>100</v>
      </c>
      <c r="C122" s="19" t="inlineStr">
        <is>
          <t>Product-0D4369D8</t>
        </is>
      </c>
      <c r="D122" s="231" t="n">
        <v>2</v>
      </c>
      <c r="E122" s="51" t="n">
        <v>894.9400000000001</v>
      </c>
      <c r="F122" s="184" t="n">
        <v>300</v>
      </c>
      <c r="G122" s="184" t="n">
        <v>120.48</v>
      </c>
      <c r="H122" s="27" t="inlineStr">
        <is>
          <t>C</t>
        </is>
      </c>
      <c r="I122" s="27" t="inlineStr">
        <is>
          <t>长</t>
        </is>
      </c>
      <c r="J122" s="27" t="inlineStr">
        <is>
          <t>Brand-Anonymized</t>
        </is>
      </c>
      <c r="K122" s="27" t="n">
        <v>200</v>
      </c>
      <c r="L122" s="27" t="inlineStr">
        <is>
          <t>C</t>
        </is>
      </c>
      <c r="M122" s="27" t="n"/>
      <c r="N122" s="27" t="n"/>
      <c r="O122" s="226" t="n">
        <v>60</v>
      </c>
      <c r="P122" s="226" t="n">
        <v>60</v>
      </c>
      <c r="Q122" s="226" t="n">
        <v>120</v>
      </c>
      <c r="R122" s="226" t="n">
        <v>60</v>
      </c>
      <c r="S122" s="227" t="n">
        <v>0</v>
      </c>
    </row>
    <row r="123" ht="14" customFormat="1" customHeight="1" s="1">
      <c r="A123" s="231" t="inlineStr">
        <is>
          <t>SKU-C4DEF3A3</t>
        </is>
      </c>
      <c r="B123" s="231" t="n">
        <v>100</v>
      </c>
      <c r="C123" s="19" t="inlineStr">
        <is>
          <t>Product-49C45F99</t>
        </is>
      </c>
      <c r="D123" s="231" t="n">
        <v>1</v>
      </c>
      <c r="E123" s="51" t="n">
        <v>73.40000000000001</v>
      </c>
      <c r="F123" s="184" t="n">
        <v>30</v>
      </c>
      <c r="G123" s="184" t="n">
        <v>0.74</v>
      </c>
      <c r="H123" s="27" t="inlineStr">
        <is>
          <t>C</t>
        </is>
      </c>
      <c r="I123" s="27" t="inlineStr">
        <is>
          <t>长</t>
        </is>
      </c>
      <c r="J123" s="27" t="inlineStr">
        <is>
          <t>Brand-Anonymized</t>
        </is>
      </c>
      <c r="K123" s="27" t="n">
        <v>200</v>
      </c>
      <c r="L123" s="27" t="inlineStr">
        <is>
          <t>C</t>
        </is>
      </c>
      <c r="M123" s="27" t="n"/>
      <c r="N123" s="27" t="n"/>
      <c r="O123" s="226" t="n">
        <v>0</v>
      </c>
      <c r="P123" s="226" t="n">
        <v>0</v>
      </c>
      <c r="Q123" s="226" t="n">
        <v>0</v>
      </c>
      <c r="R123" s="227" t="n">
        <v>30</v>
      </c>
      <c r="S123" s="226" t="n">
        <v>0</v>
      </c>
    </row>
    <row r="124" ht="14" customFormat="1" customHeight="1" s="1">
      <c r="A124" s="231" t="inlineStr">
        <is>
          <t>SKU-8118963E</t>
        </is>
      </c>
      <c r="B124" s="231" t="n">
        <v>100</v>
      </c>
      <c r="C124" s="19" t="inlineStr">
        <is>
          <t>Product-8818E616</t>
        </is>
      </c>
      <c r="D124" s="231" t="n">
        <v>2</v>
      </c>
      <c r="E124" s="51" t="n">
        <v>41.958</v>
      </c>
      <c r="F124" s="184" t="n">
        <v>18.2</v>
      </c>
      <c r="G124" s="184" t="n">
        <v>0.335999999999999</v>
      </c>
      <c r="H124" s="27" t="inlineStr"/>
      <c r="I124" s="27" t="inlineStr">
        <is>
          <t>标</t>
        </is>
      </c>
      <c r="J124" s="27" t="inlineStr">
        <is>
          <t>Brand-Anonymized</t>
        </is>
      </c>
      <c r="K124" s="27" t="n">
        <v>200</v>
      </c>
      <c r="L124" s="27" t="inlineStr">
        <is>
          <t>C</t>
        </is>
      </c>
      <c r="M124" s="27" t="n"/>
      <c r="N124" s="27" t="n"/>
      <c r="O124" s="226" t="inlineStr">
        <is>
          <t>0</t>
        </is>
      </c>
      <c r="P124" s="226" t="inlineStr">
        <is>
          <t>0</t>
        </is>
      </c>
      <c r="Q124" s="226" t="inlineStr">
        <is>
          <t>0</t>
        </is>
      </c>
      <c r="R124" s="226" t="n">
        <v>18.2</v>
      </c>
      <c r="S124" s="226" t="inlineStr">
        <is>
          <t>0</t>
        </is>
      </c>
    </row>
    <row r="125" ht="14" customFormat="1" customHeight="1" s="1">
      <c r="A125" s="231" t="inlineStr">
        <is>
          <t>SKU-3A21B87C</t>
        </is>
      </c>
      <c r="B125" s="231" t="n">
        <v>100</v>
      </c>
      <c r="C125" s="19" t="inlineStr">
        <is>
          <t>Product-6BF10868</t>
        </is>
      </c>
      <c r="D125" s="231" t="n">
        <v>1</v>
      </c>
      <c r="E125" s="51" t="n">
        <v>23.646</v>
      </c>
      <c r="F125" s="184" t="n">
        <v>9.640000000000001</v>
      </c>
      <c r="G125" s="184" t="n">
        <v>0.651999999999999</v>
      </c>
      <c r="H125" s="27" t="inlineStr"/>
      <c r="I125" s="27" t="inlineStr">
        <is>
          <t>标</t>
        </is>
      </c>
      <c r="J125" s="27" t="inlineStr">
        <is>
          <t>Brand-Anonymized</t>
        </is>
      </c>
      <c r="K125" s="27" t="n">
        <v>200</v>
      </c>
      <c r="L125" s="27" t="inlineStr">
        <is>
          <t>C</t>
        </is>
      </c>
      <c r="M125" s="27" t="n"/>
      <c r="N125" s="27" t="n"/>
      <c r="O125" s="226" t="inlineStr">
        <is>
          <t>0</t>
        </is>
      </c>
      <c r="P125" s="226" t="inlineStr">
        <is>
          <t>0</t>
        </is>
      </c>
      <c r="Q125" s="226" t="inlineStr">
        <is>
          <t>0</t>
        </is>
      </c>
      <c r="R125" s="226" t="n">
        <v>9.640000000000001</v>
      </c>
      <c r="S125" s="226" t="inlineStr">
        <is>
          <t>0</t>
        </is>
      </c>
    </row>
    <row r="126" ht="14" customFormat="1" customHeight="1" s="1">
      <c r="A126" s="231" t="inlineStr">
        <is>
          <t>SKU-02903B09</t>
        </is>
      </c>
      <c r="B126" s="231" t="n">
        <v>100</v>
      </c>
      <c r="C126" s="44" t="inlineStr">
        <is>
          <t>Product-F3B4F9FB</t>
        </is>
      </c>
      <c r="D126" s="55" t="n">
        <v>3</v>
      </c>
      <c r="E126" s="51" t="n">
        <v>0</v>
      </c>
      <c r="F126" s="184" t="n">
        <v>0</v>
      </c>
      <c r="G126" s="184" t="n">
        <v>0</v>
      </c>
      <c r="H126" s="42" t="inlineStr"/>
      <c r="I126" s="27" t="inlineStr"/>
      <c r="J126" s="27" t="inlineStr">
        <is>
          <t>Brand-Anonymized</t>
        </is>
      </c>
      <c r="K126" s="27" t="n">
        <v>200</v>
      </c>
      <c r="L126" s="27" t="n"/>
      <c r="M126" s="27" t="n"/>
      <c r="N126" s="27" t="n"/>
      <c r="O126" s="226" t="inlineStr">
        <is>
          <t>0</t>
        </is>
      </c>
      <c r="P126" s="226" t="inlineStr">
        <is>
          <t>0</t>
        </is>
      </c>
      <c r="Q126" s="226" t="inlineStr">
        <is>
          <t>0</t>
        </is>
      </c>
      <c r="R126" s="226" t="inlineStr">
        <is>
          <t>0</t>
        </is>
      </c>
      <c r="S126" s="226" t="inlineStr">
        <is>
          <t>0</t>
        </is>
      </c>
    </row>
    <row r="127" ht="14" customFormat="1" customHeight="1" s="1">
      <c r="A127" s="231" t="inlineStr">
        <is>
          <t>SKU-D7B2F623</t>
        </is>
      </c>
      <c r="B127" s="231" t="n">
        <v>100</v>
      </c>
      <c r="C127" s="44" t="inlineStr">
        <is>
          <t>Product-419EF208</t>
        </is>
      </c>
      <c r="D127" s="231" t="n">
        <v>3</v>
      </c>
      <c r="E127" s="51" t="n">
        <v>0</v>
      </c>
      <c r="F127" s="184" t="n">
        <v>0</v>
      </c>
      <c r="G127" s="184" t="n">
        <v>0</v>
      </c>
      <c r="H127" s="27" t="inlineStr"/>
      <c r="I127" s="27" t="inlineStr">
        <is>
          <t>标</t>
        </is>
      </c>
      <c r="J127" s="27" t="inlineStr">
        <is>
          <t>Brand-Anonymized</t>
        </is>
      </c>
      <c r="K127" s="27" t="n">
        <v>200</v>
      </c>
      <c r="L127" s="27" t="inlineStr">
        <is>
          <t>C</t>
        </is>
      </c>
      <c r="M127" s="27" t="n"/>
      <c r="N127" s="27" t="n"/>
      <c r="O127" s="226" t="inlineStr">
        <is>
          <t>0</t>
        </is>
      </c>
      <c r="P127" s="226" t="inlineStr">
        <is>
          <t>0</t>
        </is>
      </c>
      <c r="Q127" s="226" t="inlineStr">
        <is>
          <t>0</t>
        </is>
      </c>
      <c r="R127" s="226" t="inlineStr">
        <is>
          <t>0</t>
        </is>
      </c>
      <c r="S127" s="226" t="inlineStr">
        <is>
          <t>0</t>
        </is>
      </c>
    </row>
    <row r="128" ht="14" customFormat="1" customHeight="1" s="1">
      <c r="A128" s="231" t="inlineStr">
        <is>
          <t>SKU-5C6A175C</t>
        </is>
      </c>
      <c r="B128" s="231" t="n">
        <v>100</v>
      </c>
      <c r="C128" s="19" t="inlineStr">
        <is>
          <t>Product-F200B9C7</t>
        </is>
      </c>
      <c r="D128" s="231" t="n">
        <v>2</v>
      </c>
      <c r="E128" s="51" t="n">
        <v>440.914</v>
      </c>
      <c r="F128" s="184" t="n">
        <v>133.7</v>
      </c>
      <c r="G128" s="184" t="n">
        <v>89.328</v>
      </c>
      <c r="H128" s="27" t="inlineStr"/>
      <c r="I128" s="27" t="inlineStr">
        <is>
          <t>细</t>
        </is>
      </c>
      <c r="J128" s="27" t="inlineStr">
        <is>
          <t>Brand-Anonymized</t>
        </is>
      </c>
      <c r="K128" s="27" t="n">
        <v>200</v>
      </c>
      <c r="L128" s="27" t="inlineStr">
        <is>
          <t>C</t>
        </is>
      </c>
      <c r="M128" s="27" t="n"/>
      <c r="N128" s="27" t="n"/>
      <c r="O128" s="226" t="n">
        <v>66.8</v>
      </c>
      <c r="P128" s="226" t="n">
        <v>0</v>
      </c>
      <c r="Q128" s="226" t="n">
        <v>66.90000000000001</v>
      </c>
      <c r="R128" s="226" t="n">
        <v>0</v>
      </c>
      <c r="S128" s="226" t="n">
        <v>0</v>
      </c>
    </row>
    <row r="129" ht="14" customFormat="1" customHeight="1" s="1">
      <c r="A129" s="231" t="inlineStr">
        <is>
          <t>SKU-C6295A43</t>
        </is>
      </c>
      <c r="B129" s="231" t="n">
        <v>100</v>
      </c>
      <c r="C129" s="33" t="inlineStr">
        <is>
          <t>Product-C41500E8</t>
        </is>
      </c>
      <c r="D129" s="231" t="n">
        <v>1</v>
      </c>
      <c r="E129" s="51" t="n">
        <v>0</v>
      </c>
      <c r="F129" s="184" t="n">
        <v>0</v>
      </c>
      <c r="G129" s="184" t="n">
        <v>0</v>
      </c>
      <c r="H129" s="27" t="inlineStr"/>
      <c r="I129" s="27" t="inlineStr">
        <is>
          <t>方</t>
        </is>
      </c>
      <c r="J129" s="27" t="inlineStr">
        <is>
          <t>Brand-Anonymized</t>
        </is>
      </c>
      <c r="K129" s="27" t="n">
        <v>200</v>
      </c>
      <c r="L129" s="27" t="inlineStr">
        <is>
          <t>C</t>
        </is>
      </c>
      <c r="M129" s="27" t="n"/>
      <c r="N129" s="27" t="n"/>
      <c r="O129" s="226" t="inlineStr">
        <is>
          <t>0</t>
        </is>
      </c>
      <c r="P129" s="226" t="inlineStr">
        <is>
          <t>0</t>
        </is>
      </c>
      <c r="Q129" s="226" t="inlineStr">
        <is>
          <t>0</t>
        </is>
      </c>
      <c r="R129" s="226" t="inlineStr">
        <is>
          <t>0</t>
        </is>
      </c>
      <c r="S129" s="226" t="inlineStr">
        <is>
          <t>0</t>
        </is>
      </c>
    </row>
    <row r="130" ht="14" customFormat="1" customHeight="1" s="1">
      <c r="A130" s="231" t="inlineStr">
        <is>
          <t>SKU-68E2C9C2</t>
        </is>
      </c>
      <c r="B130" s="231" t="n">
        <v>100</v>
      </c>
      <c r="C130" s="19" t="inlineStr">
        <is>
          <t>Product-61D75507</t>
        </is>
      </c>
      <c r="D130" s="231" t="n">
        <v>1</v>
      </c>
      <c r="E130" s="51" t="n">
        <v>44.848</v>
      </c>
      <c r="F130" s="184" t="n">
        <v>31.804</v>
      </c>
      <c r="G130" s="184" t="n">
        <v>0.200000000000003</v>
      </c>
      <c r="H130" s="27" t="inlineStr"/>
      <c r="I130" s="27" t="inlineStr"/>
      <c r="J130" s="27" t="inlineStr">
        <is>
          <t>Brand-Anonymized</t>
        </is>
      </c>
      <c r="K130" s="27" t="n">
        <v>200</v>
      </c>
      <c r="L130" s="27" t="n"/>
      <c r="M130" s="27" t="n"/>
      <c r="N130" s="27" t="n"/>
      <c r="O130" s="226" t="inlineStr">
        <is>
          <t>0</t>
        </is>
      </c>
      <c r="P130" s="226" t="inlineStr">
        <is>
          <t>0</t>
        </is>
      </c>
      <c r="Q130" s="226" t="inlineStr">
        <is>
          <t>0</t>
        </is>
      </c>
      <c r="R130" s="226" t="n">
        <v>31.804</v>
      </c>
      <c r="S130" s="226" t="inlineStr">
        <is>
          <t>0</t>
        </is>
      </c>
    </row>
    <row r="131" ht="14" customFormat="1" customHeight="1" s="1">
      <c r="A131" s="231" t="inlineStr">
        <is>
          <t>SKU-3821C959</t>
        </is>
      </c>
      <c r="B131" s="231" t="n">
        <v>100</v>
      </c>
      <c r="C131" s="19" t="inlineStr">
        <is>
          <t>Product-E665821D</t>
        </is>
      </c>
      <c r="D131" s="231" t="n">
        <v>1</v>
      </c>
      <c r="E131" s="51" t="n">
        <v>61.502</v>
      </c>
      <c r="F131" s="184" t="n">
        <v>20</v>
      </c>
      <c r="G131" s="184" t="n">
        <v>9.384</v>
      </c>
      <c r="H131" s="27" t="inlineStr">
        <is>
          <t>X</t>
        </is>
      </c>
      <c r="I131" s="27" t="inlineStr">
        <is>
          <t>标</t>
        </is>
      </c>
      <c r="J131" s="27" t="inlineStr">
        <is>
          <t>Brand-Anonymized</t>
        </is>
      </c>
      <c r="K131" s="27" t="n">
        <v>200</v>
      </c>
      <c r="L131" s="27" t="inlineStr">
        <is>
          <t>C</t>
        </is>
      </c>
      <c r="M131" s="27" t="n"/>
      <c r="N131" s="27" t="n"/>
      <c r="O131" s="228" t="n">
        <v>0</v>
      </c>
      <c r="P131" s="227" t="n">
        <v>0</v>
      </c>
      <c r="Q131" s="226" t="n">
        <v>20</v>
      </c>
      <c r="R131" s="226" t="n">
        <v>0</v>
      </c>
      <c r="S131" s="226" t="n">
        <v>0</v>
      </c>
    </row>
    <row r="132" ht="14" customFormat="1" customHeight="1" s="1">
      <c r="A132" s="231" t="inlineStr">
        <is>
          <t>SKU-22F094B2</t>
        </is>
      </c>
      <c r="B132" s="231" t="n">
        <v>100</v>
      </c>
      <c r="C132" s="19" t="inlineStr">
        <is>
          <t>Product-A2C9FA4B</t>
        </is>
      </c>
      <c r="D132" s="231" t="n">
        <v>3</v>
      </c>
      <c r="E132" s="51" t="n">
        <v>350.594</v>
      </c>
      <c r="F132" s="184" t="n">
        <v>77.2</v>
      </c>
      <c r="G132" s="184" t="n">
        <v>56.508</v>
      </c>
      <c r="H132" s="42" t="inlineStr">
        <is>
          <t>T</t>
        </is>
      </c>
      <c r="I132" s="27" t="inlineStr">
        <is>
          <t>标</t>
        </is>
      </c>
      <c r="J132" s="27" t="inlineStr">
        <is>
          <t>Brand-Anonymized</t>
        </is>
      </c>
      <c r="K132" s="27" t="n">
        <v>200</v>
      </c>
      <c r="L132" s="27" t="inlineStr">
        <is>
          <t>C</t>
        </is>
      </c>
      <c r="M132" s="27" t="n"/>
      <c r="N132" s="27" t="n"/>
      <c r="O132" s="226" t="inlineStr">
        <is>
          <t>0</t>
        </is>
      </c>
      <c r="P132" s="226" t="n">
        <v>0</v>
      </c>
      <c r="Q132" s="226" t="n">
        <v>77.2</v>
      </c>
      <c r="R132" s="226" t="inlineStr">
        <is>
          <t>0</t>
        </is>
      </c>
      <c r="S132" s="226" t="inlineStr">
        <is>
          <t>0</t>
        </is>
      </c>
    </row>
    <row r="133" ht="14" customFormat="1" customHeight="1" s="1">
      <c r="A133" s="231" t="inlineStr">
        <is>
          <t>SKU-A00C82DC</t>
        </is>
      </c>
      <c r="B133" s="231" t="n">
        <v>100</v>
      </c>
      <c r="C133" s="19" t="inlineStr">
        <is>
          <t>Product-C42233E0</t>
        </is>
      </c>
      <c r="D133" s="231" t="n">
        <v>1</v>
      </c>
      <c r="E133" s="51" t="n">
        <v>-146.816</v>
      </c>
      <c r="F133" s="184" t="n">
        <v>3</v>
      </c>
      <c r="G133" s="184" t="n">
        <v>2.068</v>
      </c>
      <c r="H133" s="27" t="inlineStr">
        <is>
          <t>X</t>
        </is>
      </c>
      <c r="I133" s="27" t="inlineStr">
        <is>
          <t>长</t>
        </is>
      </c>
      <c r="J133" s="27" t="inlineStr">
        <is>
          <t>Brand-Anonymized</t>
        </is>
      </c>
      <c r="K133" s="27" t="n">
        <v>200</v>
      </c>
      <c r="L133" s="27" t="inlineStr">
        <is>
          <t>C</t>
        </is>
      </c>
      <c r="M133" s="27" t="n"/>
      <c r="N133" s="27" t="n"/>
      <c r="O133" s="226" t="n">
        <v>0</v>
      </c>
      <c r="P133" s="227" t="n">
        <v>0</v>
      </c>
      <c r="Q133" s="226" t="n">
        <v>3</v>
      </c>
      <c r="R133" s="226" t="n">
        <v>0</v>
      </c>
      <c r="S133" s="226" t="n">
        <v>0</v>
      </c>
    </row>
    <row r="134" ht="14" customFormat="1" customHeight="1" s="1">
      <c r="A134" s="231" t="inlineStr">
        <is>
          <t>SKU-8ED723E3</t>
        </is>
      </c>
      <c r="B134" s="231" t="n">
        <v>100</v>
      </c>
      <c r="C134" s="19" t="inlineStr">
        <is>
          <t>Product-E8BD5CCF</t>
        </is>
      </c>
      <c r="D134" s="231" t="n">
        <v>1</v>
      </c>
      <c r="E134" s="51" t="n">
        <v>285.086</v>
      </c>
      <c r="F134" s="184" t="n">
        <v>100</v>
      </c>
      <c r="G134" s="184" t="n">
        <v>51.292</v>
      </c>
      <c r="H134" s="27" t="inlineStr">
        <is>
          <t>X</t>
        </is>
      </c>
      <c r="I134" s="27" t="inlineStr">
        <is>
          <t>细</t>
        </is>
      </c>
      <c r="J134" s="27" t="inlineStr">
        <is>
          <t>Brand-Anonymized</t>
        </is>
      </c>
      <c r="K134" s="27" t="n">
        <v>200</v>
      </c>
      <c r="L134" s="27" t="inlineStr">
        <is>
          <t>C</t>
        </is>
      </c>
      <c r="M134" s="27" t="n"/>
      <c r="N134" s="27" t="n"/>
      <c r="O134" s="226" t="n">
        <v>50</v>
      </c>
      <c r="P134" s="226" t="n">
        <v>0</v>
      </c>
      <c r="Q134" s="226" t="n">
        <v>50</v>
      </c>
      <c r="R134" s="226" t="n">
        <v>0</v>
      </c>
      <c r="S134" s="226" t="n">
        <v>0</v>
      </c>
    </row>
    <row r="135" ht="14" customFormat="1" customHeight="1" s="1">
      <c r="A135" s="231" t="inlineStr">
        <is>
          <t>SKU-DBA86E65</t>
        </is>
      </c>
      <c r="B135" s="231" t="n">
        <v>100</v>
      </c>
      <c r="C135" s="45" t="inlineStr">
        <is>
          <t>Product-621BB3A5</t>
        </is>
      </c>
      <c r="D135" s="231" t="n">
        <v>1</v>
      </c>
      <c r="E135" s="51" t="n">
        <v>4.762</v>
      </c>
      <c r="F135" s="184" t="n">
        <v>5</v>
      </c>
      <c r="G135" s="184" t="n">
        <v>5.324</v>
      </c>
      <c r="H135" s="27" t="inlineStr">
        <is>
          <t>X</t>
        </is>
      </c>
      <c r="I135" s="27" t="inlineStr">
        <is>
          <t>细</t>
        </is>
      </c>
      <c r="J135" s="27" t="inlineStr">
        <is>
          <t>Brand-Anonymized</t>
        </is>
      </c>
      <c r="K135" s="27" t="n">
        <v>200</v>
      </c>
      <c r="L135" s="27" t="inlineStr">
        <is>
          <t>C</t>
        </is>
      </c>
      <c r="M135" s="27" t="n"/>
      <c r="N135" s="27" t="n"/>
      <c r="O135" s="226" t="n">
        <v>0</v>
      </c>
      <c r="P135" s="226" t="n">
        <v>5</v>
      </c>
      <c r="Q135" s="226" t="n">
        <v>0</v>
      </c>
      <c r="R135" s="226" t="n">
        <v>0</v>
      </c>
      <c r="S135" s="226" t="n">
        <v>0</v>
      </c>
    </row>
    <row r="136" ht="14" customFormat="1" customHeight="1" s="1">
      <c r="A136" s="231" t="inlineStr">
        <is>
          <t>SKU-B757BD73</t>
        </is>
      </c>
      <c r="B136" s="231" t="n">
        <v>100</v>
      </c>
      <c r="C136" s="45" t="inlineStr">
        <is>
          <t>Product-3A2FFD27</t>
        </is>
      </c>
      <c r="D136" s="231" t="n">
        <v>3</v>
      </c>
      <c r="E136" s="51" t="n">
        <v>1642.126</v>
      </c>
      <c r="F136" s="184" t="n">
        <v>571.3</v>
      </c>
      <c r="G136" s="184" t="n">
        <v>230.312</v>
      </c>
      <c r="H136" s="42" t="inlineStr">
        <is>
          <t>T</t>
        </is>
      </c>
      <c r="I136" s="27" t="inlineStr"/>
      <c r="J136" s="27" t="inlineStr">
        <is>
          <t>Brand-Anonymized</t>
        </is>
      </c>
      <c r="K136" s="27" t="n">
        <v>200</v>
      </c>
      <c r="L136" s="27" t="n"/>
      <c r="M136" s="27" t="n"/>
      <c r="N136" s="27" t="n"/>
      <c r="O136" s="226" t="n">
        <v>115</v>
      </c>
      <c r="P136" s="226" t="n">
        <v>115</v>
      </c>
      <c r="Q136" s="226" t="n">
        <v>115</v>
      </c>
      <c r="R136" s="226" t="n">
        <v>115</v>
      </c>
      <c r="S136" s="226" t="n">
        <v>111.3</v>
      </c>
    </row>
    <row r="137" ht="14" customFormat="1" customHeight="1" s="1">
      <c r="A137" s="231" t="inlineStr">
        <is>
          <t>SKU-85EB87C2</t>
        </is>
      </c>
      <c r="B137" s="231" t="n">
        <v>100</v>
      </c>
      <c r="C137" s="43" t="inlineStr">
        <is>
          <t>Product-21719E56</t>
        </is>
      </c>
      <c r="D137" s="231" t="n">
        <v>3</v>
      </c>
      <c r="E137" s="51" t="n">
        <v>0</v>
      </c>
      <c r="F137" s="184" t="n">
        <v>0</v>
      </c>
      <c r="G137" s="184" t="n">
        <v>0</v>
      </c>
      <c r="H137" s="42" t="inlineStr"/>
      <c r="I137" s="27" t="inlineStr"/>
      <c r="J137" s="27" t="inlineStr">
        <is>
          <t>Brand-Anonymized</t>
        </is>
      </c>
      <c r="K137" s="27" t="n">
        <v>200</v>
      </c>
      <c r="L137" s="27" t="n"/>
      <c r="M137" s="27" t="n"/>
      <c r="N137" s="27" t="n"/>
      <c r="O137" s="226" t="inlineStr">
        <is>
          <t>0</t>
        </is>
      </c>
      <c r="P137" s="226" t="inlineStr">
        <is>
          <t>0</t>
        </is>
      </c>
      <c r="Q137" s="226" t="inlineStr">
        <is>
          <t>0</t>
        </is>
      </c>
      <c r="R137" s="226" t="inlineStr">
        <is>
          <t>0</t>
        </is>
      </c>
      <c r="S137" s="226" t="inlineStr">
        <is>
          <t>0</t>
        </is>
      </c>
    </row>
    <row r="138" ht="14" customFormat="1" customHeight="1" s="1">
      <c r="A138" s="231" t="inlineStr">
        <is>
          <t>SKU-D52742FC</t>
        </is>
      </c>
      <c r="B138" s="231" t="n">
        <v>100</v>
      </c>
      <c r="C138" s="19" t="inlineStr">
        <is>
          <t>Product-651736B9</t>
        </is>
      </c>
      <c r="D138" s="231" t="n">
        <v>1</v>
      </c>
      <c r="E138" s="51" t="n">
        <v>275.208</v>
      </c>
      <c r="F138" s="184" t="n">
        <v>96.59999999999999</v>
      </c>
      <c r="G138" s="184" t="n">
        <v>38.696</v>
      </c>
      <c r="H138" s="27" t="inlineStr"/>
      <c r="I138" s="27" t="inlineStr"/>
      <c r="J138" s="27" t="inlineStr">
        <is>
          <t>Brand-Anonymized</t>
        </is>
      </c>
      <c r="K138" s="27" t="n">
        <v>200</v>
      </c>
      <c r="L138" s="27" t="n"/>
      <c r="M138" s="27" t="n"/>
      <c r="N138" s="27" t="n"/>
      <c r="O138" s="226" t="inlineStr">
        <is>
          <t>0</t>
        </is>
      </c>
      <c r="P138" s="226" t="n">
        <v>46.6</v>
      </c>
      <c r="Q138" s="226" t="n">
        <v>0</v>
      </c>
      <c r="R138" s="226" t="n">
        <v>50</v>
      </c>
      <c r="S138" s="226" t="inlineStr">
        <is>
          <t>0</t>
        </is>
      </c>
    </row>
    <row r="139" ht="14" customFormat="1" customHeight="1" s="1">
      <c r="A139" s="231" t="inlineStr">
        <is>
          <t>SKU-D4326C5A</t>
        </is>
      </c>
      <c r="B139" s="231" t="n">
        <v>100</v>
      </c>
      <c r="C139" s="19" t="inlineStr">
        <is>
          <t>Product-E1F8C543</t>
        </is>
      </c>
      <c r="D139" s="231" t="n">
        <v>3</v>
      </c>
      <c r="E139" s="51" t="n">
        <v>1413.358</v>
      </c>
      <c r="F139" s="184" t="n">
        <v>595.5</v>
      </c>
      <c r="G139" s="184" t="n">
        <v>173.376</v>
      </c>
      <c r="H139" s="27" t="inlineStr"/>
      <c r="I139" s="27" t="inlineStr"/>
      <c r="J139" s="27" t="inlineStr">
        <is>
          <t>Brand-Anonymized</t>
        </is>
      </c>
      <c r="K139" s="27" t="n">
        <v>200</v>
      </c>
      <c r="L139" s="27" t="n"/>
      <c r="M139" s="27" t="n"/>
      <c r="N139" s="27" t="n"/>
      <c r="O139" s="226" t="n">
        <v>150</v>
      </c>
      <c r="P139" s="226" t="n">
        <v>151</v>
      </c>
      <c r="Q139" s="226" t="n">
        <v>169</v>
      </c>
      <c r="R139" s="226" t="n">
        <v>125.5</v>
      </c>
      <c r="S139" s="226" t="n">
        <v>0</v>
      </c>
    </row>
    <row r="140" ht="14" customFormat="1" customHeight="1" s="1">
      <c r="A140" s="231" t="inlineStr">
        <is>
          <t>SKU-7882C790</t>
        </is>
      </c>
      <c r="B140" s="231" t="n">
        <v>100</v>
      </c>
      <c r="C140" s="43" t="inlineStr">
        <is>
          <t>Product-F864C796</t>
        </is>
      </c>
      <c r="D140" s="231" t="n">
        <v>3</v>
      </c>
      <c r="E140" s="51" t="n">
        <v>0</v>
      </c>
      <c r="F140" s="184" t="n">
        <v>0</v>
      </c>
      <c r="G140" s="184" t="n">
        <v>0</v>
      </c>
      <c r="H140" s="27" t="inlineStr"/>
      <c r="I140" s="27" t="inlineStr"/>
      <c r="J140" s="27" t="inlineStr">
        <is>
          <t>Brand-Anonymized</t>
        </is>
      </c>
      <c r="K140" s="27" t="n">
        <v>200</v>
      </c>
      <c r="L140" s="27" t="n"/>
      <c r="M140" s="27" t="n"/>
      <c r="N140" s="27" t="n"/>
      <c r="O140" s="226" t="inlineStr">
        <is>
          <t>0</t>
        </is>
      </c>
      <c r="P140" s="226" t="inlineStr">
        <is>
          <t>0</t>
        </is>
      </c>
      <c r="Q140" s="226" t="inlineStr">
        <is>
          <t>0</t>
        </is>
      </c>
      <c r="R140" s="226" t="inlineStr">
        <is>
          <t>0</t>
        </is>
      </c>
      <c r="S140" s="226" t="inlineStr">
        <is>
          <t>0</t>
        </is>
      </c>
    </row>
    <row r="141" ht="14" customFormat="1" customHeight="1" s="1">
      <c r="A141" s="231" t="inlineStr">
        <is>
          <t>SKU-9A453BC6</t>
        </is>
      </c>
      <c r="B141" s="231" t="n">
        <v>100</v>
      </c>
      <c r="C141" s="19" t="inlineStr">
        <is>
          <t>Product-C344580B</t>
        </is>
      </c>
      <c r="D141" s="231" t="n">
        <v>2</v>
      </c>
      <c r="E141" s="51" t="n">
        <v>921.26</v>
      </c>
      <c r="F141" s="184" t="n">
        <v>340.4</v>
      </c>
      <c r="G141" s="184" t="n">
        <v>137.42</v>
      </c>
      <c r="H141" s="27" t="inlineStr"/>
      <c r="I141" s="27" t="inlineStr"/>
      <c r="J141" s="27" t="inlineStr">
        <is>
          <t>Brand-Anonymized</t>
        </is>
      </c>
      <c r="K141" s="27" t="n">
        <v>200</v>
      </c>
      <c r="L141" s="27" t="n"/>
      <c r="M141" s="27" t="n"/>
      <c r="N141" s="27" t="n"/>
      <c r="O141" s="226" t="n">
        <v>84</v>
      </c>
      <c r="P141" s="226" t="n">
        <v>88</v>
      </c>
      <c r="Q141" s="226" t="n">
        <v>86</v>
      </c>
      <c r="R141" s="226" t="n">
        <v>82.40000000000001</v>
      </c>
      <c r="S141" s="226" t="n">
        <v>0</v>
      </c>
    </row>
    <row r="142" ht="14" customFormat="1" customHeight="1" s="1">
      <c r="A142" s="231" t="inlineStr">
        <is>
          <t>SKU-EE07E257</t>
        </is>
      </c>
      <c r="B142" s="231" t="n">
        <v>100</v>
      </c>
      <c r="C142" s="19" t="inlineStr">
        <is>
          <t>Product-1F0D9429</t>
        </is>
      </c>
      <c r="D142" s="231" t="n">
        <v>2</v>
      </c>
      <c r="E142" s="51" t="n">
        <v>2498.912</v>
      </c>
      <c r="F142" s="184" t="n">
        <v>914.5</v>
      </c>
      <c r="G142" s="184" t="n">
        <v>358.144</v>
      </c>
      <c r="H142" s="27" t="inlineStr"/>
      <c r="I142" s="27" t="inlineStr">
        <is>
          <t>细</t>
        </is>
      </c>
      <c r="J142" s="27" t="inlineStr">
        <is>
          <t>Brand-Anonymized</t>
        </is>
      </c>
      <c r="K142" s="27" t="n">
        <v>200</v>
      </c>
      <c r="L142" s="27" t="inlineStr">
        <is>
          <t>C</t>
        </is>
      </c>
      <c r="M142" s="27" t="n"/>
      <c r="N142" s="27" t="n"/>
      <c r="O142" s="226" t="n">
        <v>200</v>
      </c>
      <c r="P142" s="226" t="n">
        <v>240</v>
      </c>
      <c r="Q142" s="226" t="n">
        <v>249</v>
      </c>
      <c r="R142" s="226" t="n">
        <v>225.5</v>
      </c>
      <c r="S142" s="226" t="inlineStr">
        <is>
          <t>0</t>
        </is>
      </c>
    </row>
    <row r="143" ht="14" customFormat="1" customHeight="1" s="1">
      <c r="A143" s="55" t="inlineStr">
        <is>
          <t>SKU-49DCD58C</t>
        </is>
      </c>
      <c r="B143" s="231" t="n">
        <v>100</v>
      </c>
      <c r="C143" s="33" t="inlineStr">
        <is>
          <t>Product-BF9865D9</t>
        </is>
      </c>
      <c r="D143" s="231" t="n">
        <v>1</v>
      </c>
      <c r="E143" s="51" t="n">
        <v>0</v>
      </c>
      <c r="F143" s="184" t="n">
        <v>0</v>
      </c>
      <c r="G143" s="184" t="n">
        <v>0</v>
      </c>
      <c r="H143" s="56" t="inlineStr"/>
      <c r="I143" s="56" t="inlineStr">
        <is>
          <t>方</t>
        </is>
      </c>
      <c r="J143" s="56" t="inlineStr">
        <is>
          <t>Brand-Anonymized</t>
        </is>
      </c>
      <c r="K143" s="56" t="n">
        <v>200</v>
      </c>
      <c r="L143" s="56" t="inlineStr">
        <is>
          <t>C</t>
        </is>
      </c>
      <c r="M143" s="56" t="n"/>
      <c r="N143" s="56" t="n"/>
      <c r="O143" s="226" t="inlineStr">
        <is>
          <t>0</t>
        </is>
      </c>
      <c r="P143" s="226" t="inlineStr">
        <is>
          <t>0</t>
        </is>
      </c>
      <c r="Q143" s="226" t="inlineStr">
        <is>
          <t>0</t>
        </is>
      </c>
      <c r="R143" s="226" t="inlineStr">
        <is>
          <t>0</t>
        </is>
      </c>
      <c r="S143" s="226" t="inlineStr">
        <is>
          <t>0</t>
        </is>
      </c>
    </row>
    <row r="144" ht="14" customFormat="1" customHeight="1" s="1">
      <c r="A144" s="231" t="inlineStr">
        <is>
          <t>SKU-5D621FD4</t>
        </is>
      </c>
      <c r="B144" s="231" t="n">
        <v>100</v>
      </c>
      <c r="C144" s="19" t="inlineStr">
        <is>
          <t>Product-26631748</t>
        </is>
      </c>
      <c r="D144" s="231" t="n">
        <v>1</v>
      </c>
      <c r="E144" s="51" t="n">
        <v>104.868</v>
      </c>
      <c r="F144" s="184" t="n">
        <v>50.4</v>
      </c>
      <c r="G144" s="184" t="n">
        <v>18.896</v>
      </c>
      <c r="H144" s="56" t="inlineStr"/>
      <c r="I144" s="56" t="inlineStr">
        <is>
          <t>细</t>
        </is>
      </c>
      <c r="J144" s="56" t="inlineStr">
        <is>
          <t>Brand-Anonymized</t>
        </is>
      </c>
      <c r="K144" s="56" t="n">
        <v>200</v>
      </c>
      <c r="L144" s="56" t="inlineStr">
        <is>
          <t>C</t>
        </is>
      </c>
      <c r="M144" s="56" t="n"/>
      <c r="N144" s="56" t="n"/>
      <c r="O144" s="226" t="inlineStr">
        <is>
          <t>0</t>
        </is>
      </c>
      <c r="P144" s="226" t="n">
        <v>46.6</v>
      </c>
      <c r="Q144" s="226" t="n">
        <v>3.8</v>
      </c>
      <c r="R144" s="226" t="inlineStr">
        <is>
          <t>0</t>
        </is>
      </c>
      <c r="S144" s="226" t="inlineStr">
        <is>
          <t>0</t>
        </is>
      </c>
    </row>
    <row r="145" ht="14" customFormat="1" customHeight="1" s="1">
      <c r="A145" s="231" t="inlineStr">
        <is>
          <t>SKU-CA16AEB9</t>
        </is>
      </c>
      <c r="B145" s="231" t="n">
        <v>100</v>
      </c>
      <c r="C145" s="19" t="inlineStr">
        <is>
          <t>Product-4B7D4BD1</t>
        </is>
      </c>
      <c r="D145" s="231" t="n">
        <v>1</v>
      </c>
      <c r="E145" s="51" t="n">
        <v>1.034</v>
      </c>
      <c r="F145" s="184" t="n">
        <v>5</v>
      </c>
      <c r="G145" s="184" t="n">
        <v>5.748</v>
      </c>
      <c r="H145" s="27" t="inlineStr">
        <is>
          <t>C</t>
        </is>
      </c>
      <c r="I145" s="27" t="inlineStr">
        <is>
          <t>细</t>
        </is>
      </c>
      <c r="J145" s="27" t="inlineStr">
        <is>
          <t>Brand-Anonymized</t>
        </is>
      </c>
      <c r="K145" s="27" t="n">
        <v>200</v>
      </c>
      <c r="L145" s="27" t="inlineStr">
        <is>
          <t>C</t>
        </is>
      </c>
      <c r="M145" s="27" t="n"/>
      <c r="N145" s="27" t="n"/>
      <c r="O145" s="226" t="n">
        <v>5</v>
      </c>
      <c r="P145" s="226" t="n">
        <v>0</v>
      </c>
      <c r="Q145" s="226" t="n">
        <v>0</v>
      </c>
      <c r="R145" s="226" t="n">
        <v>0</v>
      </c>
      <c r="S145" s="226" t="n">
        <v>0</v>
      </c>
    </row>
    <row r="146" ht="14" customFormat="1" customHeight="1" s="1">
      <c r="A146" s="231" t="inlineStr">
        <is>
          <t>SKU-73F9B5D4</t>
        </is>
      </c>
      <c r="B146" s="231" t="n">
        <v>100</v>
      </c>
      <c r="C146" s="43" t="inlineStr">
        <is>
          <t>Product-E50899B3</t>
        </is>
      </c>
      <c r="D146" s="231" t="n">
        <v>2</v>
      </c>
      <c r="E146" s="51" t="n">
        <v>0</v>
      </c>
      <c r="F146" s="184" t="n">
        <v>0</v>
      </c>
      <c r="G146" s="184" t="n">
        <v>0</v>
      </c>
      <c r="H146" s="27" t="inlineStr"/>
      <c r="I146" s="27" t="inlineStr"/>
      <c r="J146" s="27" t="inlineStr">
        <is>
          <t>Brand-Anonymized</t>
        </is>
      </c>
      <c r="K146" s="27" t="n">
        <v>200</v>
      </c>
      <c r="L146" s="27" t="n"/>
      <c r="M146" s="27" t="n"/>
      <c r="N146" s="27" t="n"/>
      <c r="O146" s="226" t="inlineStr">
        <is>
          <t>0</t>
        </is>
      </c>
      <c r="P146" s="226" t="inlineStr">
        <is>
          <t>0</t>
        </is>
      </c>
      <c r="Q146" s="226" t="inlineStr">
        <is>
          <t>0</t>
        </is>
      </c>
      <c r="R146" s="226" t="inlineStr">
        <is>
          <t>0</t>
        </is>
      </c>
      <c r="S146" s="226" t="inlineStr">
        <is>
          <t>0</t>
        </is>
      </c>
    </row>
    <row r="147" ht="14" customFormat="1" customHeight="1" s="1">
      <c r="A147" s="231" t="inlineStr">
        <is>
          <t>SKU-7C4AE0E1</t>
        </is>
      </c>
      <c r="B147" s="231" t="n">
        <v>100</v>
      </c>
      <c r="C147" s="19" t="inlineStr">
        <is>
          <t>Product-69803ED8</t>
        </is>
      </c>
      <c r="D147" s="231" t="n">
        <v>1</v>
      </c>
      <c r="E147" s="51" t="n">
        <v>39.836</v>
      </c>
      <c r="F147" s="184" t="n">
        <v>0</v>
      </c>
      <c r="G147" s="184" t="n">
        <v>2.952</v>
      </c>
      <c r="H147" s="27" t="inlineStr">
        <is>
          <t>C</t>
        </is>
      </c>
      <c r="I147" s="27" t="inlineStr">
        <is>
          <t>长</t>
        </is>
      </c>
      <c r="J147" s="27" t="inlineStr">
        <is>
          <t>Brand-Anonymized</t>
        </is>
      </c>
      <c r="K147" s="27" t="n">
        <v>200</v>
      </c>
      <c r="L147" s="27" t="inlineStr">
        <is>
          <t>C</t>
        </is>
      </c>
      <c r="M147" s="27" t="n"/>
      <c r="N147" s="27" t="n"/>
      <c r="O147" s="228" t="n">
        <v>0</v>
      </c>
      <c r="P147" s="227" t="n">
        <v>0</v>
      </c>
      <c r="Q147" s="226" t="n">
        <v>0</v>
      </c>
      <c r="R147" s="226" t="n">
        <v>0</v>
      </c>
      <c r="S147" s="226" t="n">
        <v>0</v>
      </c>
    </row>
    <row r="148" ht="14" customFormat="1" customHeight="1" s="1">
      <c r="A148" s="231" t="inlineStr">
        <is>
          <t>SKU-38CF6D81</t>
        </is>
      </c>
      <c r="B148" s="231" t="n">
        <v>100</v>
      </c>
      <c r="C148" s="19" t="inlineStr">
        <is>
          <t>Product-770D085E</t>
        </is>
      </c>
      <c r="D148" s="231" t="n">
        <v>3</v>
      </c>
      <c r="E148" s="51" t="n">
        <v>1017.054</v>
      </c>
      <c r="F148" s="184" t="n">
        <v>315.3</v>
      </c>
      <c r="G148" s="184" t="n">
        <v>131.508</v>
      </c>
      <c r="H148" s="27" t="inlineStr"/>
      <c r="I148" s="27" t="inlineStr"/>
      <c r="J148" s="27" t="inlineStr">
        <is>
          <t>Brand-Anonymized</t>
        </is>
      </c>
      <c r="K148" s="27" t="n">
        <v>200</v>
      </c>
      <c r="L148" s="27" t="n"/>
      <c r="M148" s="27" t="n"/>
      <c r="N148" s="27" t="n"/>
      <c r="O148" s="226" t="inlineStr">
        <is>
          <t>0</t>
        </is>
      </c>
      <c r="P148" s="226" t="n">
        <v>105</v>
      </c>
      <c r="Q148" s="226" t="n">
        <v>105</v>
      </c>
      <c r="R148" s="226" t="n">
        <v>105.3</v>
      </c>
      <c r="S148" s="226" t="inlineStr">
        <is>
          <t>0</t>
        </is>
      </c>
    </row>
    <row r="149" ht="14" customFormat="1" customHeight="1" s="1">
      <c r="A149" s="231" t="inlineStr">
        <is>
          <t>SKU-87F8B8AB</t>
        </is>
      </c>
      <c r="B149" s="231" t="n">
        <v>100</v>
      </c>
      <c r="C149" s="19" t="inlineStr">
        <is>
          <t>Product-7BF3E316</t>
        </is>
      </c>
      <c r="D149" s="231" t="n">
        <v>2</v>
      </c>
      <c r="E149" s="51" t="n">
        <v>934.99</v>
      </c>
      <c r="F149" s="184" t="n">
        <v>379.9</v>
      </c>
      <c r="G149" s="184" t="n">
        <v>143.66</v>
      </c>
      <c r="H149" s="27" t="inlineStr"/>
      <c r="I149" s="27" t="inlineStr">
        <is>
          <t>细</t>
        </is>
      </c>
      <c r="J149" s="27" t="inlineStr">
        <is>
          <t>Brand-Anonymized</t>
        </is>
      </c>
      <c r="K149" s="27" t="n">
        <v>200</v>
      </c>
      <c r="L149" s="27" t="inlineStr">
        <is>
          <t>C</t>
        </is>
      </c>
      <c r="M149" s="27" t="n"/>
      <c r="N149" s="27" t="n"/>
      <c r="O149" s="226" t="n">
        <v>120</v>
      </c>
      <c r="P149" s="226" t="n">
        <v>120</v>
      </c>
      <c r="Q149" s="226" t="n">
        <v>0</v>
      </c>
      <c r="R149" s="226" t="n">
        <v>139.9</v>
      </c>
      <c r="S149" s="226" t="inlineStr">
        <is>
          <t>0</t>
        </is>
      </c>
    </row>
    <row r="150" ht="14" customFormat="1" customHeight="1" s="1">
      <c r="A150" s="231" t="inlineStr">
        <is>
          <t>SKU-2BECE586</t>
        </is>
      </c>
      <c r="B150" s="231" t="n">
        <v>100</v>
      </c>
      <c r="C150" s="19" t="inlineStr">
        <is>
          <t>Product-AECED13C</t>
        </is>
      </c>
      <c r="D150" s="231" t="n">
        <v>1</v>
      </c>
      <c r="E150" s="51" t="n">
        <v>-16.954</v>
      </c>
      <c r="F150" s="184" t="n">
        <v>1.66</v>
      </c>
      <c r="G150" s="184" t="n">
        <v>1.892</v>
      </c>
      <c r="H150" s="27" t="inlineStr"/>
      <c r="I150" s="27" t="inlineStr">
        <is>
          <t>标</t>
        </is>
      </c>
      <c r="J150" s="27" t="inlineStr">
        <is>
          <t>Brand-Anonymized</t>
        </is>
      </c>
      <c r="K150" s="27" t="n">
        <v>200</v>
      </c>
      <c r="L150" s="27" t="inlineStr">
        <is>
          <t>C</t>
        </is>
      </c>
      <c r="M150" s="27" t="n"/>
      <c r="N150" s="27" t="n"/>
      <c r="O150" s="226" t="n">
        <v>1.4</v>
      </c>
      <c r="P150" s="226" t="inlineStr">
        <is>
          <t>0</t>
        </is>
      </c>
      <c r="Q150" s="226" t="n">
        <v>0.26</v>
      </c>
      <c r="R150" s="226" t="inlineStr">
        <is>
          <t>0</t>
        </is>
      </c>
      <c r="S150" s="226" t="inlineStr">
        <is>
          <t>0</t>
        </is>
      </c>
    </row>
    <row r="151" ht="14" customFormat="1" customHeight="1" s="1">
      <c r="A151" s="231" t="inlineStr">
        <is>
          <t>SKU-E2A6D7B2</t>
        </is>
      </c>
      <c r="B151" s="231" t="n">
        <v>100</v>
      </c>
      <c r="C151" s="19" t="inlineStr">
        <is>
          <t>Product-7068DBFE</t>
        </is>
      </c>
      <c r="D151" s="231" t="n">
        <v>3</v>
      </c>
      <c r="E151" s="51" t="n">
        <v>627.162</v>
      </c>
      <c r="F151" s="184" t="n">
        <v>169.5</v>
      </c>
      <c r="G151" s="184" t="n">
        <v>75.14400000000001</v>
      </c>
      <c r="H151" s="27" t="inlineStr"/>
      <c r="I151" s="27" t="inlineStr"/>
      <c r="J151" s="27" t="inlineStr">
        <is>
          <t>Brand-Anonymized</t>
        </is>
      </c>
      <c r="K151" s="27" t="n">
        <v>200</v>
      </c>
      <c r="L151" s="27" t="n"/>
      <c r="M151" s="27" t="n"/>
      <c r="N151" s="27" t="n"/>
      <c r="O151" s="226" t="n">
        <v>0</v>
      </c>
      <c r="P151" s="226" t="n">
        <v>0</v>
      </c>
      <c r="Q151" s="226" t="n">
        <v>94</v>
      </c>
      <c r="R151" s="226" t="n">
        <v>75.5</v>
      </c>
      <c r="S151" s="226" t="inlineStr">
        <is>
          <t>0</t>
        </is>
      </c>
    </row>
    <row r="152" ht="14" customFormat="1" customHeight="1" s="1">
      <c r="A152" s="231" t="inlineStr">
        <is>
          <t>SKU-DF4C456E</t>
        </is>
      </c>
      <c r="B152" s="231" t="n">
        <v>100</v>
      </c>
      <c r="C152" s="19" t="inlineStr">
        <is>
          <t>Product-2194AF5F</t>
        </is>
      </c>
      <c r="D152" s="231" t="n">
        <v>2</v>
      </c>
      <c r="E152" s="51" t="n">
        <v>754.544</v>
      </c>
      <c r="F152" s="184" t="n">
        <v>265.2</v>
      </c>
      <c r="G152" s="184" t="n">
        <v>104.708</v>
      </c>
      <c r="H152" s="27" t="inlineStr"/>
      <c r="I152" s="27" t="inlineStr">
        <is>
          <t>标</t>
        </is>
      </c>
      <c r="J152" s="27" t="inlineStr">
        <is>
          <t>Brand-Anonymized</t>
        </is>
      </c>
      <c r="K152" s="27" t="n">
        <v>200</v>
      </c>
      <c r="L152" s="27" t="inlineStr">
        <is>
          <t>C</t>
        </is>
      </c>
      <c r="M152" s="27" t="n"/>
      <c r="N152" s="27" t="n"/>
      <c r="O152" s="226" t="n">
        <v>85</v>
      </c>
      <c r="P152" s="226" t="inlineStr">
        <is>
          <t>0</t>
        </is>
      </c>
      <c r="Q152" s="226" t="n">
        <v>90</v>
      </c>
      <c r="R152" s="226" t="n">
        <v>90.2</v>
      </c>
      <c r="S152" s="226" t="inlineStr">
        <is>
          <t>0</t>
        </is>
      </c>
    </row>
    <row r="153" ht="14" customFormat="1" customHeight="1" s="1">
      <c r="A153" s="231" t="inlineStr">
        <is>
          <t>SKU-346CCBE7</t>
        </is>
      </c>
      <c r="B153" s="231" t="n">
        <v>100</v>
      </c>
      <c r="C153" s="19" t="inlineStr">
        <is>
          <t>Product-5785945E</t>
        </is>
      </c>
      <c r="D153" s="231" t="n">
        <v>1</v>
      </c>
      <c r="E153" s="51" t="n">
        <v>7.376</v>
      </c>
      <c r="F153" s="184" t="n">
        <v>5</v>
      </c>
      <c r="G153" s="184" t="n">
        <v>5.992</v>
      </c>
      <c r="H153" s="27" t="inlineStr">
        <is>
          <t>C</t>
        </is>
      </c>
      <c r="I153" s="27" t="inlineStr">
        <is>
          <t>标</t>
        </is>
      </c>
      <c r="J153" s="27" t="inlineStr">
        <is>
          <t>Brand-Anonymized</t>
        </is>
      </c>
      <c r="K153" s="27" t="n">
        <v>200</v>
      </c>
      <c r="L153" s="27" t="inlineStr">
        <is>
          <t>C</t>
        </is>
      </c>
      <c r="M153" s="27" t="n"/>
      <c r="N153" s="27" t="n"/>
      <c r="O153" s="227" t="n">
        <v>5</v>
      </c>
      <c r="P153" s="226" t="n">
        <v>0</v>
      </c>
      <c r="Q153" s="226" t="n">
        <v>0</v>
      </c>
      <c r="R153" s="226" t="n">
        <v>0</v>
      </c>
      <c r="S153" s="226" t="n">
        <v>0</v>
      </c>
    </row>
    <row r="154" ht="14" customFormat="1" customHeight="1" s="1">
      <c r="A154" s="231" t="inlineStr">
        <is>
          <t>SKU-DF067F13</t>
        </is>
      </c>
      <c r="B154" s="231" t="n">
        <v>100</v>
      </c>
      <c r="C154" s="19" t="inlineStr">
        <is>
          <t>Product-2FB2C039</t>
        </is>
      </c>
      <c r="D154" s="231" t="n">
        <v>2</v>
      </c>
      <c r="E154" s="51" t="n">
        <v>436.38</v>
      </c>
      <c r="F154" s="184" t="n">
        <v>153.3</v>
      </c>
      <c r="G154" s="184" t="n">
        <v>77.40000000000001</v>
      </c>
      <c r="H154" s="27" t="inlineStr"/>
      <c r="I154" s="27" t="inlineStr"/>
      <c r="J154" s="27" t="inlineStr">
        <is>
          <t>Brand-Anonymized</t>
        </is>
      </c>
      <c r="K154" s="27" t="n">
        <v>200</v>
      </c>
      <c r="L154" s="27" t="n"/>
      <c r="M154" s="27" t="n"/>
      <c r="N154" s="27" t="n"/>
      <c r="O154" s="226" t="n">
        <v>76</v>
      </c>
      <c r="P154" s="226" t="n">
        <v>0</v>
      </c>
      <c r="Q154" s="226" t="n">
        <v>77.3</v>
      </c>
      <c r="R154" s="226" t="inlineStr">
        <is>
          <t>0</t>
        </is>
      </c>
      <c r="S154" s="226" t="inlineStr">
        <is>
          <t>0</t>
        </is>
      </c>
    </row>
    <row r="155" ht="14" customFormat="1" customHeight="1" s="1">
      <c r="A155" s="231" t="inlineStr">
        <is>
          <t>SKU-B6FC5230</t>
        </is>
      </c>
      <c r="B155" s="231" t="n">
        <v>100</v>
      </c>
      <c r="C155" s="19" t="inlineStr">
        <is>
          <t>Product-A90CE342</t>
        </is>
      </c>
      <c r="D155" s="231" t="n">
        <v>1</v>
      </c>
      <c r="E155" s="51" t="n">
        <v>191.02</v>
      </c>
      <c r="F155" s="184" t="n">
        <v>60</v>
      </c>
      <c r="G155" s="184" t="n">
        <v>30.78</v>
      </c>
      <c r="H155" s="27" t="inlineStr">
        <is>
          <t>C</t>
        </is>
      </c>
      <c r="I155" s="27" t="inlineStr">
        <is>
          <t>长</t>
        </is>
      </c>
      <c r="J155" s="27" t="inlineStr">
        <is>
          <t>Brand-Anonymized</t>
        </is>
      </c>
      <c r="K155" s="27" t="n">
        <v>200</v>
      </c>
      <c r="L155" s="27" t="inlineStr">
        <is>
          <t>C</t>
        </is>
      </c>
      <c r="M155" s="27" t="n"/>
      <c r="N155" s="27" t="n"/>
      <c r="O155" s="226" t="n">
        <v>0</v>
      </c>
      <c r="P155" s="226" t="n">
        <v>30</v>
      </c>
      <c r="Q155" s="226" t="n">
        <v>0</v>
      </c>
      <c r="R155" s="226" t="n">
        <v>30</v>
      </c>
      <c r="S155" s="226" t="n">
        <v>0</v>
      </c>
    </row>
    <row r="156" ht="14" customFormat="1" customHeight="1" s="1">
      <c r="A156" s="231" t="inlineStr">
        <is>
          <t>SKU-AD42A3A6</t>
        </is>
      </c>
      <c r="B156" s="231" t="n">
        <v>100</v>
      </c>
      <c r="C156" s="33" t="inlineStr">
        <is>
          <t>Product-1A22EAD1</t>
        </is>
      </c>
      <c r="D156" s="231" t="n">
        <v>1</v>
      </c>
      <c r="E156" s="51" t="n">
        <v>0</v>
      </c>
      <c r="F156" s="184" t="n">
        <v>0</v>
      </c>
      <c r="G156" s="184" t="n">
        <v>0</v>
      </c>
      <c r="H156" s="27" t="inlineStr"/>
      <c r="I156" s="27" t="inlineStr">
        <is>
          <t>方</t>
        </is>
      </c>
      <c r="J156" s="27" t="inlineStr">
        <is>
          <t>Brand-Anonymized</t>
        </is>
      </c>
      <c r="K156" s="27" t="n">
        <v>200</v>
      </c>
      <c r="L156" s="27" t="inlineStr">
        <is>
          <t>C</t>
        </is>
      </c>
      <c r="M156" s="27" t="n"/>
      <c r="N156" s="27" t="n"/>
      <c r="O156" s="226" t="inlineStr">
        <is>
          <t>0</t>
        </is>
      </c>
      <c r="P156" s="226" t="inlineStr">
        <is>
          <t>0</t>
        </is>
      </c>
      <c r="Q156" s="226" t="inlineStr">
        <is>
          <t>0</t>
        </is>
      </c>
      <c r="R156" s="226" t="inlineStr">
        <is>
          <t>0</t>
        </is>
      </c>
      <c r="S156" s="226" t="inlineStr">
        <is>
          <t>0</t>
        </is>
      </c>
    </row>
    <row r="157" ht="14" customFormat="1" customHeight="1" s="1">
      <c r="A157" s="231" t="inlineStr">
        <is>
          <t>SKU-E1FD63A2</t>
        </is>
      </c>
      <c r="B157" s="231" t="n">
        <v>100</v>
      </c>
      <c r="C157" s="19" t="inlineStr">
        <is>
          <t>Product-56A72B94</t>
        </is>
      </c>
      <c r="D157" s="231" t="n">
        <v>1</v>
      </c>
      <c r="E157" s="51" t="n">
        <v>1422</v>
      </c>
      <c r="F157" s="184" t="n">
        <v>500</v>
      </c>
      <c r="G157" s="184" t="n">
        <v>200.82</v>
      </c>
      <c r="H157" s="27" t="inlineStr">
        <is>
          <t>C</t>
        </is>
      </c>
      <c r="I157" s="27" t="inlineStr">
        <is>
          <t>长</t>
        </is>
      </c>
      <c r="J157" s="27" t="inlineStr">
        <is>
          <t>Brand-Anonymized</t>
        </is>
      </c>
      <c r="K157" s="27" t="n">
        <v>200</v>
      </c>
      <c r="L157" s="27" t="inlineStr">
        <is>
          <t>C</t>
        </is>
      </c>
      <c r="M157" s="27" t="n"/>
      <c r="N157" s="27" t="n"/>
      <c r="O157" s="226" t="n">
        <v>100</v>
      </c>
      <c r="P157" s="226" t="n">
        <v>100</v>
      </c>
      <c r="Q157" s="226" t="n">
        <v>200</v>
      </c>
      <c r="R157" s="226" t="n">
        <v>100</v>
      </c>
      <c r="S157" s="227" t="n">
        <v>0</v>
      </c>
    </row>
    <row r="158" ht="14" customFormat="1" customHeight="1" s="1">
      <c r="A158" s="231" t="inlineStr">
        <is>
          <t>SKU-AE256B22</t>
        </is>
      </c>
      <c r="B158" s="231" t="n">
        <v>100</v>
      </c>
      <c r="C158" s="19" t="inlineStr">
        <is>
          <t>Product-7D4E9E50</t>
        </is>
      </c>
      <c r="D158" s="231" t="n">
        <v>1</v>
      </c>
      <c r="E158" s="51" t="n">
        <v>3.038</v>
      </c>
      <c r="F158" s="184" t="n">
        <v>0</v>
      </c>
      <c r="G158" s="184" t="n">
        <v>1.296</v>
      </c>
      <c r="H158" s="27" t="inlineStr">
        <is>
          <t>X</t>
        </is>
      </c>
      <c r="I158" s="27" t="inlineStr">
        <is>
          <t>细</t>
        </is>
      </c>
      <c r="J158" s="27" t="inlineStr">
        <is>
          <t>Brand-Anonymized</t>
        </is>
      </c>
      <c r="K158" s="27" t="n">
        <v>200</v>
      </c>
      <c r="L158" s="27" t="inlineStr">
        <is>
          <t>C</t>
        </is>
      </c>
      <c r="M158" s="27" t="n"/>
      <c r="N158" s="27" t="n"/>
      <c r="O158" s="228" t="n">
        <v>0</v>
      </c>
      <c r="P158" s="227" t="n">
        <v>0</v>
      </c>
      <c r="Q158" s="226" t="n">
        <v>0</v>
      </c>
      <c r="R158" s="227" t="n">
        <v>0</v>
      </c>
      <c r="S158" s="226" t="n">
        <v>0</v>
      </c>
    </row>
    <row r="159" ht="14" customFormat="1" customHeight="1" s="1">
      <c r="A159" s="231" t="inlineStr">
        <is>
          <t>SKU-4824EA3C</t>
        </is>
      </c>
      <c r="B159" s="231" t="n">
        <v>100</v>
      </c>
      <c r="C159" s="45" t="inlineStr">
        <is>
          <t>Product-45B4B1EB</t>
        </is>
      </c>
      <c r="D159" s="231" t="n">
        <v>1</v>
      </c>
      <c r="E159" s="51" t="n">
        <v>31.508</v>
      </c>
      <c r="F159" s="184" t="n">
        <v>16</v>
      </c>
      <c r="G159" s="184" t="n">
        <v>8.536</v>
      </c>
      <c r="H159" s="27" t="inlineStr">
        <is>
          <t>X</t>
        </is>
      </c>
      <c r="I159" s="27" t="inlineStr">
        <is>
          <t>细</t>
        </is>
      </c>
      <c r="J159" s="27" t="inlineStr">
        <is>
          <t>Brand-Anonymized</t>
        </is>
      </c>
      <c r="K159" s="27" t="n">
        <v>200</v>
      </c>
      <c r="L159" s="27" t="inlineStr">
        <is>
          <t>C</t>
        </is>
      </c>
      <c r="M159" s="27" t="n"/>
      <c r="N159" s="27" t="n"/>
      <c r="O159" s="226" t="n">
        <v>0</v>
      </c>
      <c r="P159" s="226" t="n">
        <v>8</v>
      </c>
      <c r="Q159" s="226" t="n">
        <v>0</v>
      </c>
      <c r="R159" s="226" t="n">
        <v>8</v>
      </c>
      <c r="S159" s="226" t="n">
        <v>0</v>
      </c>
    </row>
    <row r="160" ht="14" customFormat="1" customHeight="1" s="1">
      <c r="A160" s="231" t="inlineStr">
        <is>
          <t>SKU-322FEDC4</t>
        </is>
      </c>
      <c r="B160" s="231" t="n">
        <v>100</v>
      </c>
      <c r="C160" s="45" t="inlineStr">
        <is>
          <t>Product-4D350FD9</t>
        </is>
      </c>
      <c r="D160" s="231" t="n">
        <v>1</v>
      </c>
      <c r="E160" s="51" t="n"/>
      <c r="F160" s="184" t="n">
        <v>0.772</v>
      </c>
      <c r="G160" s="184" t="n">
        <v>0.252</v>
      </c>
      <c r="H160" s="27" t="inlineStr">
        <is>
          <t>X</t>
        </is>
      </c>
      <c r="I160" s="27" t="inlineStr">
        <is>
          <t>细</t>
        </is>
      </c>
      <c r="J160" s="27" t="inlineStr">
        <is>
          <t>Brand-Anonymized</t>
        </is>
      </c>
      <c r="K160" s="27" t="n">
        <v>200</v>
      </c>
      <c r="L160" s="27" t="inlineStr">
        <is>
          <t>C</t>
        </is>
      </c>
      <c r="M160" s="27" t="n"/>
      <c r="N160" s="27" t="n"/>
      <c r="O160" s="226" t="n">
        <v>0</v>
      </c>
      <c r="P160" s="227" t="n">
        <v>0</v>
      </c>
      <c r="Q160" s="229" t="n">
        <v>0</v>
      </c>
      <c r="R160" s="229" t="n">
        <v>0</v>
      </c>
      <c r="S160" s="226" t="n">
        <v>0</v>
      </c>
    </row>
    <row r="161" ht="14" customFormat="1" customHeight="1" s="1">
      <c r="A161" s="231" t="inlineStr">
        <is>
          <t>SKU-5C2451E8</t>
        </is>
      </c>
      <c r="B161" s="231" t="n">
        <v>100</v>
      </c>
      <c r="C161" s="44" t="inlineStr">
        <is>
          <t>Product-094CF930</t>
        </is>
      </c>
      <c r="D161" s="231" t="n">
        <v>3</v>
      </c>
      <c r="E161" s="51" t="n">
        <v>0</v>
      </c>
      <c r="F161" s="184" t="n">
        <v>0</v>
      </c>
      <c r="G161" s="184" t="n">
        <v>0</v>
      </c>
      <c r="H161" s="27" t="inlineStr"/>
      <c r="I161" s="27" t="inlineStr"/>
      <c r="J161" s="27" t="inlineStr">
        <is>
          <t>Brand-Anonymized</t>
        </is>
      </c>
      <c r="K161" s="27" t="n">
        <v>200</v>
      </c>
      <c r="L161" s="27" t="n"/>
      <c r="M161" s="27" t="n"/>
      <c r="N161" s="27" t="n"/>
      <c r="O161" s="226" t="inlineStr">
        <is>
          <t>0</t>
        </is>
      </c>
      <c r="P161" s="226" t="inlineStr">
        <is>
          <t>0</t>
        </is>
      </c>
      <c r="Q161" s="226" t="inlineStr">
        <is>
          <t>0</t>
        </is>
      </c>
      <c r="R161" s="226" t="inlineStr">
        <is>
          <t>0</t>
        </is>
      </c>
      <c r="S161" s="226" t="inlineStr">
        <is>
          <t>0</t>
        </is>
      </c>
    </row>
    <row r="162" ht="14" customFormat="1" customHeight="1" s="1">
      <c r="A162" s="231" t="inlineStr">
        <is>
          <t>SKU-8456C17F</t>
        </is>
      </c>
      <c r="B162" s="231" t="n">
        <v>100</v>
      </c>
      <c r="C162" s="19" t="inlineStr">
        <is>
          <t>Product-C5A74F5E</t>
        </is>
      </c>
      <c r="D162" s="231" t="n">
        <v>1</v>
      </c>
      <c r="E162" s="51" t="n">
        <v>1314.356</v>
      </c>
      <c r="F162" s="184" t="n">
        <v>447.5</v>
      </c>
      <c r="G162" s="184" t="n">
        <v>175.232</v>
      </c>
      <c r="H162" s="27" t="inlineStr"/>
      <c r="I162" s="27" t="inlineStr"/>
      <c r="J162" s="27" t="inlineStr">
        <is>
          <t>Brand-Anonymized</t>
        </is>
      </c>
      <c r="K162" s="27" t="n">
        <v>200</v>
      </c>
      <c r="L162" s="27" t="n"/>
      <c r="M162" s="27" t="n"/>
      <c r="N162" s="27" t="n"/>
      <c r="O162" s="226" t="n">
        <v>110</v>
      </c>
      <c r="P162" s="226" t="inlineStr">
        <is>
          <t>0</t>
        </is>
      </c>
      <c r="Q162" s="226" t="n">
        <v>110</v>
      </c>
      <c r="R162" s="226" t="n">
        <v>110</v>
      </c>
      <c r="S162" s="226" t="n">
        <v>117.5</v>
      </c>
    </row>
    <row r="163" ht="14" customFormat="1" customHeight="1" s="1">
      <c r="A163" s="231" t="inlineStr">
        <is>
          <t>SKU-51089BE2</t>
        </is>
      </c>
      <c r="B163" s="231" t="n">
        <v>100</v>
      </c>
      <c r="C163" s="19" t="inlineStr">
        <is>
          <t>Product-0FD5ABF4</t>
        </is>
      </c>
      <c r="D163" s="231" t="n">
        <v>2</v>
      </c>
      <c r="E163" s="51" t="n">
        <v>589.1559999999999</v>
      </c>
      <c r="F163" s="184" t="n">
        <v>196.5</v>
      </c>
      <c r="G163" s="184" t="n">
        <v>79.812</v>
      </c>
      <c r="H163" s="27" t="inlineStr"/>
      <c r="I163" s="27" t="inlineStr"/>
      <c r="J163" s="27" t="inlineStr">
        <is>
          <t>Brand-Anonymized</t>
        </is>
      </c>
      <c r="K163" s="27" t="n">
        <v>200</v>
      </c>
      <c r="L163" s="27" t="n"/>
      <c r="M163" s="27" t="n"/>
      <c r="N163" s="27" t="n"/>
      <c r="O163" s="226" t="inlineStr">
        <is>
          <t>0</t>
        </is>
      </c>
      <c r="P163" s="226" t="n">
        <v>98</v>
      </c>
      <c r="Q163" s="226" t="inlineStr">
        <is>
          <t>0</t>
        </is>
      </c>
      <c r="R163" s="226" t="n">
        <v>98.5</v>
      </c>
      <c r="S163" s="226" t="inlineStr">
        <is>
          <t>0</t>
        </is>
      </c>
    </row>
    <row r="164" ht="14" customFormat="1" customHeight="1" s="1">
      <c r="A164" s="231" t="inlineStr">
        <is>
          <t>SKU-FFE04C4D</t>
        </is>
      </c>
      <c r="B164" s="231" t="n">
        <v>100</v>
      </c>
      <c r="C164" s="19" t="inlineStr">
        <is>
          <t>Product-B83DCFA4</t>
        </is>
      </c>
      <c r="D164" s="231" t="n">
        <v>1</v>
      </c>
      <c r="E164" s="51" t="n">
        <v>220.024</v>
      </c>
      <c r="F164" s="184" t="n">
        <v>64.7</v>
      </c>
      <c r="G164" s="184" t="n">
        <v>51.408</v>
      </c>
      <c r="H164" s="27" t="inlineStr"/>
      <c r="I164" s="27" t="inlineStr"/>
      <c r="J164" s="27" t="inlineStr">
        <is>
          <t>Brand-Anonymized</t>
        </is>
      </c>
      <c r="K164" s="27" t="n">
        <v>200</v>
      </c>
      <c r="L164" s="27" t="n"/>
      <c r="M164" s="27" t="n"/>
      <c r="N164" s="27" t="n"/>
      <c r="O164" s="226" t="n">
        <v>51.2</v>
      </c>
      <c r="P164" s="226" t="inlineStr">
        <is>
          <t>0</t>
        </is>
      </c>
      <c r="Q164" s="226" t="inlineStr">
        <is>
          <t>0</t>
        </is>
      </c>
      <c r="R164" s="226" t="n">
        <v>13.5</v>
      </c>
      <c r="S164" s="226" t="inlineStr">
        <is>
          <t>0</t>
        </is>
      </c>
    </row>
    <row r="165" ht="14" customFormat="1" customHeight="1" s="1">
      <c r="A165" s="231" t="inlineStr">
        <is>
          <t>SKU-97F868AB</t>
        </is>
      </c>
      <c r="B165" s="231" t="n">
        <v>100</v>
      </c>
      <c r="C165" s="19" t="inlineStr">
        <is>
          <t>Product-C62E3340</t>
        </is>
      </c>
      <c r="D165" s="231" t="n">
        <v>2</v>
      </c>
      <c r="E165" s="51" t="n">
        <v>3000.772</v>
      </c>
      <c r="F165" s="184" t="n">
        <v>912.3</v>
      </c>
      <c r="G165" s="184" t="n">
        <v>499.824</v>
      </c>
      <c r="H165" s="27" t="inlineStr">
        <is>
          <t>T</t>
        </is>
      </c>
      <c r="I165" s="27" t="inlineStr">
        <is>
          <t>细</t>
        </is>
      </c>
      <c r="J165" s="27" t="inlineStr">
        <is>
          <t>Brand-Anonymized</t>
        </is>
      </c>
      <c r="K165" s="27" t="n">
        <v>200</v>
      </c>
      <c r="L165" s="27" t="inlineStr">
        <is>
          <t>C</t>
        </is>
      </c>
      <c r="M165" s="27" t="n"/>
      <c r="N165" s="27" t="n"/>
      <c r="O165" s="226" t="n">
        <v>180</v>
      </c>
      <c r="P165" s="226" t="n">
        <v>200</v>
      </c>
      <c r="Q165" s="226" t="n">
        <v>200</v>
      </c>
      <c r="R165" s="226" t="n">
        <v>200</v>
      </c>
      <c r="S165" s="226" t="n">
        <v>132.3</v>
      </c>
    </row>
    <row r="166" ht="14" customFormat="1" customHeight="1" s="1">
      <c r="A166" s="231" t="inlineStr">
        <is>
          <t>SKU-8D644BC3</t>
        </is>
      </c>
      <c r="B166" s="231" t="n">
        <v>100</v>
      </c>
      <c r="C166" s="19" t="inlineStr">
        <is>
          <t>Product-DE90CB9B</t>
        </is>
      </c>
      <c r="D166" s="231" t="n">
        <v>1</v>
      </c>
      <c r="E166" s="51" t="n">
        <v>576.056</v>
      </c>
      <c r="F166" s="184" t="n">
        <v>200</v>
      </c>
      <c r="G166" s="184" t="n">
        <v>80.352</v>
      </c>
      <c r="H166" s="27" t="inlineStr">
        <is>
          <t>C</t>
        </is>
      </c>
      <c r="I166" s="27" t="inlineStr">
        <is>
          <t>标</t>
        </is>
      </c>
      <c r="J166" s="27" t="inlineStr">
        <is>
          <t>Brand-Anonymized</t>
        </is>
      </c>
      <c r="K166" s="27" t="n">
        <v>200</v>
      </c>
      <c r="L166" s="27" t="inlineStr">
        <is>
          <t>C</t>
        </is>
      </c>
      <c r="M166" s="27" t="n"/>
      <c r="N166" s="27" t="n"/>
      <c r="O166" s="226" t="n">
        <v>40</v>
      </c>
      <c r="P166" s="226" t="n">
        <v>40</v>
      </c>
      <c r="Q166" s="226" t="n">
        <v>40</v>
      </c>
      <c r="R166" s="226" t="n">
        <v>40</v>
      </c>
      <c r="S166" s="226" t="n">
        <v>40</v>
      </c>
    </row>
    <row r="167" ht="14" customFormat="1" customHeight="1" s="1">
      <c r="A167" s="231" t="inlineStr">
        <is>
          <t>SKU-51C17194</t>
        </is>
      </c>
      <c r="B167" s="231" t="n">
        <v>100</v>
      </c>
      <c r="C167" s="43" t="inlineStr">
        <is>
          <t>Product-7D9B1112</t>
        </is>
      </c>
      <c r="D167" s="231" t="n">
        <v>2</v>
      </c>
      <c r="E167" s="51" t="n">
        <v>0</v>
      </c>
      <c r="F167" s="184" t="n">
        <v>0</v>
      </c>
      <c r="G167" s="184" t="n">
        <v>0</v>
      </c>
      <c r="H167" s="27" t="inlineStr"/>
      <c r="I167" s="27" t="inlineStr"/>
      <c r="J167" s="27" t="inlineStr">
        <is>
          <t>Brand-Anonymized</t>
        </is>
      </c>
      <c r="K167" s="27" t="n">
        <v>200</v>
      </c>
      <c r="L167" s="27" t="n"/>
      <c r="M167" s="27" t="n"/>
      <c r="N167" s="27" t="n"/>
      <c r="O167" s="226" t="inlineStr">
        <is>
          <t>0</t>
        </is>
      </c>
      <c r="P167" s="226" t="inlineStr">
        <is>
          <t>0</t>
        </is>
      </c>
      <c r="Q167" s="226" t="inlineStr">
        <is>
          <t>0</t>
        </is>
      </c>
      <c r="R167" s="226" t="inlineStr">
        <is>
          <t>0</t>
        </is>
      </c>
      <c r="S167" s="226" t="inlineStr">
        <is>
          <t>0</t>
        </is>
      </c>
    </row>
    <row r="168" ht="14" customFormat="1" customHeight="1" s="1">
      <c r="A168" s="231" t="inlineStr">
        <is>
          <t>SKU-318D1B8B</t>
        </is>
      </c>
      <c r="B168" s="231" t="n">
        <v>100</v>
      </c>
      <c r="C168" s="19" t="inlineStr">
        <is>
          <t>Product-C93E013F</t>
        </is>
      </c>
      <c r="D168" s="231" t="n">
        <v>1</v>
      </c>
      <c r="E168" s="51" t="n">
        <v>-4.77</v>
      </c>
      <c r="F168" s="184" t="n">
        <v>5</v>
      </c>
      <c r="G168" s="184" t="n">
        <v>5.72</v>
      </c>
      <c r="H168" s="27" t="inlineStr">
        <is>
          <t>C</t>
        </is>
      </c>
      <c r="I168" s="27" t="inlineStr">
        <is>
          <t>标</t>
        </is>
      </c>
      <c r="J168" s="27" t="inlineStr">
        <is>
          <t>Brand-Anonymized</t>
        </is>
      </c>
      <c r="K168" s="27" t="n">
        <v>200</v>
      </c>
      <c r="L168" s="27" t="inlineStr">
        <is>
          <t>C</t>
        </is>
      </c>
      <c r="M168" s="27" t="n"/>
      <c r="N168" s="27" t="n"/>
      <c r="O168" s="226" t="n">
        <v>5</v>
      </c>
      <c r="P168" s="226" t="n">
        <v>0</v>
      </c>
      <c r="Q168" s="226" t="n">
        <v>0</v>
      </c>
      <c r="R168" s="226" t="n">
        <v>0</v>
      </c>
      <c r="S168" s="226" t="n">
        <v>0</v>
      </c>
    </row>
    <row r="169" ht="14" customFormat="1" customHeight="1" s="1">
      <c r="A169" s="231" t="inlineStr">
        <is>
          <t>SKU-A744A038</t>
        </is>
      </c>
      <c r="B169" s="231" t="n">
        <v>100</v>
      </c>
      <c r="C169" s="19" t="inlineStr">
        <is>
          <t>Product-DDF99E26</t>
        </is>
      </c>
      <c r="D169" s="231" t="n">
        <v>1</v>
      </c>
      <c r="E169" s="51" t="n">
        <v>308.01</v>
      </c>
      <c r="F169" s="184" t="n">
        <v>118.9</v>
      </c>
      <c r="G169" s="184" t="n">
        <v>49.7</v>
      </c>
      <c r="H169" s="27" t="inlineStr"/>
      <c r="I169" s="27" t="inlineStr">
        <is>
          <t>细</t>
        </is>
      </c>
      <c r="J169" s="27" t="inlineStr">
        <is>
          <t>Brand-Anonymized</t>
        </is>
      </c>
      <c r="K169" s="27" t="n">
        <v>200</v>
      </c>
      <c r="L169" s="27" t="inlineStr">
        <is>
          <t>C</t>
        </is>
      </c>
      <c r="M169" s="27" t="n"/>
      <c r="N169" s="27" t="n"/>
      <c r="O169" s="226" t="n">
        <v>48</v>
      </c>
      <c r="P169" s="226" t="inlineStr">
        <is>
          <t>0</t>
        </is>
      </c>
      <c r="Q169" s="226" t="n">
        <v>40</v>
      </c>
      <c r="R169" s="226" t="n">
        <v>30.9</v>
      </c>
      <c r="S169" s="226" t="inlineStr">
        <is>
          <t>0</t>
        </is>
      </c>
    </row>
    <row r="170" ht="14" customFormat="1" customHeight="1" s="1">
      <c r="A170" s="231" t="inlineStr">
        <is>
          <t>SKU-56C78667</t>
        </is>
      </c>
      <c r="B170" s="231" t="n">
        <v>100</v>
      </c>
      <c r="C170" s="19" t="inlineStr">
        <is>
          <t>Product-B81DC6F4</t>
        </is>
      </c>
      <c r="D170" s="231" t="n">
        <v>1</v>
      </c>
      <c r="E170" s="51" t="n">
        <v>462.356</v>
      </c>
      <c r="F170" s="184" t="n">
        <v>139.6</v>
      </c>
      <c r="G170" s="184" t="n">
        <v>50.432</v>
      </c>
      <c r="H170" s="27" t="inlineStr"/>
      <c r="I170" s="27" t="inlineStr"/>
      <c r="J170" s="27" t="inlineStr">
        <is>
          <t>Brand-Anonymized</t>
        </is>
      </c>
      <c r="K170" s="27" t="n">
        <v>200</v>
      </c>
      <c r="L170" s="27" t="n"/>
      <c r="M170" s="27" t="n"/>
      <c r="N170" s="27" t="n"/>
      <c r="O170" s="226" t="inlineStr">
        <is>
          <t>0</t>
        </is>
      </c>
      <c r="P170" s="226" t="inlineStr">
        <is>
          <t>0</t>
        </is>
      </c>
      <c r="Q170" s="226" t="n">
        <v>70</v>
      </c>
      <c r="R170" s="226" t="n">
        <v>69.59999999999999</v>
      </c>
      <c r="S170" s="226" t="inlineStr">
        <is>
          <t>0</t>
        </is>
      </c>
    </row>
    <row r="171" ht="14" customFormat="1" customHeight="1" s="1">
      <c r="A171" s="231" t="inlineStr">
        <is>
          <t>SKU-20ABB28F</t>
        </is>
      </c>
      <c r="B171" s="231" t="n">
        <v>100</v>
      </c>
      <c r="C171" s="19" t="inlineStr">
        <is>
          <t>Product-0B2EAF74</t>
        </is>
      </c>
      <c r="D171" s="231" t="n">
        <v>1</v>
      </c>
      <c r="E171" s="51" t="n">
        <v>10.54</v>
      </c>
      <c r="F171" s="184" t="n">
        <v>0</v>
      </c>
      <c r="G171" s="184" t="n">
        <v>0</v>
      </c>
      <c r="H171" s="27" t="inlineStr"/>
      <c r="I171" s="27" t="inlineStr">
        <is>
          <t>长</t>
        </is>
      </c>
      <c r="J171" s="27" t="inlineStr">
        <is>
          <t>Brand-Anonymized</t>
        </is>
      </c>
      <c r="K171" s="27" t="n">
        <v>200</v>
      </c>
      <c r="L171" s="27" t="inlineStr">
        <is>
          <t>C</t>
        </is>
      </c>
      <c r="M171" s="27" t="n"/>
      <c r="N171" s="27" t="n"/>
      <c r="O171" s="226" t="inlineStr">
        <is>
          <t>0</t>
        </is>
      </c>
      <c r="P171" s="226" t="inlineStr">
        <is>
          <t>0</t>
        </is>
      </c>
      <c r="Q171" s="226" t="inlineStr">
        <is>
          <t>0</t>
        </is>
      </c>
      <c r="R171" s="226" t="inlineStr">
        <is>
          <t>0</t>
        </is>
      </c>
      <c r="S171" s="226" t="inlineStr">
        <is>
          <t>0</t>
        </is>
      </c>
    </row>
    <row r="172" ht="14" customFormat="1" customHeight="1" s="1">
      <c r="A172" s="231" t="inlineStr">
        <is>
          <t>SKU-19F38467</t>
        </is>
      </c>
      <c r="B172" s="231" t="n">
        <v>100</v>
      </c>
      <c r="C172" s="19" t="inlineStr">
        <is>
          <t>Product-9435255B</t>
        </is>
      </c>
      <c r="D172" s="231" t="n">
        <v>1</v>
      </c>
      <c r="E172" s="51" t="n">
        <v>6.82</v>
      </c>
      <c r="F172" s="184" t="n">
        <v>11</v>
      </c>
      <c r="G172" s="184" t="n">
        <v>6.32</v>
      </c>
      <c r="H172" s="27" t="inlineStr">
        <is>
          <t>C</t>
        </is>
      </c>
      <c r="I172" s="27" t="inlineStr">
        <is>
          <t>标</t>
        </is>
      </c>
      <c r="J172" s="27" t="inlineStr">
        <is>
          <t>Brand-Anonymized</t>
        </is>
      </c>
      <c r="K172" s="27" t="n">
        <v>200</v>
      </c>
      <c r="L172" s="27" t="inlineStr">
        <is>
          <t>C</t>
        </is>
      </c>
      <c r="M172" s="27" t="n"/>
      <c r="N172" s="27" t="n"/>
      <c r="O172" s="227" t="n">
        <v>6</v>
      </c>
      <c r="P172" s="226" t="n">
        <v>0</v>
      </c>
      <c r="Q172" s="226" t="n">
        <v>5</v>
      </c>
      <c r="R172" s="226" t="n">
        <v>0</v>
      </c>
      <c r="S172" s="226" t="n">
        <v>0</v>
      </c>
    </row>
    <row r="173" ht="14" customFormat="1" customHeight="1" s="1">
      <c r="A173" s="231" t="inlineStr">
        <is>
          <t>SKU-07EAC1B8</t>
        </is>
      </c>
      <c r="B173" s="231" t="n">
        <v>100</v>
      </c>
      <c r="C173" s="19" t="inlineStr">
        <is>
          <t>Product-E14FEADC</t>
        </is>
      </c>
      <c r="D173" s="231" t="n">
        <v>1</v>
      </c>
      <c r="E173" s="51" t="n">
        <v>1.608</v>
      </c>
      <c r="F173" s="184" t="n">
        <v>11</v>
      </c>
      <c r="G173" s="184" t="n">
        <v>11.516</v>
      </c>
      <c r="H173" s="27" t="inlineStr">
        <is>
          <t>C</t>
        </is>
      </c>
      <c r="I173" s="27" t="inlineStr">
        <is>
          <t>标</t>
        </is>
      </c>
      <c r="J173" s="27" t="inlineStr">
        <is>
          <t>Brand-Anonymized</t>
        </is>
      </c>
      <c r="K173" s="27" t="n">
        <v>200</v>
      </c>
      <c r="L173" s="27" t="inlineStr">
        <is>
          <t>C</t>
        </is>
      </c>
      <c r="M173" s="27" t="n"/>
      <c r="N173" s="27" t="n"/>
      <c r="O173" s="226" t="n">
        <v>6</v>
      </c>
      <c r="P173" s="226" t="n">
        <v>0</v>
      </c>
      <c r="Q173" s="226" t="n">
        <v>5</v>
      </c>
      <c r="R173" s="226" t="n">
        <v>0</v>
      </c>
      <c r="S173" s="226" t="n">
        <v>0</v>
      </c>
    </row>
    <row r="174" ht="14" customFormat="1" customHeight="1" s="1">
      <c r="A174" s="231" t="inlineStr">
        <is>
          <t>SKU-35C24552</t>
        </is>
      </c>
      <c r="B174" s="231" t="n">
        <v>100</v>
      </c>
      <c r="C174" s="19" t="inlineStr">
        <is>
          <t>Product-37D16B86</t>
        </is>
      </c>
      <c r="D174" s="231" t="n">
        <v>1</v>
      </c>
      <c r="E174" s="51" t="n">
        <v>432.13</v>
      </c>
      <c r="F174" s="184" t="n">
        <v>130</v>
      </c>
      <c r="G174" s="184" t="n">
        <v>66.8</v>
      </c>
      <c r="H174" s="27" t="inlineStr">
        <is>
          <t>C</t>
        </is>
      </c>
      <c r="I174" s="27" t="inlineStr">
        <is>
          <t>长</t>
        </is>
      </c>
      <c r="J174" s="27" t="inlineStr">
        <is>
          <t>Brand-Anonymized</t>
        </is>
      </c>
      <c r="K174" s="27" t="n">
        <v>200</v>
      </c>
      <c r="L174" s="27" t="inlineStr">
        <is>
          <t>C</t>
        </is>
      </c>
      <c r="M174" s="27" t="n"/>
      <c r="N174" s="27" t="n"/>
      <c r="O174" s="226" t="n">
        <v>0</v>
      </c>
      <c r="P174" s="226" t="n">
        <v>65</v>
      </c>
      <c r="Q174" s="226" t="n">
        <v>0</v>
      </c>
      <c r="R174" s="226" t="n">
        <v>65</v>
      </c>
      <c r="S174" s="226" t="n">
        <v>0</v>
      </c>
    </row>
    <row r="175" ht="14" customFormat="1" customHeight="1" s="1">
      <c r="A175" s="231" t="inlineStr">
        <is>
          <t>SKU-2E4B7F7A</t>
        </is>
      </c>
      <c r="B175" s="231" t="n">
        <v>100</v>
      </c>
      <c r="C175" s="19" t="inlineStr">
        <is>
          <t>Product-114C3CE1</t>
        </is>
      </c>
      <c r="D175" s="231" t="n">
        <v>1</v>
      </c>
      <c r="E175" s="51" t="n">
        <v>89.38</v>
      </c>
      <c r="F175" s="184" t="n">
        <v>20</v>
      </c>
      <c r="G175" s="184" t="n">
        <v>20.66</v>
      </c>
      <c r="H175" s="27" t="inlineStr">
        <is>
          <t>C</t>
        </is>
      </c>
      <c r="I175" s="27" t="inlineStr">
        <is>
          <t>长</t>
        </is>
      </c>
      <c r="J175" s="27" t="inlineStr">
        <is>
          <t>Brand-Anonymized</t>
        </is>
      </c>
      <c r="K175" s="27" t="n">
        <v>200</v>
      </c>
      <c r="L175" s="27" t="inlineStr">
        <is>
          <t>C</t>
        </is>
      </c>
      <c r="M175" s="27" t="n"/>
      <c r="N175" s="27" t="n"/>
      <c r="O175" s="226" t="n">
        <v>0</v>
      </c>
      <c r="P175" s="226" t="n">
        <v>10</v>
      </c>
      <c r="Q175" s="226" t="n">
        <v>0</v>
      </c>
      <c r="R175" s="226" t="n">
        <v>10</v>
      </c>
      <c r="S175" s="226" t="n">
        <v>0</v>
      </c>
    </row>
    <row r="176" ht="14" customFormat="1" customHeight="1" s="1">
      <c r="A176" s="231" t="inlineStr">
        <is>
          <t>SKU-C36EE9D8</t>
        </is>
      </c>
      <c r="B176" s="231" t="n">
        <v>100</v>
      </c>
      <c r="C176" s="19" t="inlineStr">
        <is>
          <t>Product-63311DDA</t>
        </is>
      </c>
      <c r="D176" s="231" t="n">
        <v>1</v>
      </c>
      <c r="E176" s="51" t="n">
        <v>33.4128</v>
      </c>
      <c r="F176" s="184" t="n">
        <v>8</v>
      </c>
      <c r="G176" s="184" t="n">
        <v>8.9376</v>
      </c>
      <c r="H176" s="27" t="inlineStr">
        <is>
          <t>X</t>
        </is>
      </c>
      <c r="I176" s="27" t="inlineStr">
        <is>
          <t>长</t>
        </is>
      </c>
      <c r="J176" s="27" t="inlineStr">
        <is>
          <t>Brand-Anonymized</t>
        </is>
      </c>
      <c r="K176" s="27" t="n">
        <v>160</v>
      </c>
      <c r="L176" s="27" t="inlineStr">
        <is>
          <t>C</t>
        </is>
      </c>
      <c r="M176" s="27" t="n"/>
      <c r="N176" s="27" t="n"/>
      <c r="O176" s="226" t="n">
        <v>0</v>
      </c>
      <c r="P176" s="226" t="n">
        <v>0</v>
      </c>
      <c r="Q176" s="226" t="n">
        <v>0</v>
      </c>
      <c r="R176" s="226" t="n">
        <v>0</v>
      </c>
      <c r="S176" s="226" t="n">
        <v>8</v>
      </c>
    </row>
    <row r="177" ht="14" customFormat="1" customHeight="1" s="1">
      <c r="A177" s="231" t="inlineStr">
        <is>
          <t>SKU-0235E86E</t>
        </is>
      </c>
      <c r="B177" s="231" t="n">
        <v>100</v>
      </c>
      <c r="C177" s="45" t="inlineStr">
        <is>
          <t>Product-985CF026</t>
        </is>
      </c>
      <c r="D177" s="231" t="n">
        <v>1</v>
      </c>
      <c r="E177" s="51" t="n">
        <v>197.116</v>
      </c>
      <c r="F177" s="184" t="n">
        <v>20</v>
      </c>
      <c r="G177" s="184" t="n">
        <v>32.512</v>
      </c>
      <c r="H177" s="27" t="inlineStr">
        <is>
          <t>X</t>
        </is>
      </c>
      <c r="I177" s="27" t="inlineStr">
        <is>
          <t>细</t>
        </is>
      </c>
      <c r="J177" s="27" t="inlineStr">
        <is>
          <t>Brand-Anonymized</t>
        </is>
      </c>
      <c r="K177" s="27" t="n">
        <v>200</v>
      </c>
      <c r="L177" s="27" t="inlineStr">
        <is>
          <t>C</t>
        </is>
      </c>
      <c r="M177" s="27" t="n"/>
      <c r="N177" s="27" t="n"/>
      <c r="O177" s="226" t="n">
        <v>0</v>
      </c>
      <c r="P177" s="226" t="n">
        <v>10</v>
      </c>
      <c r="Q177" s="226" t="n">
        <v>0</v>
      </c>
      <c r="R177" s="226" t="n">
        <v>10</v>
      </c>
      <c r="S177" s="226" t="n">
        <v>0</v>
      </c>
    </row>
    <row r="178" ht="14" customFormat="1" customHeight="1" s="1">
      <c r="A178" s="231" t="inlineStr">
        <is>
          <t>SKU-E9B52407</t>
        </is>
      </c>
      <c r="B178" s="231" t="n">
        <v>100</v>
      </c>
      <c r="C178" s="45" t="inlineStr">
        <is>
          <t>Product-1F89A3EA</t>
        </is>
      </c>
      <c r="D178" s="231" t="n">
        <v>1</v>
      </c>
      <c r="E178" s="51" t="n"/>
      <c r="F178" s="184" t="n">
        <v>0</v>
      </c>
      <c r="G178" s="184" t="n">
        <v>0</v>
      </c>
      <c r="H178" s="27" t="inlineStr">
        <is>
          <t>X</t>
        </is>
      </c>
      <c r="I178" s="27" t="inlineStr">
        <is>
          <t>细</t>
        </is>
      </c>
      <c r="J178" s="27" t="inlineStr">
        <is>
          <t>Brand-Anonymized</t>
        </is>
      </c>
      <c r="K178" s="27" t="n">
        <v>200</v>
      </c>
      <c r="L178" s="27" t="inlineStr">
        <is>
          <t>C</t>
        </is>
      </c>
      <c r="M178" s="27" t="n"/>
      <c r="N178" s="27" t="n"/>
      <c r="O178" s="226" t="inlineStr">
        <is>
          <t>0</t>
        </is>
      </c>
      <c r="P178" s="226" t="inlineStr">
        <is>
          <t>0</t>
        </is>
      </c>
      <c r="Q178" s="226" t="inlineStr">
        <is>
          <t>0</t>
        </is>
      </c>
      <c r="R178" s="226" t="inlineStr">
        <is>
          <t>0</t>
        </is>
      </c>
      <c r="S178" s="226" t="inlineStr">
        <is>
          <t>0</t>
        </is>
      </c>
    </row>
    <row r="179" ht="14" customFormat="1" customHeight="1" s="1">
      <c r="A179" s="231" t="inlineStr">
        <is>
          <t>SKU-90D85FFD</t>
        </is>
      </c>
      <c r="B179" s="231" t="n">
        <v>100</v>
      </c>
      <c r="C179" s="44" t="inlineStr">
        <is>
          <t>Product-8495CF82</t>
        </is>
      </c>
      <c r="D179" s="231" t="n">
        <v>3</v>
      </c>
      <c r="E179" s="51" t="n">
        <v>0</v>
      </c>
      <c r="F179" s="184" t="n">
        <v>0</v>
      </c>
      <c r="G179" s="184" t="n">
        <v>0</v>
      </c>
      <c r="H179" s="27" t="inlineStr"/>
      <c r="I179" s="27" t="inlineStr"/>
      <c r="J179" s="27" t="inlineStr">
        <is>
          <t>Brand-Anonymized</t>
        </is>
      </c>
      <c r="K179" s="27" t="n">
        <v>200</v>
      </c>
      <c r="L179" s="27" t="n"/>
      <c r="M179" s="27" t="n"/>
      <c r="N179" s="27" t="n"/>
      <c r="O179" s="226" t="inlineStr">
        <is>
          <t>0</t>
        </is>
      </c>
      <c r="P179" s="226" t="inlineStr">
        <is>
          <t>0</t>
        </is>
      </c>
      <c r="Q179" s="226" t="inlineStr">
        <is>
          <t>0</t>
        </is>
      </c>
      <c r="R179" s="226" t="inlineStr">
        <is>
          <t>0</t>
        </is>
      </c>
      <c r="S179" s="226" t="inlineStr">
        <is>
          <t>0</t>
        </is>
      </c>
    </row>
    <row r="180" ht="14" customFormat="1" customHeight="1" s="1">
      <c r="A180" s="231" t="inlineStr">
        <is>
          <t>SKU-0CA1EAE0</t>
        </is>
      </c>
      <c r="B180" s="231" t="n">
        <v>100</v>
      </c>
      <c r="C180" s="19" t="inlineStr">
        <is>
          <t>Product-3E742E78</t>
        </is>
      </c>
      <c r="D180" s="231" t="n">
        <v>3</v>
      </c>
      <c r="E180" s="51" t="n">
        <v>1434.546</v>
      </c>
      <c r="F180" s="184" t="n">
        <v>398.1</v>
      </c>
      <c r="G180" s="184" t="n">
        <v>251.412</v>
      </c>
      <c r="H180" s="42" t="inlineStr">
        <is>
          <t>T</t>
        </is>
      </c>
      <c r="I180" s="27" t="inlineStr"/>
      <c r="J180" s="27" t="inlineStr">
        <is>
          <t>Brand-Anonymized</t>
        </is>
      </c>
      <c r="K180" s="27" t="n">
        <v>200</v>
      </c>
      <c r="L180" s="27" t="n"/>
      <c r="M180" s="27" t="n"/>
      <c r="N180" s="27" t="n"/>
      <c r="O180" s="226" t="n">
        <v>80</v>
      </c>
      <c r="P180" s="226" t="n">
        <v>80</v>
      </c>
      <c r="Q180" s="226" t="n">
        <v>80</v>
      </c>
      <c r="R180" s="226" t="n">
        <v>80</v>
      </c>
      <c r="S180" s="226" t="n">
        <v>78.09999999999999</v>
      </c>
    </row>
    <row r="181" ht="14" customFormat="1" customHeight="1" s="1">
      <c r="A181" s="231" t="inlineStr">
        <is>
          <t>SKU-1A13518F</t>
        </is>
      </c>
      <c r="B181" s="231" t="n">
        <v>100</v>
      </c>
      <c r="C181" s="19" t="inlineStr">
        <is>
          <t>Product-8FB93E92</t>
        </is>
      </c>
      <c r="D181" s="231" t="n">
        <v>1</v>
      </c>
      <c r="E181" s="51" t="n">
        <v>27.638</v>
      </c>
      <c r="F181" s="184" t="n">
        <v>16</v>
      </c>
      <c r="G181" s="184" t="n">
        <v>1.496</v>
      </c>
      <c r="H181" s="27" t="inlineStr">
        <is>
          <t>X</t>
        </is>
      </c>
      <c r="I181" s="27" t="inlineStr">
        <is>
          <t>长</t>
        </is>
      </c>
      <c r="J181" s="27" t="inlineStr">
        <is>
          <t>Brand-Anonymized</t>
        </is>
      </c>
      <c r="K181" s="27" t="n">
        <v>200</v>
      </c>
      <c r="L181" s="27" t="inlineStr">
        <is>
          <t>C</t>
        </is>
      </c>
      <c r="M181" s="27" t="n"/>
      <c r="N181" s="27" t="n"/>
      <c r="O181" s="226" t="n">
        <v>0</v>
      </c>
      <c r="P181" s="226" t="n">
        <v>0</v>
      </c>
      <c r="Q181" s="226" t="n">
        <v>0</v>
      </c>
      <c r="R181" s="226" t="n">
        <v>16</v>
      </c>
      <c r="S181" s="226" t="n">
        <v>0</v>
      </c>
    </row>
    <row r="182" ht="14" customFormat="1" customHeight="1" s="1">
      <c r="A182" s="231" t="inlineStr">
        <is>
          <t>SKU-ED5BD0B6</t>
        </is>
      </c>
      <c r="B182" s="231" t="n">
        <v>100</v>
      </c>
      <c r="C182" s="19" t="inlineStr">
        <is>
          <t>Product-37500256</t>
        </is>
      </c>
      <c r="D182" s="231" t="n">
        <v>1</v>
      </c>
      <c r="E182" s="51" t="n">
        <v>43.522</v>
      </c>
      <c r="F182" s="184" t="n">
        <v>5</v>
      </c>
      <c r="G182" s="184" t="n">
        <v>24.424</v>
      </c>
      <c r="H182" s="27" t="inlineStr">
        <is>
          <t>C</t>
        </is>
      </c>
      <c r="I182" s="27" t="inlineStr">
        <is>
          <t>标</t>
        </is>
      </c>
      <c r="J182" s="27" t="inlineStr">
        <is>
          <t>Brand-Anonymized</t>
        </is>
      </c>
      <c r="K182" s="27" t="n">
        <v>200</v>
      </c>
      <c r="L182" s="27" t="inlineStr">
        <is>
          <t>C</t>
        </is>
      </c>
      <c r="M182" s="27" t="n"/>
      <c r="N182" s="27" t="n"/>
      <c r="O182" s="226" t="n">
        <v>5</v>
      </c>
      <c r="P182" s="226" t="n">
        <v>0</v>
      </c>
      <c r="Q182" s="226" t="n">
        <v>0</v>
      </c>
      <c r="R182" s="226" t="n">
        <v>0</v>
      </c>
      <c r="S182" s="226" t="n">
        <v>0</v>
      </c>
    </row>
    <row r="183" ht="14" customFormat="1" customHeight="1" s="1">
      <c r="A183" s="231" t="inlineStr">
        <is>
          <t>SKU-CC550B39</t>
        </is>
      </c>
      <c r="B183" s="231" t="n">
        <v>100</v>
      </c>
      <c r="C183" s="19" t="inlineStr">
        <is>
          <t>Product-A79881AA</t>
        </is>
      </c>
      <c r="D183" s="231" t="n">
        <v>2</v>
      </c>
      <c r="E183" s="51" t="n">
        <v>195.66</v>
      </c>
      <c r="F183" s="184" t="n">
        <v>150</v>
      </c>
      <c r="G183" s="184" t="n">
        <v>0</v>
      </c>
      <c r="H183" s="27" t="inlineStr"/>
      <c r="I183" s="27" t="inlineStr">
        <is>
          <t>细</t>
        </is>
      </c>
      <c r="J183" s="27" t="inlineStr">
        <is>
          <t>Brand-Anonymized</t>
        </is>
      </c>
      <c r="K183" s="27" t="n">
        <v>200</v>
      </c>
      <c r="L183" s="27" t="inlineStr">
        <is>
          <t>C</t>
        </is>
      </c>
      <c r="M183" s="27" t="n"/>
      <c r="N183" s="27" t="n"/>
      <c r="O183" s="226" t="inlineStr">
        <is>
          <t>0</t>
        </is>
      </c>
      <c r="P183" s="226" t="n">
        <v>150</v>
      </c>
      <c r="Q183" s="226" t="inlineStr">
        <is>
          <t>0</t>
        </is>
      </c>
      <c r="R183" s="226" t="inlineStr">
        <is>
          <t>0</t>
        </is>
      </c>
      <c r="S183" s="226" t="inlineStr">
        <is>
          <t>0</t>
        </is>
      </c>
    </row>
    <row r="184" ht="14" customFormat="1" customHeight="1" s="1">
      <c r="A184" s="231" t="inlineStr">
        <is>
          <t>SKU-B8E6833E</t>
        </is>
      </c>
      <c r="B184" s="231" t="n">
        <v>100</v>
      </c>
      <c r="C184" s="19" t="inlineStr">
        <is>
          <t>Product-54830959</t>
        </is>
      </c>
      <c r="D184" s="231" t="n">
        <v>1</v>
      </c>
      <c r="E184" s="51" t="n">
        <v>126.924</v>
      </c>
      <c r="F184" s="184" t="n">
        <v>28.32</v>
      </c>
      <c r="G184" s="184" t="n">
        <v>29.128</v>
      </c>
      <c r="H184" s="27" t="inlineStr">
        <is>
          <t>C</t>
        </is>
      </c>
      <c r="I184" s="27" t="inlineStr">
        <is>
          <t>标</t>
        </is>
      </c>
      <c r="J184" s="27" t="inlineStr">
        <is>
          <t>Brand-Anonymized</t>
        </is>
      </c>
      <c r="K184" s="27" t="n">
        <v>200</v>
      </c>
      <c r="L184" s="27" t="inlineStr">
        <is>
          <t>C</t>
        </is>
      </c>
      <c r="M184" s="27" t="n"/>
      <c r="N184" s="27" t="n"/>
      <c r="O184" s="227" t="n">
        <v>18</v>
      </c>
      <c r="P184" s="226" t="n">
        <v>0</v>
      </c>
      <c r="Q184" s="226" t="n">
        <v>10.32</v>
      </c>
      <c r="R184" s="226" t="n">
        <v>0</v>
      </c>
      <c r="S184" s="226" t="n">
        <v>0</v>
      </c>
    </row>
    <row r="185" ht="14" customFormat="1" customHeight="1" s="1">
      <c r="A185" s="231" t="inlineStr">
        <is>
          <t>SKU-BDBE5AF3</t>
        </is>
      </c>
      <c r="B185" s="231" t="n">
        <v>100</v>
      </c>
      <c r="C185" s="19" t="inlineStr">
        <is>
          <t>Product-D0D1552E</t>
        </is>
      </c>
      <c r="D185" s="231" t="n">
        <v>1</v>
      </c>
      <c r="E185" s="51" t="n">
        <v>23.308</v>
      </c>
      <c r="F185" s="184" t="n">
        <v>5</v>
      </c>
      <c r="G185" s="184" t="n">
        <v>5.516</v>
      </c>
      <c r="H185" s="27" t="inlineStr">
        <is>
          <t>X</t>
        </is>
      </c>
      <c r="I185" s="27" t="inlineStr">
        <is>
          <t>标</t>
        </is>
      </c>
      <c r="J185" s="27" t="inlineStr">
        <is>
          <t>Brand-Anonymized</t>
        </is>
      </c>
      <c r="K185" s="27" t="n">
        <v>200</v>
      </c>
      <c r="L185" s="27" t="inlineStr">
        <is>
          <t>C</t>
        </is>
      </c>
      <c r="M185" s="27" t="n"/>
      <c r="N185" s="27" t="n"/>
      <c r="O185" s="226" t="n">
        <v>5</v>
      </c>
      <c r="P185" s="226" t="n">
        <v>0</v>
      </c>
      <c r="Q185" s="226" t="n">
        <v>0</v>
      </c>
      <c r="R185" s="226" t="n">
        <v>0</v>
      </c>
      <c r="S185" s="226" t="n">
        <v>0</v>
      </c>
    </row>
    <row r="186" ht="14" customFormat="1" customHeight="1" s="1">
      <c r="A186" s="231" t="inlineStr">
        <is>
          <t>SKU-79826401</t>
        </is>
      </c>
      <c r="B186" s="231" t="n">
        <v>100</v>
      </c>
      <c r="C186" s="19" t="inlineStr">
        <is>
          <t>Product-452F733D</t>
        </is>
      </c>
      <c r="D186" s="231" t="n">
        <v>3</v>
      </c>
      <c r="E186" s="51" t="n">
        <v>389.38</v>
      </c>
      <c r="F186" s="184" t="n">
        <v>106.7</v>
      </c>
      <c r="G186" s="184" t="n">
        <v>44.1</v>
      </c>
      <c r="H186" s="27" t="inlineStr"/>
      <c r="I186" s="27" t="inlineStr"/>
      <c r="J186" s="27" t="inlineStr">
        <is>
          <t>Brand-Anonymized</t>
        </is>
      </c>
      <c r="K186" s="27" t="n">
        <v>200</v>
      </c>
      <c r="L186" s="27" t="n"/>
      <c r="M186" s="27" t="n"/>
      <c r="N186" s="27" t="n"/>
      <c r="O186" s="226" t="inlineStr">
        <is>
          <t>0</t>
        </is>
      </c>
      <c r="P186" s="226" t="n">
        <v>0</v>
      </c>
      <c r="Q186" s="226" t="n">
        <v>53</v>
      </c>
      <c r="R186" s="226" t="n">
        <v>53.7</v>
      </c>
      <c r="S186" s="226" t="inlineStr">
        <is>
          <t>0</t>
        </is>
      </c>
    </row>
    <row r="187" ht="14" customFormat="1" customHeight="1" s="1">
      <c r="A187" s="231" t="inlineStr">
        <is>
          <t>SKU-DB6C02A0</t>
        </is>
      </c>
      <c r="B187" s="231" t="n">
        <v>100</v>
      </c>
      <c r="C187" s="19" t="inlineStr">
        <is>
          <t>Product-18DC03C1</t>
        </is>
      </c>
      <c r="D187" s="231" t="n">
        <v>2</v>
      </c>
      <c r="E187" s="51" t="n">
        <v>298.576</v>
      </c>
      <c r="F187" s="184" t="n">
        <v>55.876</v>
      </c>
      <c r="G187" s="184" t="n">
        <v>57.488</v>
      </c>
      <c r="H187" s="27" t="inlineStr"/>
      <c r="I187" s="27" t="inlineStr"/>
      <c r="J187" s="27" t="inlineStr">
        <is>
          <t>Brand-Anonymized</t>
        </is>
      </c>
      <c r="K187" s="27" t="n">
        <v>200</v>
      </c>
      <c r="L187" s="27" t="n"/>
      <c r="M187" s="27" t="n"/>
      <c r="N187" s="27" t="n"/>
      <c r="O187" s="226" t="inlineStr">
        <is>
          <t>0</t>
        </is>
      </c>
      <c r="P187" s="226" t="inlineStr">
        <is>
          <t>0</t>
        </is>
      </c>
      <c r="Q187" s="226" t="n">
        <v>0</v>
      </c>
      <c r="R187" s="226" t="n">
        <v>0</v>
      </c>
      <c r="S187" s="226" t="n">
        <v>55.876</v>
      </c>
    </row>
    <row r="188" ht="14" customFormat="1" customHeight="1" s="1">
      <c r="A188" s="231" t="inlineStr">
        <is>
          <t>SKU-4673CF27</t>
        </is>
      </c>
      <c r="B188" s="231" t="n">
        <v>100</v>
      </c>
      <c r="C188" s="59" t="inlineStr">
        <is>
          <t>Product-1B473E88</t>
        </is>
      </c>
      <c r="D188" s="231" t="n">
        <v>1</v>
      </c>
      <c r="E188" s="51" t="n">
        <v>25.69</v>
      </c>
      <c r="F188" s="184" t="n">
        <v>10.516</v>
      </c>
      <c r="G188" s="184" t="n">
        <v>0.676000000000002</v>
      </c>
      <c r="H188" s="27" t="inlineStr"/>
      <c r="I188" s="27" t="inlineStr">
        <is>
          <t>标</t>
        </is>
      </c>
      <c r="J188" s="27" t="inlineStr">
        <is>
          <t>Brand-Anonymized</t>
        </is>
      </c>
      <c r="K188" s="27" t="n">
        <v>200</v>
      </c>
      <c r="L188" s="27" t="inlineStr">
        <is>
          <t>C</t>
        </is>
      </c>
      <c r="M188" s="27" t="n"/>
      <c r="N188" s="27" t="n"/>
      <c r="O188" s="226" t="inlineStr">
        <is>
          <t>0</t>
        </is>
      </c>
      <c r="P188" s="226" t="inlineStr">
        <is>
          <t>0</t>
        </is>
      </c>
      <c r="Q188" s="226" t="inlineStr">
        <is>
          <t>0</t>
        </is>
      </c>
      <c r="R188" s="226" t="n">
        <v>10.516</v>
      </c>
      <c r="S188" s="226" t="inlineStr">
        <is>
          <t>0</t>
        </is>
      </c>
    </row>
    <row r="189" ht="14" customFormat="1" customHeight="1" s="1">
      <c r="A189" s="231" t="inlineStr">
        <is>
          <t>SKU-E14497CA</t>
        </is>
      </c>
      <c r="B189" s="231" t="n">
        <v>100</v>
      </c>
      <c r="C189" s="19" t="inlineStr">
        <is>
          <t>Product-AC3C224F</t>
        </is>
      </c>
      <c r="D189" s="231" t="n">
        <v>1</v>
      </c>
      <c r="E189" s="51" t="n">
        <v>862.62</v>
      </c>
      <c r="F189" s="184" t="n">
        <v>290.1</v>
      </c>
      <c r="G189" s="184" t="n">
        <v>102.98</v>
      </c>
      <c r="H189" s="27" t="inlineStr"/>
      <c r="I189" s="27" t="inlineStr"/>
      <c r="J189" s="27" t="inlineStr">
        <is>
          <t>Brand-Anonymized</t>
        </is>
      </c>
      <c r="K189" s="27" t="n">
        <v>200</v>
      </c>
      <c r="L189" s="27" t="n"/>
      <c r="M189" s="27" t="n"/>
      <c r="N189" s="27" t="n"/>
      <c r="O189" s="226" t="n">
        <v>0</v>
      </c>
      <c r="P189" s="226" t="n">
        <v>85</v>
      </c>
      <c r="Q189" s="226" t="n">
        <v>100</v>
      </c>
      <c r="R189" s="226" t="n">
        <v>105.1</v>
      </c>
      <c r="S189" s="226" t="inlineStr">
        <is>
          <t>0</t>
        </is>
      </c>
    </row>
    <row r="190" ht="14" customFormat="1" customHeight="1" s="1">
      <c r="A190" s="231" t="inlineStr">
        <is>
          <t>SKU-6CCA830B</t>
        </is>
      </c>
      <c r="B190" s="231" t="n">
        <v>100</v>
      </c>
      <c r="C190" s="44" t="inlineStr">
        <is>
          <t>Product-CA7C0C7F</t>
        </is>
      </c>
      <c r="D190" s="231" t="n">
        <v>1</v>
      </c>
      <c r="E190" s="51" t="n">
        <v>0</v>
      </c>
      <c r="F190" s="184" t="n">
        <v>0</v>
      </c>
      <c r="G190" s="184" t="n">
        <v>0</v>
      </c>
      <c r="H190" s="27" t="inlineStr"/>
      <c r="I190" s="27" t="inlineStr">
        <is>
          <t>标</t>
        </is>
      </c>
      <c r="J190" s="27" t="inlineStr">
        <is>
          <t>Brand-Anonymized</t>
        </is>
      </c>
      <c r="K190" s="27" t="n">
        <v>200</v>
      </c>
      <c r="L190" s="27" t="inlineStr">
        <is>
          <t>C</t>
        </is>
      </c>
      <c r="M190" s="27" t="n"/>
      <c r="N190" s="27" t="n"/>
      <c r="O190" s="226" t="inlineStr">
        <is>
          <t>0</t>
        </is>
      </c>
      <c r="P190" s="226" t="inlineStr">
        <is>
          <t>0</t>
        </is>
      </c>
      <c r="Q190" s="226" t="inlineStr">
        <is>
          <t>0</t>
        </is>
      </c>
      <c r="R190" s="226" t="inlineStr">
        <is>
          <t>0</t>
        </is>
      </c>
      <c r="S190" s="226" t="inlineStr">
        <is>
          <t>0</t>
        </is>
      </c>
    </row>
    <row r="191" ht="14" customFormat="1" customHeight="1" s="1">
      <c r="A191" s="231" t="inlineStr">
        <is>
          <t>SKU-E3215199</t>
        </is>
      </c>
      <c r="B191" s="231" t="n">
        <v>100</v>
      </c>
      <c r="C191" s="19" t="inlineStr">
        <is>
          <t>Product-785E134D</t>
        </is>
      </c>
      <c r="D191" s="231" t="n">
        <v>1</v>
      </c>
      <c r="E191" s="51" t="n">
        <v>458.586</v>
      </c>
      <c r="F191" s="184" t="n">
        <v>194.6</v>
      </c>
      <c r="G191" s="184" t="n">
        <v>72.092</v>
      </c>
      <c r="H191" s="27" t="inlineStr"/>
      <c r="I191" s="27" t="inlineStr">
        <is>
          <t>细</t>
        </is>
      </c>
      <c r="J191" s="27" t="inlineStr">
        <is>
          <t>Brand-Anonymized</t>
        </is>
      </c>
      <c r="K191" s="27" t="n">
        <v>200</v>
      </c>
      <c r="L191" s="27" t="inlineStr">
        <is>
          <t>C</t>
        </is>
      </c>
      <c r="M191" s="27" t="n"/>
      <c r="N191" s="27" t="n"/>
      <c r="O191" s="226" t="n">
        <v>60</v>
      </c>
      <c r="P191" s="226" t="n">
        <v>60</v>
      </c>
      <c r="Q191" s="226" t="n">
        <v>59</v>
      </c>
      <c r="R191" s="226" t="n">
        <v>15.6</v>
      </c>
      <c r="S191" s="226" t="inlineStr">
        <is>
          <t>0</t>
        </is>
      </c>
    </row>
    <row r="192" ht="14" customFormat="1" customHeight="1" s="1">
      <c r="A192" s="231" t="inlineStr">
        <is>
          <t>SKU-68F79613</t>
        </is>
      </c>
      <c r="B192" s="231" t="n">
        <v>100</v>
      </c>
      <c r="C192" s="19" t="inlineStr">
        <is>
          <t>Product-4107E6DB</t>
        </is>
      </c>
      <c r="D192" s="231" t="n">
        <v>1</v>
      </c>
      <c r="E192" s="51" t="n">
        <v>54.796</v>
      </c>
      <c r="F192" s="184" t="n">
        <v>14</v>
      </c>
      <c r="G192" s="184" t="n">
        <v>14.892</v>
      </c>
      <c r="H192" s="27" t="inlineStr">
        <is>
          <t>C</t>
        </is>
      </c>
      <c r="I192" s="27" t="inlineStr">
        <is>
          <t>方</t>
        </is>
      </c>
      <c r="J192" s="27" t="inlineStr">
        <is>
          <t>Brand-Anonymized</t>
        </is>
      </c>
      <c r="K192" s="27" t="n">
        <v>200</v>
      </c>
      <c r="L192" s="27" t="inlineStr">
        <is>
          <t>C</t>
        </is>
      </c>
      <c r="M192" s="27" t="n"/>
      <c r="N192" s="27" t="n"/>
      <c r="O192" s="226" t="n">
        <v>0</v>
      </c>
      <c r="P192" s="226" t="n">
        <v>0</v>
      </c>
      <c r="Q192" s="226" t="n">
        <v>14</v>
      </c>
      <c r="R192" s="226" t="n">
        <v>0</v>
      </c>
      <c r="S192" s="226" t="n">
        <v>0</v>
      </c>
    </row>
    <row r="193" ht="14" customFormat="1" customHeight="1" s="1">
      <c r="A193" s="231" t="inlineStr">
        <is>
          <t>SKU-6E0FD480</t>
        </is>
      </c>
      <c r="B193" s="231" t="n">
        <v>100</v>
      </c>
      <c r="C193" s="43" t="inlineStr">
        <is>
          <t>Product-0D40CFCC</t>
        </is>
      </c>
      <c r="D193" s="231" t="n">
        <v>1</v>
      </c>
      <c r="E193" s="51" t="n">
        <v>0</v>
      </c>
      <c r="F193" s="184" t="n">
        <v>0</v>
      </c>
      <c r="G193" s="184" t="n">
        <v>0</v>
      </c>
      <c r="H193" s="27" t="inlineStr"/>
      <c r="I193" s="27" t="inlineStr">
        <is>
          <t>标</t>
        </is>
      </c>
      <c r="J193" s="27" t="inlineStr">
        <is>
          <t>Brand-Anonymized</t>
        </is>
      </c>
      <c r="K193" s="27" t="n">
        <v>200</v>
      </c>
      <c r="L193" s="27" t="inlineStr">
        <is>
          <t>C</t>
        </is>
      </c>
      <c r="M193" s="27" t="n"/>
      <c r="N193" s="27" t="n"/>
      <c r="O193" s="226" t="inlineStr">
        <is>
          <t>0</t>
        </is>
      </c>
      <c r="P193" s="226" t="inlineStr">
        <is>
          <t>0</t>
        </is>
      </c>
      <c r="Q193" s="226" t="inlineStr">
        <is>
          <t>0</t>
        </is>
      </c>
      <c r="R193" s="226" t="inlineStr">
        <is>
          <t>0</t>
        </is>
      </c>
      <c r="S193" s="226" t="inlineStr">
        <is>
          <t>0</t>
        </is>
      </c>
    </row>
    <row r="194" ht="14" customFormat="1" customHeight="1" s="1">
      <c r="A194" s="231" t="inlineStr">
        <is>
          <t>SKU-72F9B4C9</t>
        </is>
      </c>
      <c r="B194" s="231" t="n">
        <v>100</v>
      </c>
      <c r="C194" s="45" t="inlineStr">
        <is>
          <t>Product-3E6ACFC9</t>
        </is>
      </c>
      <c r="D194" s="231" t="n">
        <v>1</v>
      </c>
      <c r="E194" s="51" t="n">
        <v>267.056</v>
      </c>
      <c r="F194" s="184" t="n">
        <v>0.76</v>
      </c>
      <c r="G194" s="184" t="n">
        <v>0.572</v>
      </c>
      <c r="H194" s="27" t="inlineStr">
        <is>
          <t>X</t>
        </is>
      </c>
      <c r="I194" s="27" t="inlineStr">
        <is>
          <t>细</t>
        </is>
      </c>
      <c r="J194" s="27" t="inlineStr">
        <is>
          <t>Brand-Anonymized</t>
        </is>
      </c>
      <c r="K194" s="27" t="n">
        <v>200</v>
      </c>
      <c r="L194" s="27" t="inlineStr">
        <is>
          <t>C</t>
        </is>
      </c>
      <c r="M194" s="27" t="n"/>
      <c r="N194" s="27" t="n"/>
      <c r="O194" s="226" t="n">
        <v>0.76</v>
      </c>
      <c r="P194" s="226" t="n">
        <v>0</v>
      </c>
      <c r="Q194" s="226" t="n">
        <v>0</v>
      </c>
      <c r="R194" s="226" t="n">
        <v>0</v>
      </c>
      <c r="S194" s="226" t="n">
        <v>0</v>
      </c>
    </row>
    <row r="195" ht="14" customFormat="1" customHeight="1" s="1">
      <c r="A195" s="231" t="inlineStr">
        <is>
          <t>SKU-1F2C7CE6</t>
        </is>
      </c>
      <c r="B195" s="231" t="n">
        <v>100</v>
      </c>
      <c r="C195" s="45" t="inlineStr">
        <is>
          <t>Product-54D1E3E5</t>
        </is>
      </c>
      <c r="D195" s="231" t="n">
        <v>1</v>
      </c>
      <c r="E195" s="51" t="n">
        <v>250.312</v>
      </c>
      <c r="F195" s="184" t="n">
        <v>28.692</v>
      </c>
      <c r="G195" s="184" t="n">
        <v>12.132</v>
      </c>
      <c r="H195" s="27" t="inlineStr">
        <is>
          <t>X</t>
        </is>
      </c>
      <c r="I195" s="27" t="inlineStr">
        <is>
          <t>细</t>
        </is>
      </c>
      <c r="J195" s="27" t="inlineStr">
        <is>
          <t>Brand-Anonymized</t>
        </is>
      </c>
      <c r="K195" s="27" t="n">
        <v>200</v>
      </c>
      <c r="L195" s="27" t="inlineStr">
        <is>
          <t>C</t>
        </is>
      </c>
      <c r="M195" s="27" t="n"/>
      <c r="N195" s="27" t="n"/>
      <c r="O195" s="226" t="n">
        <v>10.908</v>
      </c>
      <c r="P195" s="226" t="n">
        <v>4.592</v>
      </c>
      <c r="Q195" s="232" t="n">
        <v>4.552</v>
      </c>
      <c r="R195" s="232" t="n">
        <v>4.552</v>
      </c>
      <c r="S195" s="232" t="n">
        <v>4.088</v>
      </c>
    </row>
    <row r="196" ht="14" customFormat="1" customHeight="1" s="1">
      <c r="A196" s="231" t="inlineStr">
        <is>
          <t>SKU-BA48AA06</t>
        </is>
      </c>
      <c r="B196" s="231" t="n">
        <v>100</v>
      </c>
      <c r="C196" s="45" t="inlineStr">
        <is>
          <t>Product-51A3BAAC</t>
        </is>
      </c>
      <c r="D196" s="231" t="n">
        <v>1</v>
      </c>
      <c r="E196" s="51" t="n">
        <v>271.326</v>
      </c>
      <c r="F196" s="184" t="n">
        <v>14.22</v>
      </c>
      <c r="G196" s="184" t="n">
        <v>3.568</v>
      </c>
      <c r="H196" s="27" t="inlineStr">
        <is>
          <t>X</t>
        </is>
      </c>
      <c r="I196" s="27" t="inlineStr">
        <is>
          <t>标</t>
        </is>
      </c>
      <c r="J196" s="27" t="inlineStr">
        <is>
          <t>Brand-Anonymized</t>
        </is>
      </c>
      <c r="K196" s="27" t="n">
        <v>200</v>
      </c>
      <c r="L196" s="27" t="inlineStr">
        <is>
          <t>C</t>
        </is>
      </c>
      <c r="M196" s="27" t="n"/>
      <c r="N196" s="27" t="n"/>
      <c r="O196" s="226" t="n">
        <v>3.42</v>
      </c>
      <c r="P196" s="226" t="n">
        <v>2.688</v>
      </c>
      <c r="Q196" s="232" t="n">
        <v>2.672</v>
      </c>
      <c r="R196" s="232" t="n">
        <v>2.672</v>
      </c>
      <c r="S196" s="232" t="n">
        <v>2.768</v>
      </c>
    </row>
    <row r="197" ht="14" customFormat="1" customHeight="1" s="1">
      <c r="A197" s="231" t="inlineStr">
        <is>
          <t>SKU-CD13E71E</t>
        </is>
      </c>
      <c r="B197" s="231" t="n">
        <v>100</v>
      </c>
      <c r="C197" s="19" t="inlineStr">
        <is>
          <t>Product-EA59DDCC</t>
        </is>
      </c>
      <c r="D197" s="231" t="n">
        <v>2</v>
      </c>
      <c r="E197" s="51" t="n">
        <v>79.73999999999999</v>
      </c>
      <c r="F197" s="184" t="n">
        <v>15.8</v>
      </c>
      <c r="G197" s="184" t="n">
        <v>15.8</v>
      </c>
      <c r="H197" s="27" t="inlineStr">
        <is>
          <t>T</t>
        </is>
      </c>
      <c r="I197" s="27" t="inlineStr">
        <is>
          <t>标</t>
        </is>
      </c>
      <c r="J197" s="27" t="inlineStr">
        <is>
          <t>Brand-Anonymized</t>
        </is>
      </c>
      <c r="K197" s="27" t="n">
        <v>200</v>
      </c>
      <c r="L197" s="27" t="inlineStr">
        <is>
          <t>C</t>
        </is>
      </c>
      <c r="M197" s="27" t="n"/>
      <c r="N197" s="27" t="n"/>
      <c r="O197" s="226" t="inlineStr">
        <is>
          <t>0</t>
        </is>
      </c>
      <c r="P197" s="226" t="inlineStr">
        <is>
          <t>0</t>
        </is>
      </c>
      <c r="Q197" s="226" t="inlineStr">
        <is>
          <t>0</t>
        </is>
      </c>
      <c r="R197" s="226" t="inlineStr">
        <is>
          <t>0</t>
        </is>
      </c>
      <c r="S197" s="226" t="n">
        <v>15.8</v>
      </c>
    </row>
    <row r="198" ht="14" customFormat="1" customHeight="1" s="1">
      <c r="A198" s="231" t="inlineStr">
        <is>
          <t>SKU-682BAA5A</t>
        </is>
      </c>
      <c r="B198" s="231" t="n">
        <v>100</v>
      </c>
      <c r="C198" s="19" t="inlineStr">
        <is>
          <t>Product-7E3AF14A</t>
        </is>
      </c>
      <c r="D198" s="231" t="n">
        <v>2</v>
      </c>
      <c r="E198" s="51" t="n">
        <v>209.28</v>
      </c>
      <c r="F198" s="184" t="n">
        <v>47.6</v>
      </c>
      <c r="G198" s="184" t="n">
        <v>47.9</v>
      </c>
      <c r="H198" s="27" t="inlineStr"/>
      <c r="I198" s="27" t="inlineStr"/>
      <c r="J198" s="27" t="inlineStr">
        <is>
          <t>Brand-Anonymized</t>
        </is>
      </c>
      <c r="K198" s="27" t="n">
        <v>200</v>
      </c>
      <c r="L198" s="27" t="n"/>
      <c r="M198" s="27" t="n"/>
      <c r="N198" s="27" t="n"/>
      <c r="O198" s="226" t="inlineStr">
        <is>
          <t>0</t>
        </is>
      </c>
      <c r="P198" s="226" t="n">
        <v>47.6</v>
      </c>
      <c r="Q198" s="226" t="n">
        <v>0</v>
      </c>
      <c r="R198" s="226" t="inlineStr">
        <is>
          <t>0</t>
        </is>
      </c>
      <c r="S198" s="226" t="inlineStr">
        <is>
          <t>0</t>
        </is>
      </c>
    </row>
    <row r="199" ht="14" customFormat="1" customHeight="1" s="1">
      <c r="A199" s="231" t="inlineStr">
        <is>
          <t>SKU-101252A9</t>
        </is>
      </c>
      <c r="B199" s="231" t="n">
        <v>100</v>
      </c>
      <c r="C199" s="33" t="inlineStr">
        <is>
          <t>Product-7A8380EF</t>
        </is>
      </c>
      <c r="D199" s="231" t="n">
        <v>1</v>
      </c>
      <c r="E199" s="51" t="n">
        <v>0</v>
      </c>
      <c r="F199" s="184" t="n">
        <v>0</v>
      </c>
      <c r="G199" s="184" t="n">
        <v>0</v>
      </c>
      <c r="H199" s="27" t="inlineStr"/>
      <c r="I199" s="27" t="inlineStr"/>
      <c r="J199" s="27" t="inlineStr">
        <is>
          <t>Brand-Anonymized</t>
        </is>
      </c>
      <c r="K199" s="27" t="n">
        <v>200</v>
      </c>
      <c r="L199" s="27" t="n"/>
      <c r="M199" s="27" t="n"/>
      <c r="N199" s="27" t="n"/>
      <c r="O199" s="226" t="inlineStr">
        <is>
          <t>0</t>
        </is>
      </c>
      <c r="P199" s="226" t="inlineStr">
        <is>
          <t>0</t>
        </is>
      </c>
      <c r="Q199" s="226" t="inlineStr">
        <is>
          <t>0</t>
        </is>
      </c>
      <c r="R199" s="226" t="inlineStr">
        <is>
          <t>0</t>
        </is>
      </c>
      <c r="S199" s="226" t="inlineStr">
        <is>
          <t>0</t>
        </is>
      </c>
    </row>
    <row r="200" ht="14" customFormat="1" customHeight="1" s="1">
      <c r="A200" s="231" t="inlineStr">
        <is>
          <t>SKU-77C0CC77</t>
        </is>
      </c>
      <c r="B200" s="231" t="n">
        <v>100</v>
      </c>
      <c r="C200" s="19" t="inlineStr">
        <is>
          <t>Product-429E8612</t>
        </is>
      </c>
      <c r="D200" s="231" t="n">
        <v>1</v>
      </c>
      <c r="E200" s="51" t="n">
        <v>133.802</v>
      </c>
      <c r="F200" s="184" t="n">
        <v>30</v>
      </c>
      <c r="G200" s="184" t="n">
        <v>30.384</v>
      </c>
      <c r="H200" s="27" t="inlineStr">
        <is>
          <t>X</t>
        </is>
      </c>
      <c r="I200" s="27" t="inlineStr">
        <is>
          <t>细</t>
        </is>
      </c>
      <c r="J200" s="27" t="inlineStr">
        <is>
          <t>Brand-Anonymized</t>
        </is>
      </c>
      <c r="K200" s="27" t="n">
        <v>200</v>
      </c>
      <c r="L200" s="27" t="inlineStr">
        <is>
          <t>C</t>
        </is>
      </c>
      <c r="M200" s="27" t="n"/>
      <c r="N200" s="27" t="n"/>
      <c r="O200" s="226" t="n">
        <v>0</v>
      </c>
      <c r="P200" s="226" t="n">
        <v>15</v>
      </c>
      <c r="Q200" s="226" t="n">
        <v>0</v>
      </c>
      <c r="R200" s="226" t="n">
        <v>15</v>
      </c>
      <c r="S200" s="226" t="n">
        <v>0</v>
      </c>
    </row>
    <row r="201" ht="14" customFormat="1" customHeight="1" s="1">
      <c r="A201" s="231" t="inlineStr">
        <is>
          <t>SKU-3BA438F1</t>
        </is>
      </c>
      <c r="B201" s="231" t="n">
        <v>100</v>
      </c>
      <c r="C201" s="19" t="inlineStr">
        <is>
          <t>Product-775BB8DC</t>
        </is>
      </c>
      <c r="D201" s="231" t="n">
        <v>2</v>
      </c>
      <c r="E201" s="51" t="n">
        <v>663.794</v>
      </c>
      <c r="F201" s="184" t="n">
        <v>137.6</v>
      </c>
      <c r="G201" s="184" t="n">
        <v>139.468</v>
      </c>
      <c r="H201" s="27" t="inlineStr"/>
      <c r="I201" s="27" t="inlineStr">
        <is>
          <t>细</t>
        </is>
      </c>
      <c r="J201" s="27" t="inlineStr">
        <is>
          <t>Brand-Anonymized</t>
        </is>
      </c>
      <c r="K201" s="27" t="n">
        <v>200</v>
      </c>
      <c r="L201" s="27" t="inlineStr">
        <is>
          <t>C</t>
        </is>
      </c>
      <c r="M201" s="27" t="n"/>
      <c r="N201" s="27" t="n"/>
      <c r="O201" s="226" t="n">
        <v>46</v>
      </c>
      <c r="P201" s="226" t="inlineStr">
        <is>
          <t>0</t>
        </is>
      </c>
      <c r="Q201" s="226" t="n">
        <v>46</v>
      </c>
      <c r="R201" s="226" t="n">
        <v>45.6</v>
      </c>
      <c r="S201" s="226" t="inlineStr">
        <is>
          <t>0</t>
        </is>
      </c>
    </row>
    <row r="202" ht="14" customFormat="1" customHeight="1" s="1">
      <c r="A202" s="231" t="inlineStr">
        <is>
          <t>SKU-D2E77FA5</t>
        </is>
      </c>
      <c r="B202" s="231" t="n">
        <v>100</v>
      </c>
      <c r="C202" s="19" t="inlineStr">
        <is>
          <t>Product-A722DB58</t>
        </is>
      </c>
      <c r="D202" s="231" t="n">
        <v>1</v>
      </c>
      <c r="E202" s="51" t="n">
        <v>245.582</v>
      </c>
      <c r="F202" s="184" t="n">
        <v>56.9</v>
      </c>
      <c r="G202" s="184" t="n">
        <v>57.644</v>
      </c>
      <c r="H202" s="27" t="inlineStr"/>
      <c r="I202" s="27" t="inlineStr">
        <is>
          <t>细</t>
        </is>
      </c>
      <c r="J202" s="27" t="inlineStr">
        <is>
          <t>Brand-Anonymized</t>
        </is>
      </c>
      <c r="K202" s="27" t="n">
        <v>200</v>
      </c>
      <c r="L202" s="27" t="inlineStr">
        <is>
          <t>C</t>
        </is>
      </c>
      <c r="M202" s="27" t="n"/>
      <c r="N202" s="27" t="n"/>
      <c r="O202" s="226" t="inlineStr">
        <is>
          <t>0</t>
        </is>
      </c>
      <c r="P202" s="226" t="n">
        <v>56.9</v>
      </c>
      <c r="Q202" s="226" t="inlineStr">
        <is>
          <t>0</t>
        </is>
      </c>
      <c r="R202" s="226" t="inlineStr">
        <is>
          <t>0</t>
        </is>
      </c>
      <c r="S202" s="226" t="inlineStr">
        <is>
          <t>0</t>
        </is>
      </c>
    </row>
    <row r="203" ht="14" customFormat="1" customHeight="1" s="1">
      <c r="A203" s="231" t="inlineStr">
        <is>
          <t>SKU-BBC3DCE6</t>
        </is>
      </c>
      <c r="B203" s="231" t="n">
        <v>100</v>
      </c>
      <c r="C203" s="19" t="inlineStr">
        <is>
          <t>Product-3237B6F2</t>
        </is>
      </c>
      <c r="D203" s="231" t="n">
        <v>1</v>
      </c>
      <c r="E203" s="51" t="n">
        <v>-13.698</v>
      </c>
      <c r="F203" s="184" t="n">
        <v>2.4</v>
      </c>
      <c r="G203" s="184" t="n">
        <v>2.724</v>
      </c>
      <c r="H203" s="27" t="inlineStr"/>
      <c r="I203" s="27" t="inlineStr">
        <is>
          <t>标</t>
        </is>
      </c>
      <c r="J203" s="27" t="inlineStr">
        <is>
          <t>Brand-Anonymized</t>
        </is>
      </c>
      <c r="K203" s="27" t="n">
        <v>200</v>
      </c>
      <c r="L203" s="27" t="inlineStr">
        <is>
          <t>C</t>
        </is>
      </c>
      <c r="M203" s="27" t="n"/>
      <c r="N203" s="27" t="n"/>
      <c r="O203" s="226" t="inlineStr">
        <is>
          <t>0</t>
        </is>
      </c>
      <c r="P203" s="226" t="inlineStr">
        <is>
          <t>0</t>
        </is>
      </c>
      <c r="Q203" s="226" t="inlineStr">
        <is>
          <t>0</t>
        </is>
      </c>
      <c r="R203" s="226" t="n">
        <v>2.4</v>
      </c>
      <c r="S203" s="226" t="n">
        <v>0</v>
      </c>
    </row>
    <row r="204" ht="14" customFormat="1" customHeight="1" s="1">
      <c r="A204" s="231" t="inlineStr">
        <is>
          <t>SKU-B505F1AF</t>
        </is>
      </c>
      <c r="B204" s="231" t="n">
        <v>100</v>
      </c>
      <c r="C204" s="19" t="inlineStr">
        <is>
          <t>Product-3EEAD3B7</t>
        </is>
      </c>
      <c r="D204" s="231" t="n">
        <v>1</v>
      </c>
      <c r="E204" s="51" t="n">
        <v>63.056</v>
      </c>
      <c r="F204" s="184" t="n">
        <v>15</v>
      </c>
      <c r="G204" s="184" t="n">
        <v>15.492</v>
      </c>
      <c r="H204" s="27" t="inlineStr">
        <is>
          <t>X</t>
        </is>
      </c>
      <c r="I204" s="27" t="inlineStr">
        <is>
          <t>方</t>
        </is>
      </c>
      <c r="J204" s="27" t="inlineStr">
        <is>
          <t>Brand-Anonymized</t>
        </is>
      </c>
      <c r="K204" s="27" t="n">
        <v>200</v>
      </c>
      <c r="L204" s="27" t="inlineStr">
        <is>
          <t>C</t>
        </is>
      </c>
      <c r="M204" s="27" t="n"/>
      <c r="N204" s="27" t="n"/>
      <c r="O204" s="226" t="n">
        <v>0</v>
      </c>
      <c r="P204" s="226" t="n">
        <v>0</v>
      </c>
      <c r="Q204" s="226" t="n">
        <v>15</v>
      </c>
      <c r="R204" s="226" t="n">
        <v>0</v>
      </c>
      <c r="S204" s="226" t="n">
        <v>0</v>
      </c>
    </row>
    <row r="205" ht="14" customFormat="1" customHeight="1" s="1">
      <c r="A205" s="231" t="inlineStr">
        <is>
          <t>SKU-9FDA4198</t>
        </is>
      </c>
      <c r="B205" s="231" t="n">
        <v>100</v>
      </c>
      <c r="C205" s="19" t="inlineStr">
        <is>
          <t>Product-662CAB3A</t>
        </is>
      </c>
      <c r="D205" s="231" t="n">
        <v>1</v>
      </c>
      <c r="E205" s="51" t="n">
        <v>250.956</v>
      </c>
      <c r="F205" s="184" t="n">
        <v>87.09999999999999</v>
      </c>
      <c r="G205" s="184" t="n">
        <v>35.792</v>
      </c>
      <c r="H205" s="27" t="inlineStr"/>
      <c r="I205" s="27" t="inlineStr"/>
      <c r="J205" s="27" t="inlineStr">
        <is>
          <t>Brand-Anonymized</t>
        </is>
      </c>
      <c r="K205" s="27" t="n">
        <v>200</v>
      </c>
      <c r="L205" s="27" t="n"/>
      <c r="M205" s="27" t="n"/>
      <c r="N205" s="27" t="n"/>
      <c r="O205" s="226" t="inlineStr">
        <is>
          <t>0</t>
        </is>
      </c>
      <c r="P205" s="226" t="n">
        <v>43</v>
      </c>
      <c r="Q205" s="226" t="inlineStr">
        <is>
          <t>0</t>
        </is>
      </c>
      <c r="R205" s="226" t="n">
        <v>44.1</v>
      </c>
      <c r="S205" s="226" t="inlineStr">
        <is>
          <t>0</t>
        </is>
      </c>
    </row>
    <row r="206" ht="14" customFormat="1" customHeight="1" s="1">
      <c r="A206" s="231" t="inlineStr">
        <is>
          <t>SKU-7B3ED901</t>
        </is>
      </c>
      <c r="B206" s="231" t="n">
        <v>100</v>
      </c>
      <c r="C206" s="19" t="inlineStr">
        <is>
          <t>Product-98EF7A51</t>
        </is>
      </c>
      <c r="D206" s="231" t="n">
        <v>1</v>
      </c>
      <c r="E206" s="51" t="n">
        <v>-19.54</v>
      </c>
      <c r="F206" s="184" t="n">
        <v>0</v>
      </c>
      <c r="G206" s="184" t="n">
        <v>0</v>
      </c>
      <c r="H206" s="27" t="inlineStr"/>
      <c r="I206" s="27" t="inlineStr">
        <is>
          <t>细</t>
        </is>
      </c>
      <c r="J206" s="27" t="inlineStr">
        <is>
          <t>Brand-Anonymized</t>
        </is>
      </c>
      <c r="K206" s="27" t="n">
        <v>200</v>
      </c>
      <c r="L206" s="27" t="inlineStr">
        <is>
          <t>C</t>
        </is>
      </c>
      <c r="M206" s="27" t="n"/>
      <c r="N206" s="27" t="n"/>
      <c r="O206" s="226" t="inlineStr">
        <is>
          <t>0</t>
        </is>
      </c>
      <c r="P206" s="226" t="inlineStr">
        <is>
          <t>0</t>
        </is>
      </c>
      <c r="Q206" s="226" t="inlineStr">
        <is>
          <t>0</t>
        </is>
      </c>
      <c r="R206" s="226" t="inlineStr">
        <is>
          <t>0</t>
        </is>
      </c>
      <c r="S206" s="226" t="inlineStr">
        <is>
          <t>0</t>
        </is>
      </c>
    </row>
    <row r="207" ht="14" customFormat="1" customHeight="1" s="1">
      <c r="A207" s="231" t="inlineStr">
        <is>
          <t>SKU-9285E4A0</t>
        </is>
      </c>
      <c r="B207" s="231" t="n">
        <v>100</v>
      </c>
      <c r="C207" s="19" t="inlineStr">
        <is>
          <t>Product-CCB8A5AE</t>
        </is>
      </c>
      <c r="D207" s="231" t="n">
        <v>1</v>
      </c>
      <c r="E207" s="51" t="n">
        <v>215.178</v>
      </c>
      <c r="F207" s="184" t="n">
        <v>80</v>
      </c>
      <c r="G207" s="184" t="n">
        <v>40.476</v>
      </c>
      <c r="H207" s="27" t="inlineStr">
        <is>
          <t>C</t>
        </is>
      </c>
      <c r="I207" s="27" t="inlineStr">
        <is>
          <t>长</t>
        </is>
      </c>
      <c r="J207" s="27" t="inlineStr">
        <is>
          <t>Brand-Anonymized</t>
        </is>
      </c>
      <c r="K207" s="27" t="n">
        <v>200</v>
      </c>
      <c r="L207" s="27" t="inlineStr">
        <is>
          <t>C</t>
        </is>
      </c>
      <c r="M207" s="27" t="n"/>
      <c r="N207" s="27" t="n"/>
      <c r="O207" s="226" t="n">
        <v>40</v>
      </c>
      <c r="P207" s="226" t="n">
        <v>0</v>
      </c>
      <c r="Q207" s="226" t="n">
        <v>40</v>
      </c>
      <c r="R207" s="226" t="n">
        <v>0</v>
      </c>
      <c r="S207" s="226" t="n">
        <v>0</v>
      </c>
    </row>
    <row r="208" ht="14" customFormat="1" customHeight="1" s="1">
      <c r="A208" s="231" t="inlineStr">
        <is>
          <t>SKU-8F111297</t>
        </is>
      </c>
      <c r="B208" s="231" t="n">
        <v>100</v>
      </c>
      <c r="C208" s="45" t="inlineStr">
        <is>
          <t>Product-FD75D2B3</t>
        </is>
      </c>
      <c r="D208" s="231" t="n">
        <v>1</v>
      </c>
      <c r="E208" s="51" t="n"/>
      <c r="F208" s="184" t="n">
        <v>10</v>
      </c>
      <c r="G208" s="184" t="n">
        <v>10</v>
      </c>
      <c r="H208" s="27" t="inlineStr">
        <is>
          <t>X</t>
        </is>
      </c>
      <c r="I208" s="27" t="inlineStr">
        <is>
          <t>长</t>
        </is>
      </c>
      <c r="J208" s="27" t="inlineStr">
        <is>
          <t>Brand-Anonymized</t>
        </is>
      </c>
      <c r="K208" s="27" t="n">
        <v>200</v>
      </c>
      <c r="L208" s="27" t="inlineStr">
        <is>
          <t>C</t>
        </is>
      </c>
      <c r="M208" s="27" t="n"/>
      <c r="N208" s="27" t="n"/>
      <c r="O208" s="226" t="n">
        <v>0</v>
      </c>
      <c r="P208" s="226" t="n">
        <v>0</v>
      </c>
      <c r="Q208" s="226" t="n">
        <v>0</v>
      </c>
      <c r="R208" s="226" t="n">
        <v>10</v>
      </c>
      <c r="S208" s="226" t="n">
        <v>0</v>
      </c>
    </row>
    <row r="209" ht="14" customFormat="1" customHeight="1" s="1">
      <c r="A209" s="231" t="inlineStr">
        <is>
          <t>SKU-29633089</t>
        </is>
      </c>
      <c r="B209" s="231" t="n">
        <v>100</v>
      </c>
      <c r="C209" s="44" t="inlineStr">
        <is>
          <t>Product-719E196F</t>
        </is>
      </c>
      <c r="D209" s="231" t="n">
        <v>3</v>
      </c>
      <c r="E209" s="51" t="n">
        <v>0</v>
      </c>
      <c r="F209" s="184" t="n">
        <v>0</v>
      </c>
      <c r="G209" s="184" t="n">
        <v>0</v>
      </c>
      <c r="H209" s="27" t="inlineStr"/>
      <c r="I209" s="27" t="inlineStr">
        <is>
          <t>标</t>
        </is>
      </c>
      <c r="J209" s="27" t="inlineStr">
        <is>
          <t>Brand-Anonymized</t>
        </is>
      </c>
      <c r="K209" s="27" t="n">
        <v>200</v>
      </c>
      <c r="L209" s="27" t="inlineStr">
        <is>
          <t>C</t>
        </is>
      </c>
      <c r="M209" s="27" t="n"/>
      <c r="N209" s="27" t="n"/>
      <c r="O209" s="226" t="inlineStr">
        <is>
          <t>0</t>
        </is>
      </c>
      <c r="P209" s="226" t="inlineStr">
        <is>
          <t>0</t>
        </is>
      </c>
      <c r="Q209" s="226" t="inlineStr">
        <is>
          <t>0</t>
        </is>
      </c>
      <c r="R209" s="226" t="inlineStr">
        <is>
          <t>0</t>
        </is>
      </c>
      <c r="S209" s="226" t="inlineStr">
        <is>
          <t>0</t>
        </is>
      </c>
    </row>
    <row r="210" ht="14" customFormat="1" customHeight="1" s="1">
      <c r="A210" s="231" t="inlineStr">
        <is>
          <t>SKU-5FFC4FAB</t>
        </is>
      </c>
      <c r="B210" s="231" t="n">
        <v>100</v>
      </c>
      <c r="C210" s="19" t="inlineStr">
        <is>
          <t>Product-0DACD2F6</t>
        </is>
      </c>
      <c r="D210" s="231" t="n">
        <v>2</v>
      </c>
      <c r="E210" s="51" t="n">
        <v>913.418</v>
      </c>
      <c r="F210" s="184" t="n">
        <v>306.2</v>
      </c>
      <c r="G210" s="184" t="n">
        <v>173.436</v>
      </c>
      <c r="H210" s="27" t="inlineStr"/>
      <c r="I210" s="27" t="inlineStr">
        <is>
          <t>细</t>
        </is>
      </c>
      <c r="J210" s="27" t="inlineStr">
        <is>
          <t>Brand-Anonymized</t>
        </is>
      </c>
      <c r="K210" s="27" t="n">
        <v>200</v>
      </c>
      <c r="L210" s="27" t="inlineStr">
        <is>
          <t>C</t>
        </is>
      </c>
      <c r="M210" s="27" t="n"/>
      <c r="N210" s="27" t="n"/>
      <c r="O210" s="226" t="n">
        <v>103</v>
      </c>
      <c r="P210" s="226" t="n">
        <v>101</v>
      </c>
      <c r="Q210" s="226" t="n">
        <v>102.2</v>
      </c>
      <c r="R210" s="226" t="inlineStr">
        <is>
          <t>0</t>
        </is>
      </c>
      <c r="S210" s="226" t="n">
        <v>0</v>
      </c>
    </row>
    <row r="211" ht="14" customFormat="1" customHeight="1" s="1">
      <c r="A211" s="231" t="inlineStr">
        <is>
          <t>SKU-B633AD53</t>
        </is>
      </c>
      <c r="B211" s="231" t="n">
        <v>100</v>
      </c>
      <c r="C211" s="19" t="inlineStr">
        <is>
          <t>Product-A5C01E33</t>
        </is>
      </c>
      <c r="D211" s="231" t="n">
        <v>1</v>
      </c>
      <c r="E211" s="51" t="n">
        <v>187.028</v>
      </c>
      <c r="F211" s="184" t="n">
        <v>115.6</v>
      </c>
      <c r="G211" s="184" t="n">
        <v>3.57600000000001</v>
      </c>
      <c r="H211" s="27" t="inlineStr"/>
      <c r="I211" s="27" t="inlineStr">
        <is>
          <t>细</t>
        </is>
      </c>
      <c r="J211" s="27" t="inlineStr">
        <is>
          <t>Brand-Anonymized</t>
        </is>
      </c>
      <c r="K211" s="27" t="n">
        <v>200</v>
      </c>
      <c r="L211" s="27" t="inlineStr">
        <is>
          <t>C</t>
        </is>
      </c>
      <c r="M211" s="27" t="n"/>
      <c r="N211" s="27" t="n"/>
      <c r="O211" s="226" t="inlineStr">
        <is>
          <t>0</t>
        </is>
      </c>
      <c r="P211" s="226" t="n">
        <v>57.8</v>
      </c>
      <c r="Q211" s="226" t="n">
        <v>57.8</v>
      </c>
      <c r="R211" s="226" t="n">
        <v>0</v>
      </c>
      <c r="S211" s="226" t="inlineStr">
        <is>
          <t>0</t>
        </is>
      </c>
    </row>
    <row r="212" ht="14" customFormat="1" customHeight="1" s="1">
      <c r="A212" s="231" t="inlineStr">
        <is>
          <t>SKU-F5C809B2</t>
        </is>
      </c>
      <c r="B212" s="231" t="n">
        <v>100</v>
      </c>
      <c r="C212" s="19" t="inlineStr">
        <is>
          <t>Product-5A7B99C4</t>
        </is>
      </c>
      <c r="D212" s="231" t="n">
        <v>1</v>
      </c>
      <c r="E212" s="51" t="n">
        <v>-2.068</v>
      </c>
      <c r="F212" s="184" t="n">
        <v>19.7</v>
      </c>
      <c r="G212" s="184" t="n">
        <v>3.064</v>
      </c>
      <c r="H212" s="27" t="inlineStr"/>
      <c r="I212" s="27" t="inlineStr">
        <is>
          <t>长</t>
        </is>
      </c>
      <c r="J212" s="27" t="inlineStr">
        <is>
          <t>Brand-Anonymized</t>
        </is>
      </c>
      <c r="K212" s="27" t="n">
        <v>200</v>
      </c>
      <c r="L212" s="27" t="inlineStr">
        <is>
          <t>C</t>
        </is>
      </c>
      <c r="M212" s="27" t="n"/>
      <c r="N212" s="27" t="n"/>
      <c r="O212" s="226" t="inlineStr">
        <is>
          <t>0</t>
        </is>
      </c>
      <c r="P212" s="226" t="n">
        <v>19.7</v>
      </c>
      <c r="Q212" s="226" t="n">
        <v>0</v>
      </c>
      <c r="R212" s="226" t="inlineStr">
        <is>
          <t>0</t>
        </is>
      </c>
      <c r="S212" s="226" t="inlineStr">
        <is>
          <t>0</t>
        </is>
      </c>
    </row>
    <row r="213" ht="14" customFormat="1" customHeight="1" s="1">
      <c r="A213" s="231" t="inlineStr">
        <is>
          <t>SKU-85450BFD</t>
        </is>
      </c>
      <c r="B213" s="231" t="n">
        <v>100</v>
      </c>
      <c r="C213" s="59" t="inlineStr">
        <is>
          <t>Product-91F0DC53</t>
        </is>
      </c>
      <c r="D213" s="231" t="n">
        <v>1</v>
      </c>
      <c r="E213" s="51" t="n">
        <v>39.87</v>
      </c>
      <c r="F213" s="184" t="n">
        <v>24.1</v>
      </c>
      <c r="G213" s="184" t="n">
        <v>3.34</v>
      </c>
      <c r="H213" s="27" t="inlineStr"/>
      <c r="I213" s="27" t="inlineStr">
        <is>
          <t>方</t>
        </is>
      </c>
      <c r="J213" s="27" t="inlineStr">
        <is>
          <t>Brand-Anonymized</t>
        </is>
      </c>
      <c r="K213" s="27" t="n">
        <v>200</v>
      </c>
      <c r="L213" s="27" t="inlineStr">
        <is>
          <t>C</t>
        </is>
      </c>
      <c r="M213" s="27" t="n"/>
      <c r="N213" s="27" t="n"/>
      <c r="O213" s="226" t="inlineStr">
        <is>
          <t>0</t>
        </is>
      </c>
      <c r="P213" s="226" t="inlineStr">
        <is>
          <t>0</t>
        </is>
      </c>
      <c r="Q213" s="226" t="n">
        <v>24.1</v>
      </c>
      <c r="R213" s="226" t="inlineStr">
        <is>
          <t>0</t>
        </is>
      </c>
      <c r="S213" s="226" t="inlineStr">
        <is>
          <t>0</t>
        </is>
      </c>
    </row>
    <row r="214" ht="14" customFormat="1" customHeight="1" s="1">
      <c r="A214" s="231" t="inlineStr">
        <is>
          <t>SKU-EDF7920D</t>
        </is>
      </c>
      <c r="B214" s="231" t="n">
        <v>100</v>
      </c>
      <c r="C214" s="59" t="inlineStr">
        <is>
          <t>Product-CE4C0A22</t>
        </is>
      </c>
      <c r="D214" s="231" t="n">
        <v>1</v>
      </c>
      <c r="E214" s="51" t="n">
        <v>78.5352</v>
      </c>
      <c r="F214" s="184" t="n">
        <v>35.1</v>
      </c>
      <c r="G214" s="184" t="n">
        <v>18.2484</v>
      </c>
      <c r="H214" s="27" t="inlineStr">
        <is>
          <t>C</t>
        </is>
      </c>
      <c r="I214" s="27" t="inlineStr">
        <is>
          <t>长</t>
        </is>
      </c>
      <c r="J214" s="27" t="inlineStr">
        <is>
          <t>Brand-Anonymized</t>
        </is>
      </c>
      <c r="K214" s="27" t="n">
        <v>180</v>
      </c>
      <c r="L214" s="27" t="inlineStr">
        <is>
          <t>C</t>
        </is>
      </c>
      <c r="M214" s="27" t="n"/>
      <c r="N214" s="27" t="n"/>
      <c r="O214" s="226" t="n">
        <v>18</v>
      </c>
      <c r="P214" s="226" t="n">
        <v>0</v>
      </c>
      <c r="Q214" s="226" t="n">
        <v>17.1</v>
      </c>
      <c r="R214" s="226" t="n">
        <v>0</v>
      </c>
      <c r="S214" s="226" t="n">
        <v>0</v>
      </c>
    </row>
    <row r="215" ht="14" customFormat="1" customHeight="1" s="1">
      <c r="A215" s="231" t="inlineStr">
        <is>
          <t>SKU-DD4DEF4E</t>
        </is>
      </c>
      <c r="B215" s="231" t="n">
        <v>100</v>
      </c>
      <c r="C215" s="59" t="inlineStr">
        <is>
          <t>Product-F3C53F7F</t>
        </is>
      </c>
      <c r="D215" s="231" t="n">
        <v>1</v>
      </c>
      <c r="E215" s="51" t="n">
        <v>23.412</v>
      </c>
      <c r="F215" s="184" t="n">
        <v>5</v>
      </c>
      <c r="G215" s="184" t="n">
        <v>19.284</v>
      </c>
      <c r="H215" s="27" t="inlineStr">
        <is>
          <t>C</t>
        </is>
      </c>
      <c r="I215" s="27" t="inlineStr"/>
      <c r="J215" s="27" t="inlineStr">
        <is>
          <t>Brand-Anonymized</t>
        </is>
      </c>
      <c r="K215" s="27" t="n">
        <v>200</v>
      </c>
      <c r="L215" s="27" t="n"/>
      <c r="M215" s="27" t="n"/>
      <c r="N215" s="27" t="n"/>
      <c r="O215" s="226" t="n">
        <v>5</v>
      </c>
      <c r="P215" s="226" t="n">
        <v>0</v>
      </c>
      <c r="Q215" s="226" t="n">
        <v>0</v>
      </c>
      <c r="R215" s="226" t="n">
        <v>0</v>
      </c>
      <c r="S215" s="226" t="n">
        <v>0</v>
      </c>
    </row>
    <row r="216" ht="14" customFormat="1" customHeight="1" s="1">
      <c r="A216" s="231" t="inlineStr">
        <is>
          <t>SKU-05047315</t>
        </is>
      </c>
      <c r="B216" s="231" t="n">
        <v>100</v>
      </c>
      <c r="C216" s="33" t="inlineStr">
        <is>
          <t>Product-81383D73</t>
        </is>
      </c>
      <c r="D216" s="231" t="n">
        <v>3</v>
      </c>
      <c r="E216" s="51" t="n">
        <v>0</v>
      </c>
      <c r="F216" s="184" t="n">
        <v>0</v>
      </c>
      <c r="G216" s="184" t="n">
        <v>0</v>
      </c>
      <c r="H216" s="42" t="inlineStr"/>
      <c r="I216" s="27" t="inlineStr"/>
      <c r="J216" s="27" t="inlineStr">
        <is>
          <t>Brand-Anonymized</t>
        </is>
      </c>
      <c r="K216" s="27" t="n">
        <v>200</v>
      </c>
      <c r="L216" s="27" t="n"/>
      <c r="M216" s="27" t="n"/>
      <c r="N216" s="27" t="n"/>
      <c r="O216" s="226" t="inlineStr">
        <is>
          <t>0</t>
        </is>
      </c>
      <c r="P216" s="226" t="inlineStr">
        <is>
          <t>0</t>
        </is>
      </c>
      <c r="Q216" s="226" t="inlineStr">
        <is>
          <t>0</t>
        </is>
      </c>
      <c r="R216" s="226" t="inlineStr">
        <is>
          <t>0</t>
        </is>
      </c>
      <c r="S216" s="226" t="inlineStr">
        <is>
          <t>0</t>
        </is>
      </c>
    </row>
    <row r="217" ht="14" customFormat="1" customHeight="1" s="1">
      <c r="A217" s="231" t="inlineStr">
        <is>
          <t>SKU-9CAB8B44</t>
        </is>
      </c>
      <c r="B217" s="231" t="n">
        <v>100</v>
      </c>
      <c r="C217" s="43" t="inlineStr">
        <is>
          <t>Product-410E9D24</t>
        </is>
      </c>
      <c r="D217" s="231" t="n">
        <v>1</v>
      </c>
      <c r="E217" s="51" t="n">
        <v>0</v>
      </c>
      <c r="F217" s="184" t="n">
        <v>0</v>
      </c>
      <c r="G217" s="184" t="n">
        <v>0</v>
      </c>
      <c r="H217" s="27" t="inlineStr"/>
      <c r="I217" s="27" t="inlineStr">
        <is>
          <t>方</t>
        </is>
      </c>
      <c r="J217" s="27" t="inlineStr">
        <is>
          <t>Brand-Anonymized</t>
        </is>
      </c>
      <c r="K217" s="27" t="n">
        <v>200</v>
      </c>
      <c r="L217" s="27" t="inlineStr">
        <is>
          <t>C</t>
        </is>
      </c>
      <c r="M217" s="27" t="n"/>
      <c r="N217" s="27" t="n"/>
      <c r="O217" s="226" t="inlineStr">
        <is>
          <t>0</t>
        </is>
      </c>
      <c r="P217" s="226" t="inlineStr">
        <is>
          <t>0</t>
        </is>
      </c>
      <c r="Q217" s="226" t="inlineStr">
        <is>
          <t>0</t>
        </is>
      </c>
      <c r="R217" s="226" t="inlineStr">
        <is>
          <t>0</t>
        </is>
      </c>
      <c r="S217" s="226" t="inlineStr">
        <is>
          <t>0</t>
        </is>
      </c>
    </row>
    <row r="218" ht="14" customFormat="1" customHeight="1" s="1">
      <c r="A218" s="231" t="inlineStr">
        <is>
          <t>SKU-2AAB30A8</t>
        </is>
      </c>
      <c r="B218" s="231" t="n">
        <v>100</v>
      </c>
      <c r="C218" s="19" t="inlineStr">
        <is>
          <t>Product-81383D73</t>
        </is>
      </c>
      <c r="D218" s="231" t="n">
        <v>3</v>
      </c>
      <c r="E218" s="51" t="n">
        <v>10.54</v>
      </c>
      <c r="F218" s="184" t="n">
        <v>0</v>
      </c>
      <c r="G218" s="184" t="n">
        <v>0</v>
      </c>
      <c r="H218" s="42" t="inlineStr">
        <is>
          <t>T</t>
        </is>
      </c>
      <c r="I218" s="27" t="inlineStr"/>
      <c r="J218" s="27" t="inlineStr">
        <is>
          <t>Brand-Anonymized</t>
        </is>
      </c>
      <c r="K218" s="27" t="n">
        <v>200</v>
      </c>
      <c r="L218" s="27" t="n"/>
      <c r="M218" s="27" t="n"/>
      <c r="N218" s="27" t="n"/>
      <c r="O218" s="226" t="inlineStr">
        <is>
          <t>0</t>
        </is>
      </c>
      <c r="P218" s="226" t="inlineStr">
        <is>
          <t>0</t>
        </is>
      </c>
      <c r="Q218" s="226" t="inlineStr">
        <is>
          <t>0</t>
        </is>
      </c>
      <c r="R218" s="226" t="inlineStr">
        <is>
          <t>0</t>
        </is>
      </c>
      <c r="S218" s="226" t="inlineStr">
        <is>
          <t>0</t>
        </is>
      </c>
    </row>
    <row r="219" ht="14" customFormat="1" customHeight="1" s="1">
      <c r="A219" s="231" t="inlineStr">
        <is>
          <t>SKU-56549691</t>
        </is>
      </c>
      <c r="B219" s="231" t="n">
        <v>100</v>
      </c>
      <c r="C219" s="45" t="inlineStr">
        <is>
          <t>Product-A2BB61CB</t>
        </is>
      </c>
      <c r="D219" s="231" t="n">
        <v>1</v>
      </c>
      <c r="E219" s="51" t="n">
        <v>25.856</v>
      </c>
      <c r="F219" s="184" t="n">
        <v>20</v>
      </c>
      <c r="G219" s="184" t="n">
        <v>10.012</v>
      </c>
      <c r="H219" s="27" t="inlineStr">
        <is>
          <t>X</t>
        </is>
      </c>
      <c r="I219" s="27" t="inlineStr">
        <is>
          <t>细</t>
        </is>
      </c>
      <c r="J219" s="27" t="inlineStr">
        <is>
          <t>Brand-Anonymized</t>
        </is>
      </c>
      <c r="K219" s="27" t="n">
        <v>200</v>
      </c>
      <c r="L219" s="27" t="inlineStr">
        <is>
          <t>C</t>
        </is>
      </c>
      <c r="M219" s="27" t="n"/>
      <c r="N219" s="27" t="n"/>
      <c r="O219" s="226" t="n">
        <v>0</v>
      </c>
      <c r="P219" s="226" t="n">
        <v>10</v>
      </c>
      <c r="Q219" s="226" t="n">
        <v>0</v>
      </c>
      <c r="R219" s="226" t="n">
        <v>10</v>
      </c>
      <c r="S219" s="226" t="n">
        <v>0</v>
      </c>
    </row>
    <row r="220" ht="14" customFormat="1" customHeight="1" s="1">
      <c r="A220" s="231" t="inlineStr">
        <is>
          <t>SKU-D2308BA2</t>
        </is>
      </c>
      <c r="B220" s="231" t="n">
        <v>100</v>
      </c>
      <c r="C220" s="45" t="inlineStr">
        <is>
          <t>Product-81383D73</t>
        </is>
      </c>
      <c r="D220" s="231" t="n">
        <v>3</v>
      </c>
      <c r="E220" s="51" t="n"/>
      <c r="F220" s="184" t="n">
        <v>0</v>
      </c>
      <c r="G220" s="184" t="n">
        <v>0</v>
      </c>
      <c r="H220" s="42" t="inlineStr">
        <is>
          <t>T</t>
        </is>
      </c>
      <c r="I220" s="27" t="n">
        <v>0</v>
      </c>
      <c r="J220" s="27" t="inlineStr">
        <is>
          <t>Brand-Anonymized</t>
        </is>
      </c>
      <c r="K220" s="27" t="n">
        <v>200</v>
      </c>
      <c r="L220" s="27" t="n"/>
      <c r="M220" s="27" t="n"/>
      <c r="N220" s="27" t="n"/>
      <c r="O220" s="226" t="inlineStr">
        <is>
          <t>0</t>
        </is>
      </c>
      <c r="P220" s="226" t="inlineStr">
        <is>
          <t>0</t>
        </is>
      </c>
      <c r="Q220" s="226" t="inlineStr">
        <is>
          <t>0</t>
        </is>
      </c>
      <c r="R220" s="226" t="inlineStr">
        <is>
          <t>0</t>
        </is>
      </c>
      <c r="S220" s="226" t="inlineStr">
        <is>
          <t>0</t>
        </is>
      </c>
    </row>
    <row r="221" ht="14" customFormat="1" customHeight="1" s="1">
      <c r="A221" s="231" t="inlineStr">
        <is>
          <t>SKU-96A04697</t>
        </is>
      </c>
      <c r="B221" s="231" t="n">
        <v>100</v>
      </c>
      <c r="C221" s="19" t="inlineStr">
        <is>
          <t>Product-28EE2E14</t>
        </is>
      </c>
      <c r="D221" s="231" t="n">
        <v>1</v>
      </c>
      <c r="E221" s="51" t="n">
        <v>-59.416</v>
      </c>
      <c r="F221" s="184" t="n">
        <v>4</v>
      </c>
      <c r="G221" s="184" t="n">
        <v>4.768</v>
      </c>
      <c r="H221" s="27" t="inlineStr">
        <is>
          <t>C</t>
        </is>
      </c>
      <c r="I221" s="27" t="inlineStr">
        <is>
          <t>标</t>
        </is>
      </c>
      <c r="J221" s="27" t="inlineStr">
        <is>
          <t>Brand-Anonymized</t>
        </is>
      </c>
      <c r="K221" s="27" t="n">
        <v>200</v>
      </c>
      <c r="L221" s="27" t="inlineStr">
        <is>
          <t>C</t>
        </is>
      </c>
      <c r="M221" s="27" t="n"/>
      <c r="N221" s="27" t="n"/>
      <c r="O221" s="226" t="n">
        <v>4</v>
      </c>
      <c r="P221" s="226" t="n">
        <v>0</v>
      </c>
      <c r="Q221" s="226" t="n">
        <v>0</v>
      </c>
      <c r="R221" s="226" t="n">
        <v>0</v>
      </c>
      <c r="S221" s="226" t="n">
        <v>0</v>
      </c>
    </row>
    <row r="222" ht="14" customFormat="1" customHeight="1" s="1">
      <c r="A222" s="231" t="inlineStr">
        <is>
          <t>SKU-D5EF4CB5</t>
        </is>
      </c>
      <c r="B222" s="231" t="n">
        <v>100</v>
      </c>
      <c r="C222" s="19" t="inlineStr">
        <is>
          <t>Product-37275E77</t>
        </is>
      </c>
      <c r="D222" s="231" t="n">
        <v>3</v>
      </c>
      <c r="E222" s="51" t="n">
        <v>648.6319999999999</v>
      </c>
      <c r="F222" s="184" t="n">
        <v>202.8</v>
      </c>
      <c r="G222" s="184" t="n">
        <v>94.024</v>
      </c>
      <c r="H222" s="27" t="inlineStr"/>
      <c r="I222" s="27" t="inlineStr"/>
      <c r="J222" s="27" t="inlineStr">
        <is>
          <t>Brand-Anonymized</t>
        </is>
      </c>
      <c r="K222" s="27" t="n">
        <v>200</v>
      </c>
      <c r="L222" s="27" t="n"/>
      <c r="M222" s="27" t="n"/>
      <c r="N222" s="27" t="n"/>
      <c r="O222" s="226" t="n">
        <v>0</v>
      </c>
      <c r="P222" s="226" t="n">
        <v>104</v>
      </c>
      <c r="Q222" s="226" t="n">
        <v>98.8</v>
      </c>
      <c r="R222" s="226" t="inlineStr">
        <is>
          <t>0</t>
        </is>
      </c>
      <c r="S222" s="226" t="inlineStr">
        <is>
          <t>0</t>
        </is>
      </c>
    </row>
    <row r="223" ht="14" customFormat="1" customHeight="1" s="1">
      <c r="A223" s="231" t="inlineStr">
        <is>
          <t>SKU-74022443</t>
        </is>
      </c>
      <c r="B223" s="231" t="n">
        <v>100</v>
      </c>
      <c r="C223" s="19" t="inlineStr">
        <is>
          <t>Product-FC598C42</t>
        </is>
      </c>
      <c r="D223" s="231" t="n">
        <v>1</v>
      </c>
      <c r="E223" s="51" t="n">
        <v>1548.926</v>
      </c>
      <c r="F223" s="184" t="n">
        <v>577.7</v>
      </c>
      <c r="G223" s="184" t="n">
        <v>245.372</v>
      </c>
      <c r="H223" s="27" t="inlineStr">
        <is>
          <t>T</t>
        </is>
      </c>
      <c r="I223" s="27" t="inlineStr">
        <is>
          <t>细</t>
        </is>
      </c>
      <c r="J223" s="27" t="inlineStr">
        <is>
          <t>Brand-Anonymized</t>
        </is>
      </c>
      <c r="K223" s="27" t="n">
        <v>200</v>
      </c>
      <c r="L223" s="27" t="inlineStr">
        <is>
          <t>C</t>
        </is>
      </c>
      <c r="M223" s="27" t="n"/>
      <c r="N223" s="27" t="n"/>
      <c r="O223" s="226" t="n">
        <v>245</v>
      </c>
      <c r="P223" s="226" t="n">
        <v>0</v>
      </c>
      <c r="Q223" s="226" t="n">
        <v>100</v>
      </c>
      <c r="R223" s="226" t="n">
        <v>120</v>
      </c>
      <c r="S223" s="226" t="n">
        <v>112.7</v>
      </c>
    </row>
    <row r="224" ht="14" customFormat="1" customHeight="1" s="1">
      <c r="A224" s="231" t="inlineStr">
        <is>
          <t>SKU-6F1556A7</t>
        </is>
      </c>
      <c r="B224" s="231" t="n">
        <v>100</v>
      </c>
      <c r="C224" s="19" t="inlineStr">
        <is>
          <t>Product-76A9C072</t>
        </is>
      </c>
      <c r="D224" s="231" t="n">
        <v>1</v>
      </c>
      <c r="E224" s="51" t="n">
        <v>-0.0920000000000023</v>
      </c>
      <c r="F224" s="184" t="n">
        <v>6</v>
      </c>
      <c r="G224" s="184" t="n">
        <v>6.476</v>
      </c>
      <c r="H224" s="27" t="inlineStr">
        <is>
          <t>C</t>
        </is>
      </c>
      <c r="I224" s="27" t="inlineStr">
        <is>
          <t>长</t>
        </is>
      </c>
      <c r="J224" s="27" t="inlineStr">
        <is>
          <t>Brand-Anonymized</t>
        </is>
      </c>
      <c r="K224" s="27" t="n">
        <v>200</v>
      </c>
      <c r="L224" s="27" t="inlineStr">
        <is>
          <t>C</t>
        </is>
      </c>
      <c r="M224" s="27" t="n"/>
      <c r="N224" s="27" t="n"/>
      <c r="O224" s="227" t="n">
        <v>6</v>
      </c>
      <c r="P224" s="226" t="n">
        <v>0</v>
      </c>
      <c r="Q224" s="226" t="n">
        <v>0</v>
      </c>
      <c r="R224" s="226" t="n">
        <v>0</v>
      </c>
      <c r="S224" s="226" t="n">
        <v>0</v>
      </c>
    </row>
    <row r="225" ht="14" customFormat="1" customHeight="1" s="1">
      <c r="A225" s="231" t="inlineStr">
        <is>
          <t>SKU-D9263F39</t>
        </is>
      </c>
      <c r="B225" s="231" t="n">
        <v>100</v>
      </c>
      <c r="C225" s="19" t="inlineStr">
        <is>
          <t>Product-D1698B4E</t>
        </is>
      </c>
      <c r="D225" s="231" t="n">
        <v>1</v>
      </c>
      <c r="E225" s="51" t="n">
        <v>511.296</v>
      </c>
      <c r="F225" s="184" t="n">
        <v>167.6</v>
      </c>
      <c r="G225" s="184" t="n">
        <v>68.91200000000001</v>
      </c>
      <c r="H225" s="27" t="inlineStr"/>
      <c r="I225" s="27" t="inlineStr">
        <is>
          <t>细</t>
        </is>
      </c>
      <c r="J225" s="27" t="inlineStr">
        <is>
          <t>Brand-Anonymized</t>
        </is>
      </c>
      <c r="K225" s="27" t="n">
        <v>200</v>
      </c>
      <c r="L225" s="27" t="inlineStr">
        <is>
          <t>C</t>
        </is>
      </c>
      <c r="M225" s="27" t="n"/>
      <c r="N225" s="27" t="n"/>
      <c r="O225" s="226" t="n">
        <v>0</v>
      </c>
      <c r="P225" s="226" t="n">
        <v>80</v>
      </c>
      <c r="Q225" s="226" t="n">
        <v>0</v>
      </c>
      <c r="R225" s="226" t="n">
        <v>87.59999999999999</v>
      </c>
      <c r="S225" s="226" t="inlineStr">
        <is>
          <t>0</t>
        </is>
      </c>
    </row>
    <row r="226" ht="14" customFormat="1" customHeight="1" s="1">
      <c r="A226" s="231" t="inlineStr">
        <is>
          <t>SKU-A2042F81</t>
        </is>
      </c>
      <c r="B226" s="231" t="n">
        <v>100</v>
      </c>
      <c r="C226" s="19" t="inlineStr">
        <is>
          <t>Product-1E515825</t>
        </is>
      </c>
      <c r="D226" s="231" t="n">
        <v>1</v>
      </c>
      <c r="E226" s="51" t="n">
        <v>37.16</v>
      </c>
      <c r="F226" s="184" t="n">
        <v>13</v>
      </c>
      <c r="G226" s="184" t="n">
        <v>7.2</v>
      </c>
      <c r="H226" s="27" t="inlineStr">
        <is>
          <t>C</t>
        </is>
      </c>
      <c r="I226" s="27" t="inlineStr">
        <is>
          <t>长</t>
        </is>
      </c>
      <c r="J226" s="27" t="inlineStr">
        <is>
          <t>Brand-Anonymized</t>
        </is>
      </c>
      <c r="K226" s="27" t="n">
        <v>200</v>
      </c>
      <c r="L226" s="27" t="inlineStr">
        <is>
          <t>C</t>
        </is>
      </c>
      <c r="M226" s="27" t="n"/>
      <c r="N226" s="27" t="n"/>
      <c r="O226" s="226" t="n">
        <v>0</v>
      </c>
      <c r="P226" s="226" t="n">
        <v>0</v>
      </c>
      <c r="Q226" s="226" t="n">
        <v>0</v>
      </c>
      <c r="R226" s="226" t="n">
        <v>13</v>
      </c>
      <c r="S226" s="226" t="n">
        <v>0</v>
      </c>
    </row>
    <row r="227" ht="14" customFormat="1" customHeight="1" s="1">
      <c r="A227" s="231" t="inlineStr">
        <is>
          <t>SKU-0A2F7001</t>
        </is>
      </c>
      <c r="B227" s="231" t="n">
        <v>100</v>
      </c>
      <c r="C227" s="19" t="inlineStr">
        <is>
          <t>Product-FCAC2E38</t>
        </is>
      </c>
      <c r="D227" s="231" t="n">
        <v>3</v>
      </c>
      <c r="E227" s="51" t="n">
        <v>2189.434</v>
      </c>
      <c r="F227" s="184" t="n">
        <v>610.3</v>
      </c>
      <c r="G227" s="184" t="n">
        <v>390.368</v>
      </c>
      <c r="H227" s="42" t="inlineStr">
        <is>
          <t>T</t>
        </is>
      </c>
      <c r="I227" s="27" t="inlineStr"/>
      <c r="J227" s="27" t="inlineStr">
        <is>
          <t>Brand-Anonymized</t>
        </is>
      </c>
      <c r="K227" s="27" t="n">
        <v>200</v>
      </c>
      <c r="L227" s="27" t="n"/>
      <c r="M227" s="27" t="n"/>
      <c r="N227" s="27" t="n"/>
      <c r="O227" s="226" t="n">
        <v>123</v>
      </c>
      <c r="P227" s="226" t="n">
        <v>123</v>
      </c>
      <c r="Q227" s="226" t="n">
        <v>123</v>
      </c>
      <c r="R227" s="226" t="n">
        <v>123</v>
      </c>
      <c r="S227" s="226" t="n">
        <v>118.3</v>
      </c>
    </row>
    <row r="228" ht="14" customFormat="1" customHeight="1" s="1">
      <c r="A228" s="231" t="inlineStr">
        <is>
          <t>SKU-ED222C1F</t>
        </is>
      </c>
      <c r="B228" s="231" t="n">
        <v>100</v>
      </c>
      <c r="C228" s="19" t="inlineStr">
        <is>
          <t>Product-7064CA4A</t>
        </is>
      </c>
      <c r="D228" s="231" t="n">
        <v>1</v>
      </c>
      <c r="E228" s="51" t="n">
        <v>532.808</v>
      </c>
      <c r="F228" s="184" t="n">
        <v>223.7</v>
      </c>
      <c r="G228" s="184" t="n">
        <v>80.316</v>
      </c>
      <c r="H228" s="27" t="inlineStr"/>
      <c r="I228" s="27" t="inlineStr"/>
      <c r="J228" s="27" t="inlineStr">
        <is>
          <t>Brand-Anonymized</t>
        </is>
      </c>
      <c r="K228" s="27" t="n">
        <v>200</v>
      </c>
      <c r="L228" s="27" t="n"/>
      <c r="M228" s="27" t="n"/>
      <c r="N228" s="27" t="n"/>
      <c r="O228" s="226" t="n">
        <v>67</v>
      </c>
      <c r="P228" s="226" t="n">
        <v>67</v>
      </c>
      <c r="Q228" s="226" t="n">
        <v>0</v>
      </c>
      <c r="R228" s="226" t="n">
        <v>89.7</v>
      </c>
      <c r="S228" s="226" t="inlineStr">
        <is>
          <t>0</t>
        </is>
      </c>
    </row>
    <row r="229" ht="14" customFormat="1" customHeight="1" s="1">
      <c r="A229" s="231" t="inlineStr">
        <is>
          <t>SKU-0B9EE4CD</t>
        </is>
      </c>
      <c r="B229" s="231" t="n">
        <v>100</v>
      </c>
      <c r="C229" s="19" t="inlineStr">
        <is>
          <t>Product-326C7E91</t>
        </is>
      </c>
      <c r="D229" s="231" t="n">
        <v>2</v>
      </c>
      <c r="E229" s="51" t="n">
        <v>3860.534</v>
      </c>
      <c r="F229" s="184" t="n">
        <v>1335</v>
      </c>
      <c r="G229" s="184" t="n">
        <v>552.068</v>
      </c>
      <c r="H229" s="27" t="inlineStr"/>
      <c r="I229" s="27" t="inlineStr"/>
      <c r="J229" s="27" t="inlineStr">
        <is>
          <t>Brand-Anonymized</t>
        </is>
      </c>
      <c r="K229" s="27" t="n">
        <v>200</v>
      </c>
      <c r="L229" s="27" t="n"/>
      <c r="M229" s="27" t="n"/>
      <c r="N229" s="27" t="n"/>
      <c r="O229" s="226" t="n">
        <v>200</v>
      </c>
      <c r="P229" s="226" t="n">
        <v>400</v>
      </c>
      <c r="Q229" s="226" t="n">
        <v>300</v>
      </c>
      <c r="R229" s="226" t="n">
        <v>220</v>
      </c>
      <c r="S229" s="226" t="n">
        <v>215</v>
      </c>
    </row>
    <row r="230" ht="14" customFormat="1" customHeight="1" s="1">
      <c r="A230" s="231" t="inlineStr">
        <is>
          <t>SKU-92F9812B</t>
        </is>
      </c>
      <c r="B230" s="231" t="n">
        <v>100</v>
      </c>
      <c r="C230" s="19" t="inlineStr">
        <is>
          <t>Product-68B82AAE</t>
        </is>
      </c>
      <c r="D230" s="231" t="n">
        <v>3</v>
      </c>
      <c r="E230" s="51" t="n">
        <v>1880.214</v>
      </c>
      <c r="F230" s="184" t="n">
        <v>633.3</v>
      </c>
      <c r="G230" s="184" t="n">
        <v>269.728</v>
      </c>
      <c r="H230" s="27" t="inlineStr"/>
      <c r="I230" s="27" t="inlineStr"/>
      <c r="J230" s="27" t="inlineStr">
        <is>
          <t>Brand-Anonymized</t>
        </is>
      </c>
      <c r="K230" s="27" t="n">
        <v>200</v>
      </c>
      <c r="L230" s="27" t="n"/>
      <c r="M230" s="27" t="n"/>
      <c r="N230" s="27" t="n"/>
      <c r="O230" s="226" t="n">
        <v>100</v>
      </c>
      <c r="P230" s="226" t="n">
        <v>160</v>
      </c>
      <c r="Q230" s="226" t="n">
        <v>140</v>
      </c>
      <c r="R230" s="226" t="n">
        <v>130</v>
      </c>
      <c r="S230" s="226" t="n">
        <v>103.3</v>
      </c>
    </row>
    <row r="231" ht="14" customFormat="1" customHeight="1" s="1">
      <c r="A231" s="231" t="inlineStr">
        <is>
          <t>SKU-6D767F9B</t>
        </is>
      </c>
      <c r="B231" s="231" t="n">
        <v>100</v>
      </c>
      <c r="C231" s="19" t="inlineStr">
        <is>
          <t>Product-1D13312B</t>
        </is>
      </c>
      <c r="D231" s="231" t="n">
        <v>1</v>
      </c>
      <c r="E231" s="51" t="n">
        <v>-14.248</v>
      </c>
      <c r="F231" s="184" t="n">
        <v>6</v>
      </c>
      <c r="G231" s="184" t="n">
        <v>7.684</v>
      </c>
      <c r="H231" s="27" t="inlineStr">
        <is>
          <t>C</t>
        </is>
      </c>
      <c r="I231" s="27" t="inlineStr">
        <is>
          <t>标</t>
        </is>
      </c>
      <c r="J231" s="27" t="inlineStr">
        <is>
          <t>Brand-Anonymized</t>
        </is>
      </c>
      <c r="K231" s="27" t="n">
        <v>200</v>
      </c>
      <c r="L231" s="27" t="inlineStr">
        <is>
          <t>C</t>
        </is>
      </c>
      <c r="M231" s="27" t="n"/>
      <c r="N231" s="27" t="n"/>
      <c r="O231" s="226" t="n">
        <v>6</v>
      </c>
      <c r="P231" s="226" t="n">
        <v>0</v>
      </c>
      <c r="Q231" s="226" t="n">
        <v>0</v>
      </c>
      <c r="R231" s="226" t="n">
        <v>0</v>
      </c>
      <c r="S231" s="226" t="n">
        <v>0</v>
      </c>
    </row>
    <row r="232" ht="14" customFormat="1" customHeight="1" s="1">
      <c r="A232" s="231" t="inlineStr">
        <is>
          <t>SKU-863FBBD8</t>
        </is>
      </c>
      <c r="B232" s="231" t="n">
        <v>100</v>
      </c>
      <c r="C232" s="19" t="inlineStr">
        <is>
          <t>Product-377B2B0D</t>
        </is>
      </c>
      <c r="D232" s="231" t="n">
        <v>1</v>
      </c>
      <c r="E232" s="51" t="n">
        <v>49.85</v>
      </c>
      <c r="F232" s="184" t="n">
        <v>22.7</v>
      </c>
      <c r="G232" s="184" t="n">
        <v>4.74</v>
      </c>
      <c r="H232" s="27" t="inlineStr"/>
      <c r="I232" s="27" t="inlineStr">
        <is>
          <t>细</t>
        </is>
      </c>
      <c r="J232" s="27" t="inlineStr">
        <is>
          <t>Brand-Anonymized</t>
        </is>
      </c>
      <c r="K232" s="27" t="n">
        <v>200</v>
      </c>
      <c r="L232" s="27" t="inlineStr">
        <is>
          <t>C</t>
        </is>
      </c>
      <c r="M232" s="27" t="n"/>
      <c r="N232" s="27" t="n"/>
      <c r="O232" s="226" t="inlineStr">
        <is>
          <t>0</t>
        </is>
      </c>
      <c r="P232" s="226" t="inlineStr">
        <is>
          <t>0</t>
        </is>
      </c>
      <c r="Q232" s="226" t="inlineStr">
        <is>
          <t>0</t>
        </is>
      </c>
      <c r="R232" s="226" t="n">
        <v>22.7</v>
      </c>
      <c r="S232" s="226" t="inlineStr">
        <is>
          <t>0</t>
        </is>
      </c>
    </row>
    <row r="233" ht="14" customFormat="1" customHeight="1" s="1">
      <c r="A233" s="231" t="inlineStr">
        <is>
          <t>SKU-FFD87C9A</t>
        </is>
      </c>
      <c r="B233" s="231" t="n">
        <v>100</v>
      </c>
      <c r="C233" s="19" t="inlineStr">
        <is>
          <t>Product-5C6F883D</t>
        </is>
      </c>
      <c r="D233" s="231" t="n">
        <v>1</v>
      </c>
      <c r="E233" s="51" t="n">
        <v>-5.17</v>
      </c>
      <c r="F233" s="184" t="n">
        <v>6</v>
      </c>
      <c r="G233" s="184" t="n">
        <v>6.52</v>
      </c>
      <c r="H233" s="27" t="inlineStr">
        <is>
          <t>C</t>
        </is>
      </c>
      <c r="I233" s="27" t="inlineStr">
        <is>
          <t>标</t>
        </is>
      </c>
      <c r="J233" s="27" t="inlineStr">
        <is>
          <t>Brand-Anonymized</t>
        </is>
      </c>
      <c r="K233" s="27" t="n">
        <v>200</v>
      </c>
      <c r="L233" s="27" t="inlineStr">
        <is>
          <t>C</t>
        </is>
      </c>
      <c r="M233" s="27" t="n"/>
      <c r="N233" s="27" t="n"/>
      <c r="O233" s="227" t="n">
        <v>6</v>
      </c>
      <c r="P233" s="226" t="n">
        <v>0</v>
      </c>
      <c r="Q233" s="226" t="n">
        <v>0</v>
      </c>
      <c r="R233" s="226" t="n">
        <v>0</v>
      </c>
      <c r="S233" s="226" t="n">
        <v>0</v>
      </c>
    </row>
    <row r="234" ht="14" customFormat="1" customHeight="1" s="1">
      <c r="A234" s="231" t="inlineStr">
        <is>
          <t>SKU-16F93B6E</t>
        </is>
      </c>
      <c r="B234" s="231" t="n">
        <v>100</v>
      </c>
      <c r="C234" s="19" t="inlineStr">
        <is>
          <t>Product-BB81D184</t>
        </is>
      </c>
      <c r="D234" s="231" t="n">
        <v>1</v>
      </c>
      <c r="E234" s="51" t="n">
        <v>1723.118</v>
      </c>
      <c r="F234" s="184" t="n">
        <v>610</v>
      </c>
      <c r="G234" s="184" t="n">
        <v>244.976</v>
      </c>
      <c r="H234" s="27" t="inlineStr">
        <is>
          <t>T</t>
        </is>
      </c>
      <c r="I234" s="27" t="inlineStr">
        <is>
          <t>细</t>
        </is>
      </c>
      <c r="J234" s="27" t="inlineStr">
        <is>
          <t>Brand-Anonymized</t>
        </is>
      </c>
      <c r="K234" s="27" t="n">
        <v>160</v>
      </c>
      <c r="L234" s="27" t="inlineStr">
        <is>
          <t>C</t>
        </is>
      </c>
      <c r="M234" s="27" t="n"/>
      <c r="N234" s="27" t="n"/>
      <c r="O234" s="226" t="n">
        <v>120</v>
      </c>
      <c r="P234" s="226" t="n">
        <v>140</v>
      </c>
      <c r="Q234" s="226" t="n">
        <v>140</v>
      </c>
      <c r="R234" s="226" t="n">
        <v>120</v>
      </c>
      <c r="S234" s="226" t="n">
        <v>90</v>
      </c>
    </row>
    <row r="235" ht="14" customFormat="1" customHeight="1" s="1">
      <c r="A235" s="231" t="inlineStr">
        <is>
          <t>SKU-0C7C3AA6</t>
        </is>
      </c>
      <c r="B235" s="231" t="n">
        <v>100</v>
      </c>
      <c r="C235" s="44" t="inlineStr">
        <is>
          <t>Product-723A3C46</t>
        </is>
      </c>
      <c r="D235" s="231" t="n">
        <v>1</v>
      </c>
      <c r="E235" s="51" t="n">
        <v>0</v>
      </c>
      <c r="F235" s="184" t="n">
        <v>0</v>
      </c>
      <c r="G235" s="184" t="n">
        <v>0</v>
      </c>
      <c r="H235" s="27" t="inlineStr"/>
      <c r="I235" s="27" t="inlineStr">
        <is>
          <t>方</t>
        </is>
      </c>
      <c r="J235" s="27" t="inlineStr">
        <is>
          <t>Brand-Anonymized</t>
        </is>
      </c>
      <c r="K235" s="27" t="n">
        <v>200</v>
      </c>
      <c r="L235" s="27" t="inlineStr">
        <is>
          <t>C</t>
        </is>
      </c>
      <c r="M235" s="27" t="n"/>
      <c r="N235" s="27" t="n"/>
      <c r="O235" s="226" t="inlineStr">
        <is>
          <t>0</t>
        </is>
      </c>
      <c r="P235" s="226" t="inlineStr">
        <is>
          <t>0</t>
        </is>
      </c>
      <c r="Q235" s="226" t="inlineStr">
        <is>
          <t>0</t>
        </is>
      </c>
      <c r="R235" s="226" t="inlineStr">
        <is>
          <t>0</t>
        </is>
      </c>
      <c r="S235" s="226" t="inlineStr">
        <is>
          <t>0</t>
        </is>
      </c>
    </row>
    <row r="236" ht="14" customFormat="1" customHeight="1" s="1">
      <c r="A236" s="231" t="inlineStr">
        <is>
          <t>SKU-CCF1AA57</t>
        </is>
      </c>
      <c r="B236" s="231" t="n">
        <v>100</v>
      </c>
      <c r="C236" s="19" t="inlineStr">
        <is>
          <t>Product-AA885DE6</t>
        </is>
      </c>
      <c r="D236" s="231" t="n">
        <v>2</v>
      </c>
      <c r="E236" s="51" t="n">
        <v>7670.016</v>
      </c>
      <c r="F236" s="184" t="n">
        <v>2409.9</v>
      </c>
      <c r="G236" s="184" t="n">
        <v>1282.012</v>
      </c>
      <c r="H236" s="27" t="inlineStr"/>
      <c r="I236" s="27" t="inlineStr">
        <is>
          <t>细</t>
        </is>
      </c>
      <c r="J236" s="27" t="inlineStr">
        <is>
          <t>Brand-Anonymized</t>
        </is>
      </c>
      <c r="K236" s="27" t="n">
        <v>200</v>
      </c>
      <c r="L236" s="27" t="inlineStr">
        <is>
          <t>C</t>
        </is>
      </c>
      <c r="M236" s="27" t="n"/>
      <c r="N236" s="27" t="n"/>
      <c r="O236" s="226" t="n">
        <v>500</v>
      </c>
      <c r="P236" s="226" t="n">
        <v>600</v>
      </c>
      <c r="Q236" s="226" t="n">
        <v>550</v>
      </c>
      <c r="R236" s="226" t="n">
        <v>550</v>
      </c>
      <c r="S236" s="226" t="n">
        <v>209.9</v>
      </c>
    </row>
    <row r="237" ht="14" customFormat="1" customHeight="1" s="1">
      <c r="A237" s="231" t="inlineStr">
        <is>
          <t>SKU-C608A627</t>
        </is>
      </c>
      <c r="B237" s="231" t="n">
        <v>100</v>
      </c>
      <c r="C237" s="43" t="inlineStr">
        <is>
          <t>Product-58C688E6</t>
        </is>
      </c>
      <c r="D237" s="231" t="n">
        <v>1</v>
      </c>
      <c r="E237" s="51" t="n">
        <v>-18.55</v>
      </c>
      <c r="F237" s="184" t="n">
        <v>0</v>
      </c>
      <c r="G237" s="184" t="n">
        <v>0</v>
      </c>
      <c r="H237" s="27" t="inlineStr">
        <is>
          <t>C</t>
        </is>
      </c>
      <c r="I237" s="27" t="inlineStr">
        <is>
          <t>细</t>
        </is>
      </c>
      <c r="J237" s="27" t="inlineStr">
        <is>
          <t>Brand-Anonymized</t>
        </is>
      </c>
      <c r="K237" s="27" t="n">
        <v>160</v>
      </c>
      <c r="L237" s="27" t="inlineStr">
        <is>
          <t>C</t>
        </is>
      </c>
      <c r="M237" s="27" t="n"/>
      <c r="N237" s="27" t="n"/>
      <c r="O237" s="226" t="n">
        <v>0</v>
      </c>
      <c r="P237" s="226" t="n">
        <v>0</v>
      </c>
      <c r="Q237" s="226" t="n">
        <v>0</v>
      </c>
      <c r="R237" s="226" t="n">
        <v>0</v>
      </c>
      <c r="S237" s="226" t="n">
        <v>0</v>
      </c>
    </row>
    <row r="238" ht="14" customFormat="1" customHeight="1" s="1">
      <c r="A238" s="231" t="inlineStr">
        <is>
          <t>SKU-4CE8EF8A</t>
        </is>
      </c>
      <c r="B238" s="231" t="n">
        <v>100</v>
      </c>
      <c r="C238" s="43" t="inlineStr">
        <is>
          <t>Product-B62DC373</t>
        </is>
      </c>
      <c r="D238" s="231" t="n">
        <v>1</v>
      </c>
      <c r="E238" s="51" t="n">
        <v>0</v>
      </c>
      <c r="F238" s="184" t="n">
        <v>0</v>
      </c>
      <c r="G238" s="184" t="n">
        <v>0</v>
      </c>
      <c r="H238" s="27" t="inlineStr"/>
      <c r="I238" s="27" t="inlineStr">
        <is>
          <t>细</t>
        </is>
      </c>
      <c r="J238" s="27" t="inlineStr">
        <is>
          <t>Brand-Anonymized</t>
        </is>
      </c>
      <c r="K238" s="27" t="n">
        <v>160</v>
      </c>
      <c r="L238" s="27" t="inlineStr">
        <is>
          <t>C</t>
        </is>
      </c>
      <c r="M238" s="27" t="n"/>
      <c r="N238" s="27" t="n"/>
      <c r="O238" s="226" t="inlineStr">
        <is>
          <t>0</t>
        </is>
      </c>
      <c r="P238" s="226" t="inlineStr">
        <is>
          <t>0</t>
        </is>
      </c>
      <c r="Q238" s="226" t="inlineStr">
        <is>
          <t>0</t>
        </is>
      </c>
      <c r="R238" s="226" t="inlineStr">
        <is>
          <t>0</t>
        </is>
      </c>
      <c r="S238" s="226" t="inlineStr">
        <is>
          <t>0</t>
        </is>
      </c>
    </row>
    <row r="239" ht="14" customFormat="1" customHeight="1" s="1">
      <c r="A239" s="231" t="inlineStr">
        <is>
          <t>SKU-99337284</t>
        </is>
      </c>
      <c r="B239" s="231" t="n">
        <v>100</v>
      </c>
      <c r="C239" s="19" t="inlineStr">
        <is>
          <t>Product-0A287481</t>
        </is>
      </c>
      <c r="D239" s="231" t="n">
        <v>2</v>
      </c>
      <c r="E239" s="51" t="n">
        <v>1997.054</v>
      </c>
      <c r="F239" s="184" t="n">
        <v>700</v>
      </c>
      <c r="G239" s="184" t="n">
        <v>280.708</v>
      </c>
      <c r="H239" s="27" t="inlineStr">
        <is>
          <t>C</t>
        </is>
      </c>
      <c r="I239" s="27" t="inlineStr"/>
      <c r="J239" s="27" t="inlineStr">
        <is>
          <t>Brand-Anonymized</t>
        </is>
      </c>
      <c r="K239" s="27" t="n">
        <v>200</v>
      </c>
      <c r="L239" s="27" t="n"/>
      <c r="M239" s="27" t="n"/>
      <c r="N239" s="27" t="n"/>
      <c r="O239" s="226" t="n">
        <v>140</v>
      </c>
      <c r="P239" s="226" t="n">
        <v>140</v>
      </c>
      <c r="Q239" s="226" t="n">
        <v>140</v>
      </c>
      <c r="R239" s="226" t="n">
        <v>140</v>
      </c>
      <c r="S239" s="226" t="n">
        <v>140</v>
      </c>
    </row>
    <row r="240" ht="14" customFormat="1" customHeight="1" s="1">
      <c r="A240" s="231" t="inlineStr">
        <is>
          <t>SKU-BD3F8D74</t>
        </is>
      </c>
      <c r="B240" s="231" t="n">
        <v>100</v>
      </c>
      <c r="C240" s="19" t="inlineStr">
        <is>
          <t>Product-102ED313</t>
        </is>
      </c>
      <c r="D240" s="231" t="n">
        <v>1</v>
      </c>
      <c r="E240" s="51" t="n">
        <v>-17.274</v>
      </c>
      <c r="F240" s="184" t="n">
        <v>4</v>
      </c>
      <c r="G240" s="184" t="n">
        <v>4.652</v>
      </c>
      <c r="H240" s="27" t="inlineStr">
        <is>
          <t>X</t>
        </is>
      </c>
      <c r="I240" s="27" t="inlineStr">
        <is>
          <t>方</t>
        </is>
      </c>
      <c r="J240" s="27" t="inlineStr">
        <is>
          <t>Brand-Anonymized</t>
        </is>
      </c>
      <c r="K240" s="27" t="n">
        <v>200</v>
      </c>
      <c r="L240" s="27" t="inlineStr">
        <is>
          <t>C</t>
        </is>
      </c>
      <c r="M240" s="27" t="n"/>
      <c r="N240" s="27" t="n"/>
      <c r="O240" s="226" t="n">
        <v>0</v>
      </c>
      <c r="P240" s="226" t="n">
        <v>0</v>
      </c>
      <c r="Q240" s="226" t="n">
        <v>4</v>
      </c>
      <c r="R240" s="226" t="n">
        <v>0</v>
      </c>
      <c r="S240" s="226" t="n">
        <v>0</v>
      </c>
    </row>
    <row r="241" ht="14" customFormat="1" customHeight="1" s="1">
      <c r="A241" s="231" t="inlineStr">
        <is>
          <t>SKU-B9F94FF9</t>
        </is>
      </c>
      <c r="B241" s="231" t="n">
        <v>100</v>
      </c>
      <c r="C241" s="19" t="inlineStr">
        <is>
          <t>Product-7CC4665A</t>
        </is>
      </c>
      <c r="D241" s="231" t="n">
        <v>1</v>
      </c>
      <c r="E241" s="51" t="n">
        <v>51.582</v>
      </c>
      <c r="F241" s="184" t="n">
        <v>10</v>
      </c>
      <c r="G241" s="184" t="n">
        <v>10.484</v>
      </c>
      <c r="H241" s="27" t="inlineStr">
        <is>
          <t>X</t>
        </is>
      </c>
      <c r="I241" s="27" t="inlineStr">
        <is>
          <t>标</t>
        </is>
      </c>
      <c r="J241" s="27" t="inlineStr">
        <is>
          <t>Brand-Anonymized</t>
        </is>
      </c>
      <c r="K241" s="27" t="n">
        <v>200</v>
      </c>
      <c r="L241" s="27" t="inlineStr">
        <is>
          <t>C</t>
        </is>
      </c>
      <c r="M241" s="27" t="n"/>
      <c r="N241" s="27" t="n"/>
      <c r="O241" s="226" t="n">
        <v>0</v>
      </c>
      <c r="P241" s="226" t="n">
        <v>5</v>
      </c>
      <c r="Q241" s="226" t="n">
        <v>0</v>
      </c>
      <c r="R241" s="226" t="n">
        <v>5</v>
      </c>
      <c r="S241" s="226" t="n">
        <v>0</v>
      </c>
    </row>
    <row r="242" ht="14" customFormat="1" customHeight="1" s="1">
      <c r="A242" s="231" t="inlineStr">
        <is>
          <t>SKU-5AB8D10B</t>
        </is>
      </c>
      <c r="B242" s="231" t="n">
        <v>100</v>
      </c>
      <c r="C242" s="19" t="inlineStr">
        <is>
          <t>Product-F8810BC1</t>
        </is>
      </c>
      <c r="D242" s="231" t="n">
        <v>1</v>
      </c>
      <c r="E242" s="51" t="n">
        <v>55.906</v>
      </c>
      <c r="F242" s="184" t="n">
        <v>10</v>
      </c>
      <c r="G242" s="184" t="n">
        <v>10.572</v>
      </c>
      <c r="H242" s="27" t="inlineStr">
        <is>
          <t>X</t>
        </is>
      </c>
      <c r="I242" s="27" t="inlineStr">
        <is>
          <t>方</t>
        </is>
      </c>
      <c r="J242" s="27" t="inlineStr">
        <is>
          <t>Brand-Anonymized</t>
        </is>
      </c>
      <c r="K242" s="27" t="n">
        <v>200</v>
      </c>
      <c r="L242" s="27" t="inlineStr">
        <is>
          <t>C</t>
        </is>
      </c>
      <c r="M242" s="27" t="n"/>
      <c r="N242" s="27" t="n"/>
      <c r="O242" s="226" t="n">
        <v>0</v>
      </c>
      <c r="P242" s="226" t="n">
        <v>0</v>
      </c>
      <c r="Q242" s="226" t="n">
        <v>10</v>
      </c>
      <c r="R242" s="226" t="n">
        <v>0</v>
      </c>
      <c r="S242" s="226" t="n">
        <v>0</v>
      </c>
    </row>
    <row r="243" ht="14" customFormat="1" customHeight="1" s="1">
      <c r="A243" s="231" t="inlineStr">
        <is>
          <t>SKU-0844DF49</t>
        </is>
      </c>
      <c r="B243" s="231" t="n">
        <v>100</v>
      </c>
      <c r="C243" s="45" t="inlineStr">
        <is>
          <t>Product-FD260469</t>
        </is>
      </c>
      <c r="D243" s="231" t="n">
        <v>1</v>
      </c>
      <c r="E243" s="51" t="n">
        <v>237.5</v>
      </c>
      <c r="F243" s="184" t="n">
        <v>50</v>
      </c>
      <c r="G243" s="184" t="n">
        <v>50</v>
      </c>
      <c r="H243" s="27" t="inlineStr">
        <is>
          <t>X</t>
        </is>
      </c>
      <c r="I243" s="27" t="inlineStr">
        <is>
          <t>长</t>
        </is>
      </c>
      <c r="J243" s="27" t="inlineStr">
        <is>
          <t>Brand-Anonymized</t>
        </is>
      </c>
      <c r="K243" s="27" t="n">
        <v>200</v>
      </c>
      <c r="L243" s="27" t="inlineStr">
        <is>
          <t>C</t>
        </is>
      </c>
      <c r="M243" s="27" t="n"/>
      <c r="N243" s="27" t="n"/>
      <c r="O243" s="226" t="n">
        <v>0</v>
      </c>
      <c r="P243" s="226" t="n">
        <v>25</v>
      </c>
      <c r="Q243" s="226" t="n">
        <v>0</v>
      </c>
      <c r="R243" s="226" t="n">
        <v>25</v>
      </c>
      <c r="S243" s="226" t="n">
        <v>0</v>
      </c>
    </row>
    <row r="244" ht="14" customFormat="1" customHeight="1" s="1">
      <c r="A244" s="231" t="inlineStr">
        <is>
          <t>SKU-FA2AEC54</t>
        </is>
      </c>
      <c r="B244" s="231" t="n">
        <v>100</v>
      </c>
      <c r="C244" s="45" t="inlineStr">
        <is>
          <t>Product-58C688E6</t>
        </is>
      </c>
      <c r="D244" s="231" t="n">
        <v>1</v>
      </c>
      <c r="E244" s="51" t="n">
        <v>105</v>
      </c>
      <c r="F244" s="184" t="n">
        <v>60</v>
      </c>
      <c r="G244" s="184" t="n">
        <v>0</v>
      </c>
      <c r="H244" s="27" t="inlineStr">
        <is>
          <t>X</t>
        </is>
      </c>
      <c r="I244" s="27" t="inlineStr">
        <is>
          <t>长</t>
        </is>
      </c>
      <c r="J244" s="27" t="inlineStr">
        <is>
          <t>Brand-Anonymized</t>
        </is>
      </c>
      <c r="K244" s="27" t="n">
        <v>160</v>
      </c>
      <c r="L244" s="27" t="inlineStr">
        <is>
          <t>C</t>
        </is>
      </c>
      <c r="M244" s="27" t="n"/>
      <c r="N244" s="27" t="n"/>
      <c r="O244" s="228" t="n">
        <v>0</v>
      </c>
      <c r="P244" s="226" t="n">
        <v>30</v>
      </c>
      <c r="Q244" s="226" t="n">
        <v>0</v>
      </c>
      <c r="R244" s="226" t="n">
        <v>30</v>
      </c>
      <c r="S244" s="226" t="n">
        <v>0</v>
      </c>
    </row>
    <row r="245" ht="14" customFormat="1" customHeight="1" s="1">
      <c r="A245" s="231" t="inlineStr">
        <is>
          <t>SKU-CE79E55C</t>
        </is>
      </c>
      <c r="B245" s="231" t="n">
        <v>100</v>
      </c>
      <c r="C245" s="19" t="inlineStr">
        <is>
          <t>Product-7BC6A9A2</t>
        </is>
      </c>
      <c r="D245" s="231" t="n">
        <v>3</v>
      </c>
      <c r="E245" s="51" t="n">
        <v>11237.58</v>
      </c>
      <c r="F245" s="184" t="n">
        <v>3331.3</v>
      </c>
      <c r="G245" s="184" t="n">
        <v>1841.96</v>
      </c>
      <c r="H245" s="27" t="inlineStr"/>
      <c r="I245" s="27" t="inlineStr"/>
      <c r="J245" s="27" t="inlineStr">
        <is>
          <t>Brand-Anonymized</t>
        </is>
      </c>
      <c r="K245" s="27" t="n">
        <v>200</v>
      </c>
      <c r="L245" s="27" t="n"/>
      <c r="M245" s="27" t="n"/>
      <c r="N245" s="27" t="n"/>
      <c r="O245" s="226" t="n">
        <v>550</v>
      </c>
      <c r="P245" s="226" t="n">
        <v>700</v>
      </c>
      <c r="Q245" s="226" t="n">
        <v>850</v>
      </c>
      <c r="R245" s="226" t="n">
        <v>800</v>
      </c>
      <c r="S245" s="226" t="n">
        <v>431.3</v>
      </c>
    </row>
    <row r="246" ht="14" customFormat="1" customHeight="1" s="1">
      <c r="A246" s="231" t="inlineStr">
        <is>
          <t>SKU-D2BFADDA</t>
        </is>
      </c>
      <c r="B246" s="231" t="n">
        <v>100</v>
      </c>
      <c r="C246" s="45" t="inlineStr">
        <is>
          <t>Product-ED8E1657</t>
        </is>
      </c>
      <c r="D246" s="231" t="n">
        <v>3</v>
      </c>
      <c r="E246" s="51" t="n">
        <v>932.322</v>
      </c>
      <c r="F246" s="184" t="n">
        <v>339.3</v>
      </c>
      <c r="G246" s="184" t="n">
        <v>135.824</v>
      </c>
      <c r="H246" s="42" t="inlineStr">
        <is>
          <t>T</t>
        </is>
      </c>
      <c r="I246" s="27" t="inlineStr"/>
      <c r="J246" s="27" t="inlineStr">
        <is>
          <t>Brand-Anonymized</t>
        </is>
      </c>
      <c r="K246" s="27" t="n">
        <v>200</v>
      </c>
      <c r="L246" s="27" t="n"/>
      <c r="M246" s="27" t="n"/>
      <c r="N246" s="27" t="n"/>
      <c r="O246" s="226" t="n">
        <v>85</v>
      </c>
      <c r="P246" s="226" t="n">
        <v>85</v>
      </c>
      <c r="Q246" s="226" t="n">
        <v>85</v>
      </c>
      <c r="R246" s="226" t="n">
        <v>0</v>
      </c>
      <c r="S246" s="226" t="n">
        <v>84.3</v>
      </c>
    </row>
    <row r="247" ht="14" customFormat="1" customHeight="1" s="1">
      <c r="A247" s="231" t="inlineStr">
        <is>
          <t>SKU-F85BCB9C</t>
        </is>
      </c>
      <c r="B247" s="231" t="n">
        <v>100</v>
      </c>
      <c r="C247" s="19" t="inlineStr">
        <is>
          <t>Product-67B87425</t>
        </is>
      </c>
      <c r="D247" s="231" t="n">
        <v>3</v>
      </c>
      <c r="E247" s="51" t="n">
        <v>1254.044</v>
      </c>
      <c r="F247" s="184" t="n">
        <v>453.9</v>
      </c>
      <c r="G247" s="184" t="n">
        <v>192.588</v>
      </c>
      <c r="H247" s="27" t="inlineStr"/>
      <c r="I247" s="27" t="inlineStr"/>
      <c r="J247" s="27" t="inlineStr">
        <is>
          <t>Brand-Anonymized</t>
        </is>
      </c>
      <c r="K247" s="27" t="n">
        <v>200</v>
      </c>
      <c r="L247" s="27" t="n"/>
      <c r="M247" s="27" t="n"/>
      <c r="N247" s="27" t="n"/>
      <c r="O247" s="226" t="n">
        <v>118</v>
      </c>
      <c r="P247" s="226" t="n">
        <v>118</v>
      </c>
      <c r="Q247" s="226" t="n">
        <v>110</v>
      </c>
      <c r="R247" s="226" t="n">
        <v>107.9</v>
      </c>
      <c r="S247" s="226" t="inlineStr">
        <is>
          <t>0</t>
        </is>
      </c>
    </row>
    <row r="248" ht="14" customFormat="1" customHeight="1" s="1">
      <c r="A248" s="231" t="inlineStr">
        <is>
          <t>SKU-6050A986</t>
        </is>
      </c>
      <c r="B248" s="231" t="n">
        <v>100</v>
      </c>
      <c r="C248" s="44" t="inlineStr">
        <is>
          <t>Product-63107D32</t>
        </is>
      </c>
      <c r="D248" s="231" t="n">
        <v>3</v>
      </c>
      <c r="E248" s="51" t="n">
        <v>0</v>
      </c>
      <c r="F248" s="184" t="n">
        <v>0</v>
      </c>
      <c r="G248" s="184" t="n">
        <v>0</v>
      </c>
      <c r="H248" s="27" t="inlineStr"/>
      <c r="I248" s="27" t="inlineStr"/>
      <c r="J248" s="27" t="inlineStr">
        <is>
          <t>Brand-Anonymized</t>
        </is>
      </c>
      <c r="K248" s="27" t="n">
        <v>200</v>
      </c>
      <c r="L248" s="27" t="n"/>
      <c r="M248" s="27" t="n"/>
      <c r="N248" s="27" t="n"/>
      <c r="O248" s="226" t="inlineStr">
        <is>
          <t>0</t>
        </is>
      </c>
      <c r="P248" s="226" t="inlineStr">
        <is>
          <t>0</t>
        </is>
      </c>
      <c r="Q248" s="226" t="inlineStr">
        <is>
          <t>0</t>
        </is>
      </c>
      <c r="R248" s="226" t="inlineStr">
        <is>
          <t>0</t>
        </is>
      </c>
      <c r="S248" s="226" t="inlineStr">
        <is>
          <t>0</t>
        </is>
      </c>
    </row>
    <row r="249" ht="14" customFormat="1" customHeight="1" s="1">
      <c r="A249" s="231" t="inlineStr">
        <is>
          <t>SKU-B07AA582</t>
        </is>
      </c>
      <c r="B249" s="231" t="n">
        <v>100</v>
      </c>
      <c r="C249" s="44" t="inlineStr">
        <is>
          <t>Product-D6058228</t>
        </is>
      </c>
      <c r="D249" s="231" t="n">
        <v>2</v>
      </c>
      <c r="E249" s="51" t="n">
        <v>0</v>
      </c>
      <c r="F249" s="184" t="n">
        <v>0</v>
      </c>
      <c r="G249" s="184" t="n">
        <v>0</v>
      </c>
      <c r="H249" s="27" t="inlineStr"/>
      <c r="I249" s="27" t="inlineStr">
        <is>
          <t>方</t>
        </is>
      </c>
      <c r="J249" s="27" t="inlineStr">
        <is>
          <t>Brand-Anonymized</t>
        </is>
      </c>
      <c r="K249" s="27" t="n">
        <v>200</v>
      </c>
      <c r="L249" s="27" t="inlineStr">
        <is>
          <t>C</t>
        </is>
      </c>
      <c r="M249" s="27" t="n"/>
      <c r="N249" s="27" t="n"/>
      <c r="O249" s="226" t="inlineStr">
        <is>
          <t>0</t>
        </is>
      </c>
      <c r="P249" s="226" t="inlineStr">
        <is>
          <t>0</t>
        </is>
      </c>
      <c r="Q249" s="226" t="inlineStr">
        <is>
          <t>0</t>
        </is>
      </c>
      <c r="R249" s="226" t="inlineStr">
        <is>
          <t>0</t>
        </is>
      </c>
      <c r="S249" s="226" t="inlineStr">
        <is>
          <t>0</t>
        </is>
      </c>
    </row>
    <row r="250" ht="14" customFormat="1" customHeight="1" s="1">
      <c r="A250" s="231" t="inlineStr">
        <is>
          <t>SKU-39C37C74</t>
        </is>
      </c>
      <c r="B250" s="231" t="n">
        <v>100</v>
      </c>
      <c r="C250" s="19" t="inlineStr">
        <is>
          <t>Product-BF80D349</t>
        </is>
      </c>
      <c r="D250" s="231" t="n">
        <v>3</v>
      </c>
      <c r="E250" s="51" t="n">
        <v>830.688</v>
      </c>
      <c r="F250" s="184" t="n">
        <v>260</v>
      </c>
      <c r="G250" s="184" t="n">
        <v>110.756</v>
      </c>
      <c r="H250" s="27" t="inlineStr"/>
      <c r="I250" s="27" t="inlineStr"/>
      <c r="J250" s="27" t="inlineStr">
        <is>
          <t>Brand-Anonymized</t>
        </is>
      </c>
      <c r="K250" s="27" t="n">
        <v>200</v>
      </c>
      <c r="L250" s="27" t="n"/>
      <c r="M250" s="27" t="n"/>
      <c r="N250" s="27" t="n"/>
      <c r="O250" s="226" t="inlineStr">
        <is>
          <t>0</t>
        </is>
      </c>
      <c r="P250" s="226" t="n">
        <v>90</v>
      </c>
      <c r="Q250" s="226" t="n">
        <v>90</v>
      </c>
      <c r="R250" s="226" t="n">
        <v>80</v>
      </c>
      <c r="S250" s="226" t="inlineStr">
        <is>
          <t>0</t>
        </is>
      </c>
    </row>
    <row r="251" ht="14" customFormat="1" customHeight="1" s="1">
      <c r="A251" s="231" t="inlineStr">
        <is>
          <t>SKU-5D83BF57</t>
        </is>
      </c>
      <c r="B251" s="231" t="n">
        <v>100</v>
      </c>
      <c r="C251" s="45" t="inlineStr">
        <is>
          <t>Product-D6058228</t>
        </is>
      </c>
      <c r="D251" s="231" t="n">
        <v>2</v>
      </c>
      <c r="E251" s="51" t="n">
        <v>132.242</v>
      </c>
      <c r="F251" s="184" t="n">
        <v>50</v>
      </c>
      <c r="G251" s="184" t="n">
        <v>25.024</v>
      </c>
      <c r="H251" s="27" t="inlineStr">
        <is>
          <t>X</t>
        </is>
      </c>
      <c r="I251" s="27" t="inlineStr">
        <is>
          <t>细</t>
        </is>
      </c>
      <c r="J251" s="27" t="inlineStr">
        <is>
          <t>Brand-Anonymized</t>
        </is>
      </c>
      <c r="K251" s="27" t="n">
        <v>200</v>
      </c>
      <c r="L251" s="27" t="inlineStr">
        <is>
          <t>C</t>
        </is>
      </c>
      <c r="M251" s="27" t="n"/>
      <c r="N251" s="27" t="n"/>
      <c r="O251" s="226" t="n">
        <v>25</v>
      </c>
      <c r="P251" s="226" t="n">
        <v>0</v>
      </c>
      <c r="Q251" s="226" t="n">
        <v>25</v>
      </c>
      <c r="R251" s="226" t="n">
        <v>0</v>
      </c>
      <c r="S251" s="226" t="n">
        <v>0</v>
      </c>
    </row>
    <row r="252" ht="14" customFormat="1" customHeight="1" s="1">
      <c r="A252" s="231" t="inlineStr">
        <is>
          <t>SKU-D47538E8</t>
        </is>
      </c>
      <c r="B252" s="231" t="n">
        <v>100</v>
      </c>
      <c r="C252" s="19" t="inlineStr">
        <is>
          <t>Product-3AB43197</t>
        </is>
      </c>
      <c r="D252" s="231" t="n">
        <v>1</v>
      </c>
      <c r="E252" s="51" t="n">
        <v>218.77</v>
      </c>
      <c r="F252" s="184" t="n">
        <v>80.59999999999999</v>
      </c>
      <c r="G252" s="184" t="n">
        <v>31.44</v>
      </c>
      <c r="H252" s="27" t="inlineStr"/>
      <c r="I252" s="27" t="inlineStr"/>
      <c r="J252" s="27" t="inlineStr">
        <is>
          <t>Brand-Anonymized</t>
        </is>
      </c>
      <c r="K252" s="27" t="n">
        <v>200</v>
      </c>
      <c r="L252" s="27" t="n"/>
      <c r="M252" s="27" t="n"/>
      <c r="N252" s="27" t="n"/>
      <c r="O252" s="226" t="inlineStr">
        <is>
          <t>0</t>
        </is>
      </c>
      <c r="P252" s="226" t="n">
        <v>39</v>
      </c>
      <c r="Q252" s="226" t="inlineStr">
        <is>
          <t>0</t>
        </is>
      </c>
      <c r="R252" s="226" t="n">
        <v>41.6</v>
      </c>
      <c r="S252" s="226" t="inlineStr">
        <is>
          <t>0</t>
        </is>
      </c>
    </row>
    <row r="253" ht="14" customFormat="1" customHeight="1" s="1">
      <c r="A253" s="231" t="inlineStr">
        <is>
          <t>SKU-242CDE35</t>
        </is>
      </c>
      <c r="B253" s="231" t="n">
        <v>100</v>
      </c>
      <c r="C253" s="19" t="inlineStr">
        <is>
          <t>Product-0679DC24</t>
        </is>
      </c>
      <c r="D253" s="231" t="n">
        <v>1</v>
      </c>
      <c r="E253" s="51" t="n">
        <v>7060.976</v>
      </c>
      <c r="F253" s="184" t="n">
        <v>2249.9</v>
      </c>
      <c r="G253" s="184" t="n">
        <v>1102.852</v>
      </c>
      <c r="H253" s="27" t="inlineStr"/>
      <c r="I253" s="27" t="inlineStr"/>
      <c r="J253" s="27" t="inlineStr">
        <is>
          <t>Brand-Anonymized</t>
        </is>
      </c>
      <c r="K253" s="27" t="n">
        <v>200</v>
      </c>
      <c r="L253" s="27" t="n"/>
      <c r="M253" s="27" t="n"/>
      <c r="N253" s="27" t="n"/>
      <c r="O253" s="226" t="n">
        <v>350</v>
      </c>
      <c r="P253" s="226" t="n">
        <v>600</v>
      </c>
      <c r="Q253" s="226" t="n">
        <v>480</v>
      </c>
      <c r="R253" s="226" t="n">
        <v>420</v>
      </c>
      <c r="S253" s="226" t="n">
        <v>399.9</v>
      </c>
    </row>
    <row r="254" ht="14" customFormat="1" customHeight="1" s="1">
      <c r="A254" s="231" t="inlineStr">
        <is>
          <t>SKU-DE68B12E</t>
        </is>
      </c>
      <c r="B254" s="231" t="n">
        <v>100</v>
      </c>
      <c r="C254" s="19" t="inlineStr">
        <is>
          <t>Product-C50F24AE</t>
        </is>
      </c>
      <c r="D254" s="231" t="n">
        <v>1</v>
      </c>
      <c r="E254" s="51" t="n">
        <v>388.926</v>
      </c>
      <c r="F254" s="184" t="n">
        <v>161.6</v>
      </c>
      <c r="G254" s="184" t="n">
        <v>60.392</v>
      </c>
      <c r="H254" s="27" t="inlineStr"/>
      <c r="I254" s="27" t="inlineStr">
        <is>
          <t>细</t>
        </is>
      </c>
      <c r="J254" s="27" t="inlineStr">
        <is>
          <t>Brand-Anonymized</t>
        </is>
      </c>
      <c r="K254" s="27" t="n">
        <v>200</v>
      </c>
      <c r="L254" s="27" t="inlineStr">
        <is>
          <t>C</t>
        </is>
      </c>
      <c r="M254" s="27" t="n"/>
      <c r="N254" s="27" t="n"/>
      <c r="O254" s="226" t="n">
        <v>50</v>
      </c>
      <c r="P254" s="226" t="n">
        <v>50</v>
      </c>
      <c r="Q254" s="226" t="n">
        <v>0</v>
      </c>
      <c r="R254" s="226" t="n">
        <v>61.6</v>
      </c>
      <c r="S254" s="226" t="inlineStr">
        <is>
          <t>0</t>
        </is>
      </c>
    </row>
    <row r="255" ht="14" customFormat="1" customHeight="1" s="1">
      <c r="A255" s="231" t="inlineStr">
        <is>
          <t>SKU-51DE8DA7</t>
        </is>
      </c>
      <c r="B255" s="231" t="n">
        <v>100</v>
      </c>
      <c r="C255" s="44" t="inlineStr">
        <is>
          <t>Product-A356EADC</t>
        </is>
      </c>
      <c r="D255" s="231" t="n">
        <v>1</v>
      </c>
      <c r="E255" s="51" t="n">
        <v>0</v>
      </c>
      <c r="F255" s="184" t="n">
        <v>0</v>
      </c>
      <c r="G255" s="184" t="n">
        <v>0</v>
      </c>
      <c r="H255" s="27" t="inlineStr"/>
      <c r="I255" s="27" t="inlineStr"/>
      <c r="J255" s="27" t="inlineStr">
        <is>
          <t>Brand-Anonymized</t>
        </is>
      </c>
      <c r="K255" s="27" t="n">
        <v>200</v>
      </c>
      <c r="L255" s="27" t="n"/>
      <c r="M255" s="27" t="n"/>
      <c r="N255" s="27" t="n"/>
      <c r="O255" s="226" t="inlineStr">
        <is>
          <t>0</t>
        </is>
      </c>
      <c r="P255" s="226" t="inlineStr">
        <is>
          <t>0</t>
        </is>
      </c>
      <c r="Q255" s="226" t="inlineStr">
        <is>
          <t>0</t>
        </is>
      </c>
      <c r="R255" s="226" t="inlineStr">
        <is>
          <t>0</t>
        </is>
      </c>
      <c r="S255" s="226" t="inlineStr">
        <is>
          <t>0</t>
        </is>
      </c>
    </row>
    <row r="256" ht="14" customFormat="1" customHeight="1" s="1">
      <c r="A256" s="231" t="inlineStr">
        <is>
          <t>SKU-B2655403</t>
        </is>
      </c>
      <c r="B256" s="231" t="n">
        <v>100</v>
      </c>
      <c r="C256" s="43" t="inlineStr">
        <is>
          <t>Product-D9E7BC64</t>
        </is>
      </c>
      <c r="D256" s="231" t="n">
        <v>1</v>
      </c>
      <c r="E256" s="51" t="n">
        <v>-2.77</v>
      </c>
      <c r="F256" s="184" t="n">
        <v>0</v>
      </c>
      <c r="G256" s="184" t="n">
        <v>0</v>
      </c>
      <c r="H256" s="27" t="inlineStr"/>
      <c r="I256" s="27" t="inlineStr">
        <is>
          <t>细</t>
        </is>
      </c>
      <c r="J256" s="27" t="inlineStr">
        <is>
          <t>Brand-Anonymized</t>
        </is>
      </c>
      <c r="K256" s="27" t="n">
        <v>200</v>
      </c>
      <c r="L256" s="27" t="inlineStr">
        <is>
          <t>C</t>
        </is>
      </c>
      <c r="M256" s="27" t="n"/>
      <c r="N256" s="27" t="n"/>
      <c r="O256" s="226" t="inlineStr">
        <is>
          <t>0</t>
        </is>
      </c>
      <c r="P256" s="226" t="inlineStr">
        <is>
          <t>0</t>
        </is>
      </c>
      <c r="Q256" s="226" t="inlineStr">
        <is>
          <t>0</t>
        </is>
      </c>
      <c r="R256" s="226" t="inlineStr">
        <is>
          <t>0</t>
        </is>
      </c>
      <c r="S256" s="226" t="inlineStr">
        <is>
          <t>0</t>
        </is>
      </c>
    </row>
    <row r="257" ht="14" customFormat="1" customHeight="1" s="1">
      <c r="A257" s="231" t="inlineStr">
        <is>
          <t>SKU-560D7D3A</t>
        </is>
      </c>
      <c r="B257" s="231" t="n">
        <v>100</v>
      </c>
      <c r="C257" s="19" t="inlineStr">
        <is>
          <t>Product-1ACD7A4E</t>
        </is>
      </c>
      <c r="D257" s="231" t="n">
        <v>1</v>
      </c>
      <c r="E257" s="51" t="n">
        <v>268.95</v>
      </c>
      <c r="F257" s="184" t="n">
        <v>120</v>
      </c>
      <c r="G257" s="184" t="n">
        <v>1.42</v>
      </c>
      <c r="H257" s="27" t="inlineStr">
        <is>
          <t>C</t>
        </is>
      </c>
      <c r="I257" s="27" t="inlineStr">
        <is>
          <t>方</t>
        </is>
      </c>
      <c r="J257" s="27" t="inlineStr">
        <is>
          <t>Brand-Anonymized</t>
        </is>
      </c>
      <c r="K257" s="27" t="n">
        <v>200</v>
      </c>
      <c r="L257" s="27" t="inlineStr">
        <is>
          <t>C</t>
        </is>
      </c>
      <c r="M257" s="27" t="n"/>
      <c r="N257" s="27" t="n"/>
      <c r="O257" s="226" t="n">
        <v>0</v>
      </c>
      <c r="P257" s="226" t="n">
        <v>0</v>
      </c>
      <c r="Q257" s="226" t="n">
        <v>120</v>
      </c>
      <c r="R257" s="226" t="n">
        <v>0</v>
      </c>
      <c r="S257" s="226" t="n">
        <v>0</v>
      </c>
    </row>
    <row r="258" ht="14" customFormat="1" customHeight="1" s="1">
      <c r="A258" s="231" t="inlineStr">
        <is>
          <t>SKU-58CC7CB1</t>
        </is>
      </c>
      <c r="B258" s="231" t="n">
        <v>100</v>
      </c>
      <c r="C258" s="19" t="inlineStr">
        <is>
          <t>Product-9C70330A</t>
        </is>
      </c>
      <c r="D258" s="231" t="n">
        <v>1</v>
      </c>
      <c r="E258" s="51" t="n">
        <v>69.836</v>
      </c>
      <c r="F258" s="184" t="n">
        <v>20</v>
      </c>
      <c r="G258" s="184" t="n">
        <v>20.432</v>
      </c>
      <c r="H258" s="27" t="inlineStr">
        <is>
          <t>C</t>
        </is>
      </c>
      <c r="I258" s="27" t="inlineStr">
        <is>
          <t>长</t>
        </is>
      </c>
      <c r="J258" s="27" t="inlineStr">
        <is>
          <t>Brand-Anonymized</t>
        </is>
      </c>
      <c r="K258" s="27" t="n">
        <v>200</v>
      </c>
      <c r="L258" s="27" t="inlineStr">
        <is>
          <t>C</t>
        </is>
      </c>
      <c r="M258" s="27" t="n"/>
      <c r="N258" s="27" t="n"/>
      <c r="O258" s="226" t="n">
        <v>0</v>
      </c>
      <c r="P258" s="226" t="n">
        <v>10</v>
      </c>
      <c r="Q258" s="226" t="n">
        <v>0</v>
      </c>
      <c r="R258" s="226" t="n">
        <v>10</v>
      </c>
      <c r="S258" s="226" t="n">
        <v>0</v>
      </c>
    </row>
    <row r="259" ht="14" customFormat="1" customHeight="1" s="1">
      <c r="A259" s="231" t="inlineStr">
        <is>
          <t>SKU-3267BBE9</t>
        </is>
      </c>
      <c r="B259" s="231" t="n">
        <v>100</v>
      </c>
      <c r="C259" s="19" t="inlineStr">
        <is>
          <t>Product-0D2637FC</t>
        </is>
      </c>
      <c r="D259" s="231" t="n">
        <v>1</v>
      </c>
      <c r="E259" s="51" t="n">
        <v>82.29000000000001</v>
      </c>
      <c r="F259" s="184" t="n">
        <v>24</v>
      </c>
      <c r="G259" s="184" t="n">
        <v>23.2</v>
      </c>
      <c r="H259" s="27" t="inlineStr">
        <is>
          <t>X</t>
        </is>
      </c>
      <c r="I259" s="27" t="inlineStr">
        <is>
          <t>细</t>
        </is>
      </c>
      <c r="J259" s="27" t="inlineStr">
        <is>
          <t>Brand-Anonymized</t>
        </is>
      </c>
      <c r="K259" s="27" t="n">
        <v>200</v>
      </c>
      <c r="L259" s="27" t="inlineStr">
        <is>
          <t>C</t>
        </is>
      </c>
      <c r="M259" s="27" t="n"/>
      <c r="N259" s="27" t="n"/>
      <c r="O259" s="226" t="n">
        <v>12</v>
      </c>
      <c r="P259" s="226" t="n">
        <v>0</v>
      </c>
      <c r="Q259" s="226" t="n">
        <v>12</v>
      </c>
      <c r="R259" s="226" t="n">
        <v>0</v>
      </c>
      <c r="S259" s="226" t="n">
        <v>0</v>
      </c>
    </row>
    <row r="260" ht="14" customFormat="1" customHeight="1" s="1">
      <c r="A260" s="231" t="inlineStr">
        <is>
          <t>SKU-AA71A4AF</t>
        </is>
      </c>
      <c r="B260" s="231" t="n">
        <v>100</v>
      </c>
      <c r="C260" s="19" t="inlineStr">
        <is>
          <t>Product-190D85FA</t>
        </is>
      </c>
      <c r="D260" s="231" t="n">
        <v>3</v>
      </c>
      <c r="E260" s="51" t="n">
        <v>3015.162</v>
      </c>
      <c r="F260" s="184" t="n">
        <v>1022.8</v>
      </c>
      <c r="G260" s="184" t="n">
        <v>444.504</v>
      </c>
      <c r="H260" s="27" t="inlineStr"/>
      <c r="I260" s="27" t="inlineStr"/>
      <c r="J260" s="27" t="inlineStr">
        <is>
          <t>Brand-Anonymized</t>
        </is>
      </c>
      <c r="K260" s="27" t="n">
        <v>200</v>
      </c>
      <c r="L260" s="27" t="n"/>
      <c r="M260" s="27" t="n"/>
      <c r="N260" s="27" t="n"/>
      <c r="O260" s="226" t="n">
        <v>200</v>
      </c>
      <c r="P260" s="226" t="n">
        <v>240</v>
      </c>
      <c r="Q260" s="226" t="n">
        <v>272</v>
      </c>
      <c r="R260" s="226" t="n">
        <v>200</v>
      </c>
      <c r="S260" s="226" t="n">
        <v>110.8</v>
      </c>
    </row>
    <row r="261" ht="14" customFormat="1" customHeight="1" s="1">
      <c r="A261" s="231" t="inlineStr">
        <is>
          <t>SKU-C9A37CA3</t>
        </is>
      </c>
      <c r="B261" s="231" t="n">
        <v>100</v>
      </c>
      <c r="C261" s="43" t="inlineStr">
        <is>
          <t>Product-8E1B07F9</t>
        </is>
      </c>
      <c r="D261" s="231" t="n">
        <v>3</v>
      </c>
      <c r="E261" s="51" t="n">
        <v>17.58</v>
      </c>
      <c r="F261" s="184" t="n">
        <v>0</v>
      </c>
      <c r="G261" s="184" t="n">
        <v>0</v>
      </c>
      <c r="H261" s="42" t="inlineStr">
        <is>
          <t>T</t>
        </is>
      </c>
      <c r="I261" s="27" t="inlineStr"/>
      <c r="J261" s="27" t="inlineStr">
        <is>
          <t>Brand-Anonymized</t>
        </is>
      </c>
      <c r="K261" s="27" t="n">
        <v>200</v>
      </c>
      <c r="L261" s="27" t="n"/>
      <c r="M261" s="27" t="n"/>
      <c r="N261" s="27" t="n"/>
      <c r="O261" s="226" t="inlineStr">
        <is>
          <t>0</t>
        </is>
      </c>
      <c r="P261" s="226" t="inlineStr">
        <is>
          <t>0</t>
        </is>
      </c>
      <c r="Q261" s="226" t="inlineStr">
        <is>
          <t>0</t>
        </is>
      </c>
      <c r="R261" s="226" t="inlineStr">
        <is>
          <t>0</t>
        </is>
      </c>
      <c r="S261" s="226" t="inlineStr">
        <is>
          <t>0</t>
        </is>
      </c>
    </row>
    <row r="262" ht="14" customFormat="1" customHeight="1" s="1">
      <c r="A262" s="231" t="inlineStr">
        <is>
          <t>SKU-63BD75F8</t>
        </is>
      </c>
      <c r="B262" s="231" t="n">
        <v>100</v>
      </c>
      <c r="C262" s="19" t="inlineStr">
        <is>
          <t>Product-17474100</t>
        </is>
      </c>
      <c r="D262" s="231" t="n">
        <v>2</v>
      </c>
      <c r="E262" s="51" t="n">
        <v>408.532</v>
      </c>
      <c r="F262" s="184" t="n">
        <v>138.8</v>
      </c>
      <c r="G262" s="184" t="n">
        <v>60.564</v>
      </c>
      <c r="H262" s="27" t="inlineStr"/>
      <c r="I262" s="27" t="inlineStr">
        <is>
          <t>细</t>
        </is>
      </c>
      <c r="J262" s="27" t="inlineStr">
        <is>
          <t>Brand-Anonymized</t>
        </is>
      </c>
      <c r="K262" s="27" t="n">
        <v>200</v>
      </c>
      <c r="L262" s="27" t="inlineStr">
        <is>
          <t>C</t>
        </is>
      </c>
      <c r="M262" s="27" t="n"/>
      <c r="N262" s="27" t="n"/>
      <c r="O262" s="226" t="n">
        <v>47</v>
      </c>
      <c r="P262" s="226" t="inlineStr">
        <is>
          <t>0</t>
        </is>
      </c>
      <c r="Q262" s="226" t="n">
        <v>46</v>
      </c>
      <c r="R262" s="226" t="n">
        <v>45.8</v>
      </c>
      <c r="S262" s="226" t="inlineStr">
        <is>
          <t>0</t>
        </is>
      </c>
    </row>
    <row r="263" ht="14" customFormat="1" customHeight="1" s="1">
      <c r="A263" s="231" t="inlineStr">
        <is>
          <t>SKU-45A85F68</t>
        </is>
      </c>
      <c r="B263" s="231" t="n">
        <v>100</v>
      </c>
      <c r="C263" s="19" t="inlineStr">
        <is>
          <t>Product-9701A12C</t>
        </is>
      </c>
      <c r="D263" s="231" t="n">
        <v>1</v>
      </c>
      <c r="E263" s="51" t="n">
        <v>12.2</v>
      </c>
      <c r="F263" s="184" t="n">
        <v>10</v>
      </c>
      <c r="G263" s="184" t="n">
        <v>0.26</v>
      </c>
      <c r="H263" s="27" t="inlineStr">
        <is>
          <t>C</t>
        </is>
      </c>
      <c r="I263" s="27" t="inlineStr">
        <is>
          <t>长</t>
        </is>
      </c>
      <c r="J263" s="27" t="inlineStr">
        <is>
          <t>Brand-Anonymized</t>
        </is>
      </c>
      <c r="K263" s="27" t="n">
        <v>200</v>
      </c>
      <c r="L263" s="27" t="inlineStr">
        <is>
          <t>C</t>
        </is>
      </c>
      <c r="M263" s="27" t="n"/>
      <c r="N263" s="27" t="n"/>
      <c r="O263" s="226" t="n">
        <v>0</v>
      </c>
      <c r="P263" s="226" t="n">
        <v>0</v>
      </c>
      <c r="Q263" s="226" t="n">
        <v>0</v>
      </c>
      <c r="R263" s="226" t="n">
        <v>0</v>
      </c>
      <c r="S263" s="226" t="n">
        <v>10</v>
      </c>
    </row>
    <row r="264" ht="14" customFormat="1" customHeight="1" s="1">
      <c r="A264" s="231" t="inlineStr">
        <is>
          <t>SKU-1BB078B2</t>
        </is>
      </c>
      <c r="B264" s="231" t="n">
        <v>100</v>
      </c>
      <c r="C264" s="19" t="inlineStr">
        <is>
          <t>Product-1AC91157</t>
        </is>
      </c>
      <c r="D264" s="231" t="n">
        <v>1</v>
      </c>
      <c r="E264" s="51" t="n">
        <v>-23.234</v>
      </c>
      <c r="F264" s="184" t="n">
        <v>7.3</v>
      </c>
      <c r="G264" s="184" t="n">
        <v>1.572</v>
      </c>
      <c r="H264" s="27" t="inlineStr"/>
      <c r="I264" s="27" t="inlineStr">
        <is>
          <t>标</t>
        </is>
      </c>
      <c r="J264" s="27" t="inlineStr">
        <is>
          <t>Brand-Anonymized</t>
        </is>
      </c>
      <c r="K264" s="27" t="n">
        <v>200</v>
      </c>
      <c r="L264" s="27" t="inlineStr">
        <is>
          <t>C</t>
        </is>
      </c>
      <c r="M264" s="27" t="n"/>
      <c r="N264" s="27" t="n"/>
      <c r="O264" s="226" t="inlineStr">
        <is>
          <t>0</t>
        </is>
      </c>
      <c r="P264" s="226" t="n">
        <v>0</v>
      </c>
      <c r="Q264" s="226" t="inlineStr">
        <is>
          <t>0</t>
        </is>
      </c>
      <c r="R264" s="226" t="inlineStr">
        <is>
          <t>0</t>
        </is>
      </c>
      <c r="S264" s="226" t="n">
        <v>7.3</v>
      </c>
    </row>
    <row r="265" ht="14" customFormat="1" customHeight="1" s="1">
      <c r="A265" s="231" t="inlineStr">
        <is>
          <t>SKU-ADBD66B8</t>
        </is>
      </c>
      <c r="B265" s="231" t="n">
        <v>100</v>
      </c>
      <c r="C265" s="46" t="inlineStr">
        <is>
          <t>Product-3232333E</t>
        </is>
      </c>
      <c r="D265" s="55" t="n">
        <v>3</v>
      </c>
      <c r="E265" s="51" t="n">
        <v>346.508</v>
      </c>
      <c r="F265" s="184" t="n">
        <v>91.5</v>
      </c>
      <c r="G265" s="184" t="n">
        <v>41.436</v>
      </c>
      <c r="H265" s="42" t="inlineStr">
        <is>
          <t>T</t>
        </is>
      </c>
      <c r="I265" s="27" t="inlineStr"/>
      <c r="J265" s="27" t="inlineStr">
        <is>
          <t>Brand-Anonymized</t>
        </is>
      </c>
      <c r="K265" s="27" t="n">
        <v>200</v>
      </c>
      <c r="L265" s="27" t="n"/>
      <c r="M265" s="27" t="n"/>
      <c r="N265" s="27" t="n"/>
      <c r="O265" s="226" t="inlineStr">
        <is>
          <t>0</t>
        </is>
      </c>
      <c r="P265" s="226" t="n">
        <v>0</v>
      </c>
      <c r="Q265" s="226" t="n">
        <v>0</v>
      </c>
      <c r="R265" s="226" t="n">
        <v>45</v>
      </c>
      <c r="S265" s="226" t="n">
        <v>46.5</v>
      </c>
    </row>
    <row r="266" ht="14" customFormat="1" customHeight="1" s="1">
      <c r="A266" s="231" t="inlineStr">
        <is>
          <t>SKU-77309807</t>
        </is>
      </c>
      <c r="B266" s="231" t="n">
        <v>100</v>
      </c>
      <c r="C266" s="19" t="inlineStr">
        <is>
          <t>Product-569CC6FE</t>
        </is>
      </c>
      <c r="D266" s="231" t="n">
        <v>2</v>
      </c>
      <c r="E266" s="51" t="n">
        <v>296.188</v>
      </c>
      <c r="F266" s="184" t="n">
        <v>83.40000000000001</v>
      </c>
      <c r="G266" s="184" t="n">
        <v>44.796</v>
      </c>
      <c r="H266" s="27" t="inlineStr"/>
      <c r="I266" s="27" t="inlineStr"/>
      <c r="J266" s="27" t="inlineStr">
        <is>
          <t>Brand-Anonymized</t>
        </is>
      </c>
      <c r="K266" s="27" t="n">
        <v>200</v>
      </c>
      <c r="L266" s="27" t="n"/>
      <c r="M266" s="27" t="n"/>
      <c r="N266" s="27" t="n"/>
      <c r="O266" s="226" t="n">
        <v>0</v>
      </c>
      <c r="P266" s="226" t="n">
        <v>42</v>
      </c>
      <c r="Q266" s="226" t="n">
        <v>41.4</v>
      </c>
      <c r="R266" s="226" t="inlineStr">
        <is>
          <t>0</t>
        </is>
      </c>
      <c r="S266" s="226" t="inlineStr">
        <is>
          <t>0</t>
        </is>
      </c>
    </row>
    <row r="267" ht="14" customFormat="1" customHeight="1" s="1">
      <c r="A267" s="231" t="inlineStr">
        <is>
          <t>SKU-20CF6943</t>
        </is>
      </c>
      <c r="B267" s="231" t="n">
        <v>100</v>
      </c>
      <c r="C267" s="19" t="inlineStr">
        <is>
          <t>Product-D195C7CE</t>
        </is>
      </c>
      <c r="D267" s="231" t="n">
        <v>3</v>
      </c>
      <c r="E267" s="51" t="n">
        <v>153.788</v>
      </c>
      <c r="F267" s="184" t="n">
        <v>24.9</v>
      </c>
      <c r="G267" s="184" t="n">
        <v>26.576</v>
      </c>
      <c r="H267" s="27" t="inlineStr"/>
      <c r="I267" s="27" t="inlineStr"/>
      <c r="J267" s="27" t="inlineStr">
        <is>
          <t>Brand-Anonymized</t>
        </is>
      </c>
      <c r="K267" s="27" t="n">
        <v>200</v>
      </c>
      <c r="L267" s="27" t="n"/>
      <c r="M267" s="27" t="n"/>
      <c r="N267" s="27" t="n"/>
      <c r="O267" s="226" t="inlineStr">
        <is>
          <t>0</t>
        </is>
      </c>
      <c r="P267" s="226" t="inlineStr">
        <is>
          <t>0</t>
        </is>
      </c>
      <c r="Q267" s="226" t="inlineStr">
        <is>
          <t>0</t>
        </is>
      </c>
      <c r="R267" s="226" t="inlineStr">
        <is>
          <t>0</t>
        </is>
      </c>
      <c r="S267" s="226" t="n">
        <v>24.9</v>
      </c>
    </row>
    <row r="268" ht="14" customFormat="1" customHeight="1" s="1">
      <c r="A268" s="231" t="inlineStr">
        <is>
          <t>SKU-64A5E460</t>
        </is>
      </c>
      <c r="B268" s="231" t="n">
        <v>100</v>
      </c>
      <c r="C268" s="19" t="inlineStr">
        <is>
          <t>Product-6C74D635</t>
        </is>
      </c>
      <c r="D268" s="231" t="n">
        <v>1</v>
      </c>
      <c r="E268" s="51" t="n">
        <v>264.364</v>
      </c>
      <c r="F268" s="184" t="n">
        <v>60.58</v>
      </c>
      <c r="G268" s="184" t="n">
        <v>60.928</v>
      </c>
      <c r="H268" s="27" t="inlineStr"/>
      <c r="I268" s="27" t="inlineStr">
        <is>
          <t>长</t>
        </is>
      </c>
      <c r="J268" s="27" t="inlineStr">
        <is>
          <t>Brand-Anonymized</t>
        </is>
      </c>
      <c r="K268" s="27" t="n">
        <v>200</v>
      </c>
      <c r="L268" s="27" t="inlineStr">
        <is>
          <t>C</t>
        </is>
      </c>
      <c r="M268" s="27" t="n"/>
      <c r="N268" s="27" t="n"/>
      <c r="O268" s="226" t="inlineStr">
        <is>
          <t>0</t>
        </is>
      </c>
      <c r="P268" s="226" t="n">
        <v>60.58</v>
      </c>
      <c r="Q268" s="226" t="n">
        <v>0</v>
      </c>
      <c r="R268" s="226" t="n">
        <v>0</v>
      </c>
      <c r="S268" s="226" t="inlineStr">
        <is>
          <t>0</t>
        </is>
      </c>
    </row>
    <row r="269" ht="14" customFormat="1" customHeight="1" s="1">
      <c r="A269" s="231" t="inlineStr">
        <is>
          <t>SKU-2379F692</t>
        </is>
      </c>
      <c r="B269" s="231" t="n">
        <v>100</v>
      </c>
      <c r="C269" s="19" t="inlineStr">
        <is>
          <t>Product-1E77ED33</t>
        </is>
      </c>
      <c r="D269" s="231" t="n">
        <v>1</v>
      </c>
      <c r="E269" s="51" t="n">
        <v>63.088</v>
      </c>
      <c r="F269" s="184" t="n">
        <v>18.4</v>
      </c>
      <c r="G269" s="184" t="n">
        <v>18.536</v>
      </c>
      <c r="H269" s="27" t="inlineStr"/>
      <c r="I269" s="27" t="inlineStr">
        <is>
          <t>标</t>
        </is>
      </c>
      <c r="J269" s="27" t="inlineStr">
        <is>
          <t>Brand-Anonymized</t>
        </is>
      </c>
      <c r="K269" s="27" t="n">
        <v>200</v>
      </c>
      <c r="L269" s="27" t="inlineStr">
        <is>
          <t>C</t>
        </is>
      </c>
      <c r="M269" s="27" t="n"/>
      <c r="N269" s="27" t="n"/>
      <c r="O269" s="226" t="inlineStr">
        <is>
          <t>0</t>
        </is>
      </c>
      <c r="P269" s="226" t="inlineStr">
        <is>
          <t>0</t>
        </is>
      </c>
      <c r="Q269" s="226" t="inlineStr">
        <is>
          <t>0</t>
        </is>
      </c>
      <c r="R269" s="226" t="n">
        <v>18.4</v>
      </c>
      <c r="S269" s="226" t="inlineStr">
        <is>
          <t>0</t>
        </is>
      </c>
    </row>
    <row r="270" ht="14" customFormat="1" customHeight="1" s="1">
      <c r="A270" s="231" t="inlineStr">
        <is>
          <t>SKU-F2B0F984</t>
        </is>
      </c>
      <c r="B270" s="231" t="n">
        <v>100</v>
      </c>
      <c r="C270" s="19" t="inlineStr">
        <is>
          <t>Product-BB38CDED</t>
        </is>
      </c>
      <c r="D270" s="231" t="n">
        <v>1</v>
      </c>
      <c r="E270" s="51" t="n">
        <v>60.306</v>
      </c>
      <c r="F270" s="184" t="n">
        <v>25</v>
      </c>
      <c r="G270" s="184" t="n">
        <v>25.172</v>
      </c>
      <c r="H270" s="27" t="inlineStr">
        <is>
          <t>X</t>
        </is>
      </c>
      <c r="I270" s="27" t="inlineStr">
        <is>
          <t>标</t>
        </is>
      </c>
      <c r="J270" s="27" t="inlineStr">
        <is>
          <t>Brand-Anonymized</t>
        </is>
      </c>
      <c r="K270" s="27" t="n">
        <v>200</v>
      </c>
      <c r="L270" s="27" t="inlineStr">
        <is>
          <t>C</t>
        </is>
      </c>
      <c r="M270" s="27" t="n"/>
      <c r="N270" s="27" t="n"/>
      <c r="O270" s="226" t="n">
        <v>0</v>
      </c>
      <c r="P270" s="226" t="n">
        <v>25</v>
      </c>
      <c r="Q270" s="226" t="n">
        <v>0</v>
      </c>
      <c r="R270" s="226" t="n">
        <v>0</v>
      </c>
      <c r="S270" s="226" t="n">
        <v>0</v>
      </c>
    </row>
    <row r="271" ht="14" customFormat="1" customHeight="1" s="1">
      <c r="A271" s="231" t="inlineStr">
        <is>
          <t>SKU-757F2F2C</t>
        </is>
      </c>
      <c r="B271" s="231" t="n">
        <v>100</v>
      </c>
      <c r="C271" s="59" t="inlineStr">
        <is>
          <t>Product-F2547790</t>
        </is>
      </c>
      <c r="D271" s="231" t="n">
        <v>2</v>
      </c>
      <c r="E271" s="51" t="n">
        <v>0</v>
      </c>
      <c r="F271" s="184" t="n">
        <v>0</v>
      </c>
      <c r="G271" s="184" t="n">
        <v>0</v>
      </c>
      <c r="H271" s="27" t="inlineStr"/>
      <c r="I271" s="27" t="inlineStr">
        <is>
          <t>标</t>
        </is>
      </c>
      <c r="J271" s="27" t="inlineStr">
        <is>
          <t>Brand-Anonymized</t>
        </is>
      </c>
      <c r="K271" s="27" t="n">
        <v>200</v>
      </c>
      <c r="L271" s="27" t="inlineStr">
        <is>
          <t>C</t>
        </is>
      </c>
      <c r="M271" s="27" t="n"/>
      <c r="N271" s="27" t="n"/>
      <c r="O271" s="184" t="inlineStr">
        <is>
          <t>0</t>
        </is>
      </c>
      <c r="P271" s="184" t="inlineStr">
        <is>
          <t>0</t>
        </is>
      </c>
      <c r="Q271" s="184" t="inlineStr">
        <is>
          <t>0</t>
        </is>
      </c>
      <c r="R271" s="184" t="inlineStr">
        <is>
          <t>0</t>
        </is>
      </c>
      <c r="S271" s="184" t="inlineStr">
        <is>
          <t>0</t>
        </is>
      </c>
    </row>
    <row r="272" ht="14" customFormat="1" customHeight="1" s="1">
      <c r="A272" s="231" t="inlineStr">
        <is>
          <t>SKU-6F3D6830</t>
        </is>
      </c>
      <c r="B272" s="231" t="n">
        <v>100</v>
      </c>
      <c r="C272" s="44" t="inlineStr">
        <is>
          <t>Product-739BC315</t>
        </is>
      </c>
      <c r="D272" s="231" t="n">
        <v>2</v>
      </c>
      <c r="E272" s="51" t="n">
        <v>0</v>
      </c>
      <c r="F272" s="184" t="n">
        <v>0</v>
      </c>
      <c r="G272" s="184" t="n">
        <v>0</v>
      </c>
      <c r="H272" s="27" t="inlineStr"/>
      <c r="I272" s="27" t="inlineStr">
        <is>
          <t>标</t>
        </is>
      </c>
      <c r="J272" s="27" t="inlineStr">
        <is>
          <t>Brand-Anonymized</t>
        </is>
      </c>
      <c r="K272" s="27" t="n">
        <v>200</v>
      </c>
      <c r="L272" s="27" t="inlineStr">
        <is>
          <t>C</t>
        </is>
      </c>
      <c r="M272" s="27" t="n"/>
      <c r="N272" s="27" t="n"/>
      <c r="O272" s="184" t="inlineStr">
        <is>
          <t>0</t>
        </is>
      </c>
      <c r="P272" s="184" t="inlineStr">
        <is>
          <t>0</t>
        </is>
      </c>
      <c r="Q272" s="184" t="inlineStr">
        <is>
          <t>0</t>
        </is>
      </c>
      <c r="R272" s="184" t="inlineStr">
        <is>
          <t>0</t>
        </is>
      </c>
      <c r="S272" s="184" t="inlineStr">
        <is>
          <t>0</t>
        </is>
      </c>
    </row>
    <row r="273" ht="14" customFormat="1" customHeight="1" s="1">
      <c r="A273" s="231" t="inlineStr">
        <is>
          <t>SKU-5ABCA7A6</t>
        </is>
      </c>
      <c r="B273" s="231" t="n">
        <v>100</v>
      </c>
      <c r="C273" s="19" t="inlineStr">
        <is>
          <t>Product-4B89105C</t>
        </is>
      </c>
      <c r="D273" s="231" t="n">
        <v>1</v>
      </c>
      <c r="E273" s="51" t="n">
        <v>0</v>
      </c>
      <c r="F273" s="184" t="n">
        <v>0</v>
      </c>
      <c r="G273" s="184" t="n">
        <v>0</v>
      </c>
      <c r="H273" s="27" t="inlineStr"/>
      <c r="I273" s="27" t="inlineStr">
        <is>
          <t>细</t>
        </is>
      </c>
      <c r="J273" s="27" t="inlineStr">
        <is>
          <t>Brand-Anonymized</t>
        </is>
      </c>
      <c r="K273" s="27" t="n">
        <v>200</v>
      </c>
      <c r="L273" s="27" t="inlineStr">
        <is>
          <t>C</t>
        </is>
      </c>
      <c r="M273" s="27" t="n"/>
      <c r="N273" s="27" t="n"/>
      <c r="O273" s="184" t="inlineStr">
        <is>
          <t>0</t>
        </is>
      </c>
      <c r="P273" s="184" t="inlineStr">
        <is>
          <t>0</t>
        </is>
      </c>
      <c r="Q273" s="184" t="inlineStr">
        <is>
          <t>0</t>
        </is>
      </c>
      <c r="R273" s="184" t="inlineStr">
        <is>
          <t>0</t>
        </is>
      </c>
      <c r="S273" s="184" t="inlineStr">
        <is>
          <t>0</t>
        </is>
      </c>
    </row>
    <row r="274" ht="14" customFormat="1" customHeight="1" s="1">
      <c r="A274" s="231" t="inlineStr">
        <is>
          <t>SKU-11ADC9CE</t>
        </is>
      </c>
      <c r="B274" s="231" t="n">
        <v>100</v>
      </c>
      <c r="C274" s="19" t="inlineStr">
        <is>
          <t>Product-21261DDB</t>
        </is>
      </c>
      <c r="D274" s="231" t="n">
        <v>2</v>
      </c>
      <c r="E274" s="51" t="n">
        <v>0</v>
      </c>
      <c r="F274" s="184" t="n">
        <v>0</v>
      </c>
      <c r="G274" s="184" t="n">
        <v>0</v>
      </c>
      <c r="H274" s="27" t="inlineStr"/>
      <c r="I274" s="27" t="inlineStr"/>
      <c r="J274" s="27" t="inlineStr">
        <is>
          <t>Brand-Anonymized</t>
        </is>
      </c>
      <c r="K274" s="27" t="n">
        <v>200</v>
      </c>
      <c r="L274" s="27" t="n"/>
      <c r="M274" s="27" t="n"/>
      <c r="N274" s="27" t="n"/>
      <c r="O274" s="184" t="inlineStr">
        <is>
          <t>0</t>
        </is>
      </c>
      <c r="P274" s="184" t="inlineStr">
        <is>
          <t>0</t>
        </is>
      </c>
      <c r="Q274" s="184" t="inlineStr">
        <is>
          <t>0</t>
        </is>
      </c>
      <c r="R274" s="184" t="inlineStr">
        <is>
          <t>0</t>
        </is>
      </c>
      <c r="S274" s="184" t="inlineStr">
        <is>
          <t>0</t>
        </is>
      </c>
    </row>
    <row r="275" ht="14" customFormat="1" customHeight="1" s="1">
      <c r="A275" s="231" t="inlineStr">
        <is>
          <t>SKU-644F171E</t>
        </is>
      </c>
      <c r="B275" s="231" t="n">
        <v>100</v>
      </c>
      <c r="C275" s="19" t="inlineStr">
        <is>
          <t>Product-1BA50314</t>
        </is>
      </c>
      <c r="D275" s="231" t="n">
        <v>1</v>
      </c>
      <c r="E275" s="51" t="n">
        <v>0</v>
      </c>
      <c r="F275" s="184" t="n">
        <v>0</v>
      </c>
      <c r="G275" s="184" t="n">
        <v>0</v>
      </c>
      <c r="H275" s="27" t="inlineStr"/>
      <c r="I275" s="27" t="inlineStr">
        <is>
          <t>标</t>
        </is>
      </c>
      <c r="J275" s="27" t="inlineStr">
        <is>
          <t>Brand-Anonymized</t>
        </is>
      </c>
      <c r="K275" s="27" t="n">
        <v>200</v>
      </c>
      <c r="L275" s="27" t="inlineStr">
        <is>
          <t>C</t>
        </is>
      </c>
      <c r="M275" s="27" t="n"/>
      <c r="N275" s="27" t="n"/>
      <c r="O275" s="184" t="inlineStr">
        <is>
          <t>0</t>
        </is>
      </c>
      <c r="P275" s="184" t="inlineStr">
        <is>
          <t>0</t>
        </is>
      </c>
      <c r="Q275" s="184" t="inlineStr">
        <is>
          <t>0</t>
        </is>
      </c>
      <c r="R275" s="184" t="inlineStr">
        <is>
          <t>0</t>
        </is>
      </c>
      <c r="S275" s="184" t="inlineStr">
        <is>
          <t>0</t>
        </is>
      </c>
    </row>
    <row r="276" ht="14" customFormat="1" customHeight="1" s="1">
      <c r="A276" s="55" t="inlineStr">
        <is>
          <t>SKU-AEC97CC2</t>
        </is>
      </c>
      <c r="B276" s="231" t="n">
        <v>100</v>
      </c>
      <c r="C276" s="77" t="inlineStr">
        <is>
          <t>Product-B78F5436</t>
        </is>
      </c>
      <c r="D276" s="231" t="n">
        <v>1</v>
      </c>
      <c r="E276" s="51" t="n">
        <v>0</v>
      </c>
      <c r="F276" s="184" t="n">
        <v>0</v>
      </c>
      <c r="G276" s="184" t="n">
        <v>0</v>
      </c>
      <c r="H276" s="56" t="inlineStr"/>
      <c r="I276" s="56" t="inlineStr">
        <is>
          <t>标</t>
        </is>
      </c>
      <c r="J276" s="56" t="inlineStr">
        <is>
          <t>Brand-Anonymized</t>
        </is>
      </c>
      <c r="K276" s="56" t="n">
        <v>200</v>
      </c>
      <c r="L276" s="56" t="inlineStr">
        <is>
          <t>C</t>
        </is>
      </c>
      <c r="M276" s="56" t="n"/>
      <c r="N276" s="56" t="n"/>
      <c r="O276" s="184" t="inlineStr">
        <is>
          <t>0</t>
        </is>
      </c>
      <c r="P276" s="184" t="inlineStr">
        <is>
          <t>0</t>
        </is>
      </c>
      <c r="Q276" s="184" t="inlineStr">
        <is>
          <t>0</t>
        </is>
      </c>
      <c r="R276" s="184" t="inlineStr">
        <is>
          <t>0</t>
        </is>
      </c>
      <c r="S276" s="184" t="inlineStr">
        <is>
          <t>0</t>
        </is>
      </c>
    </row>
    <row r="277" ht="14" customFormat="1" customHeight="1" s="1">
      <c r="A277" s="55" t="inlineStr">
        <is>
          <t>SKU-472FCFCF</t>
        </is>
      </c>
      <c r="B277" s="231" t="n">
        <v>100</v>
      </c>
      <c r="C277" s="77" t="inlineStr">
        <is>
          <t>Product-5367E8C9</t>
        </is>
      </c>
      <c r="D277" s="231" t="n">
        <v>1</v>
      </c>
      <c r="E277" s="51" t="n">
        <v>0</v>
      </c>
      <c r="F277" s="184" t="n">
        <v>0</v>
      </c>
      <c r="G277" s="184" t="n">
        <v>0</v>
      </c>
      <c r="H277" s="56" t="inlineStr"/>
      <c r="I277" s="56" t="inlineStr">
        <is>
          <t>标</t>
        </is>
      </c>
      <c r="J277" s="56" t="inlineStr">
        <is>
          <t>Brand-Anonymized</t>
        </is>
      </c>
      <c r="K277" s="56" t="n">
        <v>200</v>
      </c>
      <c r="L277" s="56" t="inlineStr">
        <is>
          <t>C</t>
        </is>
      </c>
      <c r="M277" s="56" t="n"/>
      <c r="N277" s="56" t="n"/>
      <c r="O277" s="184" t="inlineStr">
        <is>
          <t>0</t>
        </is>
      </c>
      <c r="P277" s="184" t="inlineStr">
        <is>
          <t>0</t>
        </is>
      </c>
      <c r="Q277" s="184" t="inlineStr">
        <is>
          <t>0</t>
        </is>
      </c>
      <c r="R277" s="184" t="inlineStr">
        <is>
          <t>0</t>
        </is>
      </c>
      <c r="S277" s="184" t="inlineStr">
        <is>
          <t>0</t>
        </is>
      </c>
    </row>
    <row r="278" ht="14" customFormat="1" customHeight="1" s="1">
      <c r="A278" s="231" t="inlineStr">
        <is>
          <t>SKU-74226566</t>
        </is>
      </c>
      <c r="B278" s="231" t="n">
        <v>100</v>
      </c>
      <c r="C278" s="19" t="inlineStr">
        <is>
          <t>Product-5CBC2173</t>
        </is>
      </c>
      <c r="D278" s="231" t="n">
        <v>1</v>
      </c>
      <c r="E278" s="51" t="n">
        <v>0</v>
      </c>
      <c r="F278" s="184" t="n">
        <v>0</v>
      </c>
      <c r="G278" s="184" t="n">
        <v>0</v>
      </c>
      <c r="H278" s="27" t="inlineStr"/>
      <c r="I278" s="27" t="inlineStr"/>
      <c r="J278" s="27" t="inlineStr">
        <is>
          <t>Brand-Anonymized</t>
        </is>
      </c>
      <c r="K278" s="27" t="n">
        <v>200</v>
      </c>
      <c r="L278" s="27" t="n"/>
      <c r="M278" s="27" t="n"/>
      <c r="N278" s="27" t="n"/>
      <c r="O278" s="184" t="inlineStr">
        <is>
          <t>0</t>
        </is>
      </c>
      <c r="P278" s="184" t="inlineStr">
        <is>
          <t>0</t>
        </is>
      </c>
      <c r="Q278" s="184" t="inlineStr">
        <is>
          <t>0</t>
        </is>
      </c>
      <c r="R278" s="184" t="inlineStr">
        <is>
          <t>0</t>
        </is>
      </c>
      <c r="S278" s="184" t="inlineStr">
        <is>
          <t>0</t>
        </is>
      </c>
    </row>
    <row r="279" ht="14" customFormat="1" customHeight="1" s="1">
      <c r="A279" s="231" t="inlineStr">
        <is>
          <t>SKU-C8F1C563</t>
        </is>
      </c>
      <c r="B279" s="231" t="n">
        <v>100</v>
      </c>
      <c r="C279" s="19" t="inlineStr">
        <is>
          <t>Product-CB94403F</t>
        </is>
      </c>
      <c r="D279" s="231" t="n">
        <v>1</v>
      </c>
      <c r="E279" s="51" t="n">
        <v>0</v>
      </c>
      <c r="F279" s="184" t="n">
        <v>0</v>
      </c>
      <c r="G279" s="184" t="n">
        <v>0</v>
      </c>
      <c r="H279" s="27" t="inlineStr"/>
      <c r="I279" s="27" t="inlineStr"/>
      <c r="J279" s="27" t="inlineStr">
        <is>
          <t>Brand-Anonymized</t>
        </is>
      </c>
      <c r="K279" s="27" t="n">
        <v>200</v>
      </c>
      <c r="L279" s="27" t="n"/>
      <c r="M279" s="27" t="n"/>
      <c r="N279" s="27" t="n"/>
      <c r="O279" s="184" t="inlineStr">
        <is>
          <t>0</t>
        </is>
      </c>
      <c r="P279" s="184" t="inlineStr">
        <is>
          <t>0</t>
        </is>
      </c>
      <c r="Q279" s="184" t="inlineStr">
        <is>
          <t>0</t>
        </is>
      </c>
      <c r="R279" s="184" t="inlineStr">
        <is>
          <t>0</t>
        </is>
      </c>
      <c r="S279" s="184" t="inlineStr">
        <is>
          <t>0</t>
        </is>
      </c>
    </row>
    <row r="280" ht="14" customFormat="1" customHeight="1" s="1">
      <c r="A280" s="55" t="inlineStr">
        <is>
          <t>SKU-3612A067</t>
        </is>
      </c>
      <c r="B280" s="231" t="n">
        <v>100</v>
      </c>
      <c r="C280" s="59" t="inlineStr">
        <is>
          <t>Product-00361644</t>
        </is>
      </c>
      <c r="D280" s="231" t="n">
        <v>1</v>
      </c>
      <c r="E280" s="51" t="n">
        <v>0</v>
      </c>
      <c r="F280" s="184" t="n">
        <v>0</v>
      </c>
      <c r="G280" s="184" t="n">
        <v>0</v>
      </c>
      <c r="H280" s="56" t="inlineStr"/>
      <c r="I280" s="56" t="inlineStr">
        <is>
          <t>标</t>
        </is>
      </c>
      <c r="J280" s="56" t="inlineStr">
        <is>
          <t>Brand-Anonymized</t>
        </is>
      </c>
      <c r="K280" s="56" t="n">
        <v>200</v>
      </c>
      <c r="L280" s="56" t="inlineStr">
        <is>
          <t>C</t>
        </is>
      </c>
      <c r="M280" s="56" t="n"/>
      <c r="N280" s="56" t="n"/>
      <c r="O280" s="184" t="inlineStr">
        <is>
          <t>0</t>
        </is>
      </c>
      <c r="P280" s="184" t="inlineStr">
        <is>
          <t>0</t>
        </is>
      </c>
      <c r="Q280" s="184" t="inlineStr">
        <is>
          <t>0</t>
        </is>
      </c>
      <c r="R280" s="184" t="inlineStr">
        <is>
          <t>0</t>
        </is>
      </c>
      <c r="S280" s="184" t="inlineStr">
        <is>
          <t>0</t>
        </is>
      </c>
    </row>
    <row r="281" ht="14" customFormat="1" customHeight="1" s="1">
      <c r="A281" s="55" t="inlineStr">
        <is>
          <t>SKU-CBB84AFA</t>
        </is>
      </c>
      <c r="B281" s="231" t="n">
        <v>100</v>
      </c>
      <c r="C281" s="44" t="inlineStr">
        <is>
          <t>Product-9FF98A5E</t>
        </is>
      </c>
      <c r="D281" s="231" t="n">
        <v>1</v>
      </c>
      <c r="E281" s="51" t="n">
        <v>0</v>
      </c>
      <c r="F281" s="184" t="n">
        <v>0</v>
      </c>
      <c r="G281" s="184" t="n">
        <v>0</v>
      </c>
      <c r="H281" s="56" t="inlineStr"/>
      <c r="I281" s="56" t="inlineStr">
        <is>
          <t>标</t>
        </is>
      </c>
      <c r="J281" s="56" t="inlineStr">
        <is>
          <t>Brand-Anonymized</t>
        </is>
      </c>
      <c r="K281" s="56" t="n">
        <v>200</v>
      </c>
      <c r="L281" s="56" t="inlineStr">
        <is>
          <t>C</t>
        </is>
      </c>
      <c r="M281" s="56" t="n"/>
      <c r="N281" s="56" t="n"/>
      <c r="O281" s="184" t="inlineStr">
        <is>
          <t>0</t>
        </is>
      </c>
      <c r="P281" s="184" t="inlineStr">
        <is>
          <t>0</t>
        </is>
      </c>
      <c r="Q281" s="184" t="inlineStr">
        <is>
          <t>0</t>
        </is>
      </c>
      <c r="R281" s="184" t="inlineStr">
        <is>
          <t>0</t>
        </is>
      </c>
      <c r="S281" s="184" t="inlineStr">
        <is>
          <t>0</t>
        </is>
      </c>
    </row>
    <row r="282" ht="14" customFormat="1" customHeight="1" s="1">
      <c r="A282" s="231" t="inlineStr">
        <is>
          <t>SKU-64173031</t>
        </is>
      </c>
      <c r="B282" s="231" t="n">
        <v>100</v>
      </c>
      <c r="C282" s="19" t="inlineStr">
        <is>
          <t>Product-CE4A3DBB</t>
        </is>
      </c>
      <c r="D282" s="231" t="n">
        <v>1</v>
      </c>
      <c r="E282" s="51" t="n">
        <v>0</v>
      </c>
      <c r="F282" s="184" t="n">
        <v>0</v>
      </c>
      <c r="G282" s="184" t="n">
        <v>0</v>
      </c>
      <c r="H282" s="56" t="inlineStr"/>
      <c r="I282" s="56" t="inlineStr">
        <is>
          <t>标</t>
        </is>
      </c>
      <c r="J282" s="56" t="inlineStr">
        <is>
          <t>Brand-Anonymized</t>
        </is>
      </c>
      <c r="K282" s="56" t="n">
        <v>200</v>
      </c>
      <c r="L282" s="56" t="inlineStr">
        <is>
          <t>C</t>
        </is>
      </c>
      <c r="M282" s="56" t="n"/>
      <c r="N282" s="56" t="n"/>
      <c r="O282" s="184" t="inlineStr">
        <is>
          <t>0</t>
        </is>
      </c>
      <c r="P282" s="184" t="inlineStr">
        <is>
          <t>0</t>
        </is>
      </c>
      <c r="Q282" s="184" t="inlineStr">
        <is>
          <t>0</t>
        </is>
      </c>
      <c r="R282" s="184" t="inlineStr">
        <is>
          <t>0</t>
        </is>
      </c>
      <c r="S282" s="184" t="inlineStr">
        <is>
          <t>0</t>
        </is>
      </c>
    </row>
    <row r="283" ht="14" customFormat="1" customHeight="1" s="1">
      <c r="A283" s="55" t="inlineStr">
        <is>
          <t>SKU-79156780</t>
        </is>
      </c>
      <c r="B283" s="231" t="n">
        <v>100</v>
      </c>
      <c r="C283" s="59" t="inlineStr">
        <is>
          <t>Product-D8310139</t>
        </is>
      </c>
      <c r="D283" s="231" t="n">
        <v>3</v>
      </c>
      <c r="E283" s="51" t="n">
        <v>0</v>
      </c>
      <c r="F283" s="184" t="n">
        <v>0</v>
      </c>
      <c r="G283" s="184" t="n">
        <v>0</v>
      </c>
      <c r="H283" s="78" t="inlineStr"/>
      <c r="I283" s="56" t="inlineStr">
        <is>
          <t>标</t>
        </is>
      </c>
      <c r="J283" s="56" t="inlineStr">
        <is>
          <t>Brand-Anonymized</t>
        </is>
      </c>
      <c r="K283" s="56" t="n">
        <v>200</v>
      </c>
      <c r="L283" s="56" t="inlineStr">
        <is>
          <t>C</t>
        </is>
      </c>
      <c r="M283" s="56" t="n"/>
      <c r="N283" s="56" t="n"/>
      <c r="O283" s="184" t="inlineStr">
        <is>
          <t>0</t>
        </is>
      </c>
      <c r="P283" s="184" t="inlineStr">
        <is>
          <t>0</t>
        </is>
      </c>
      <c r="Q283" s="184" t="inlineStr">
        <is>
          <t>0</t>
        </is>
      </c>
      <c r="R283" s="184" t="inlineStr">
        <is>
          <t>0</t>
        </is>
      </c>
      <c r="S283" s="184" t="inlineStr">
        <is>
          <t>0</t>
        </is>
      </c>
    </row>
    <row r="284" ht="14" customFormat="1" customHeight="1" s="1">
      <c r="A284" s="55" t="inlineStr">
        <is>
          <t>SKU-5E2193C8</t>
        </is>
      </c>
      <c r="B284" s="231" t="n">
        <v>100</v>
      </c>
      <c r="C284" s="59" t="inlineStr">
        <is>
          <t>Product-B1BCBBF1</t>
        </is>
      </c>
      <c r="D284" s="231" t="n">
        <v>2</v>
      </c>
      <c r="E284" s="51" t="n">
        <v>0</v>
      </c>
      <c r="F284" s="184" t="n">
        <v>0</v>
      </c>
      <c r="G284" s="184" t="n">
        <v>0</v>
      </c>
      <c r="H284" s="56" t="inlineStr"/>
      <c r="I284" s="56" t="inlineStr">
        <is>
          <t>标</t>
        </is>
      </c>
      <c r="J284" s="56" t="inlineStr">
        <is>
          <t>Brand-Anonymized</t>
        </is>
      </c>
      <c r="K284" s="56" t="n">
        <v>200</v>
      </c>
      <c r="L284" s="56" t="inlineStr">
        <is>
          <t>C</t>
        </is>
      </c>
      <c r="M284" s="56" t="n"/>
      <c r="N284" s="56" t="n"/>
      <c r="O284" s="184" t="inlineStr">
        <is>
          <t>0</t>
        </is>
      </c>
      <c r="P284" s="184" t="inlineStr">
        <is>
          <t>0</t>
        </is>
      </c>
      <c r="Q284" s="184" t="inlineStr">
        <is>
          <t>0</t>
        </is>
      </c>
      <c r="R284" s="184" t="inlineStr">
        <is>
          <t>0</t>
        </is>
      </c>
      <c r="S284" s="184" t="inlineStr">
        <is>
          <t>0</t>
        </is>
      </c>
    </row>
    <row r="285" ht="14" customFormat="1" customHeight="1" s="1">
      <c r="A285" s="55" t="inlineStr">
        <is>
          <t>SKU-E0B7650A</t>
        </is>
      </c>
      <c r="B285" s="231" t="n">
        <v>100</v>
      </c>
      <c r="C285" s="59" t="inlineStr">
        <is>
          <t>Product-6CE7F780</t>
        </is>
      </c>
      <c r="D285" s="231" t="n">
        <v>1</v>
      </c>
      <c r="E285" s="51" t="n">
        <v>0</v>
      </c>
      <c r="F285" s="184" t="n">
        <v>0</v>
      </c>
      <c r="G285" s="184" t="n">
        <v>0</v>
      </c>
      <c r="H285" s="56" t="inlineStr"/>
      <c r="I285" s="56" t="inlineStr"/>
      <c r="J285" s="56" t="inlineStr">
        <is>
          <t>Brand-Anonymized</t>
        </is>
      </c>
      <c r="K285" s="56" t="n">
        <v>200</v>
      </c>
      <c r="L285" s="56" t="n"/>
      <c r="M285" s="56" t="n"/>
      <c r="N285" s="56" t="n"/>
      <c r="O285" s="184" t="inlineStr">
        <is>
          <t>0</t>
        </is>
      </c>
      <c r="P285" s="184" t="inlineStr">
        <is>
          <t>0</t>
        </is>
      </c>
      <c r="Q285" s="184" t="inlineStr">
        <is>
          <t>0</t>
        </is>
      </c>
      <c r="R285" s="184" t="inlineStr">
        <is>
          <t>0</t>
        </is>
      </c>
      <c r="S285" s="184" t="inlineStr">
        <is>
          <t>0</t>
        </is>
      </c>
    </row>
    <row r="286" ht="14" customFormat="1" customHeight="1" s="1">
      <c r="A286" s="55" t="inlineStr">
        <is>
          <t>SKU-843C0510</t>
        </is>
      </c>
      <c r="B286" s="231" t="n">
        <v>100</v>
      </c>
      <c r="C286" s="77" t="inlineStr">
        <is>
          <t>Product-8E98715E</t>
        </is>
      </c>
      <c r="D286" s="231" t="n">
        <v>1</v>
      </c>
      <c r="E286" s="51" t="n">
        <v>0</v>
      </c>
      <c r="F286" s="184" t="n">
        <v>0</v>
      </c>
      <c r="G286" s="184" t="n">
        <v>0</v>
      </c>
      <c r="H286" s="27" t="inlineStr"/>
      <c r="I286" s="27" t="inlineStr">
        <is>
          <t>标</t>
        </is>
      </c>
      <c r="J286" s="27" t="inlineStr">
        <is>
          <t>Brand-Anonymized</t>
        </is>
      </c>
      <c r="K286" s="27" t="n">
        <v>200</v>
      </c>
      <c r="L286" s="27" t="inlineStr">
        <is>
          <t>C</t>
        </is>
      </c>
      <c r="M286" s="27" t="n"/>
      <c r="N286" s="27" t="n"/>
      <c r="O286" s="184" t="inlineStr">
        <is>
          <t>0</t>
        </is>
      </c>
      <c r="P286" s="184" t="inlineStr">
        <is>
          <t>0</t>
        </is>
      </c>
      <c r="Q286" s="184" t="inlineStr">
        <is>
          <t>0</t>
        </is>
      </c>
      <c r="R286" s="184" t="inlineStr">
        <is>
          <t>0</t>
        </is>
      </c>
      <c r="S286" s="184" t="inlineStr">
        <is>
          <t>0</t>
        </is>
      </c>
    </row>
    <row r="287" ht="14" customFormat="1" customHeight="1" s="1">
      <c r="A287" s="55" t="inlineStr">
        <is>
          <t>SKU-24B633DE</t>
        </is>
      </c>
      <c r="B287" s="231" t="n">
        <v>100</v>
      </c>
      <c r="C287" s="59" t="inlineStr">
        <is>
          <t>Product-7888AB17</t>
        </is>
      </c>
      <c r="D287" s="231" t="n">
        <v>1</v>
      </c>
      <c r="E287" s="51" t="n">
        <v>0</v>
      </c>
      <c r="F287" s="184" t="n">
        <v>0</v>
      </c>
      <c r="G287" s="184" t="n">
        <v>0</v>
      </c>
      <c r="H287" s="27" t="inlineStr"/>
      <c r="I287" s="27" t="inlineStr">
        <is>
          <t>标</t>
        </is>
      </c>
      <c r="J287" s="27" t="inlineStr">
        <is>
          <t>Brand-Anonymized</t>
        </is>
      </c>
      <c r="K287" s="27" t="n">
        <v>200</v>
      </c>
      <c r="L287" s="27" t="inlineStr">
        <is>
          <t>C</t>
        </is>
      </c>
      <c r="M287" s="27" t="n"/>
      <c r="N287" s="27" t="n"/>
      <c r="O287" s="184" t="inlineStr">
        <is>
          <t>0</t>
        </is>
      </c>
      <c r="P287" s="184" t="inlineStr">
        <is>
          <t>0</t>
        </is>
      </c>
      <c r="Q287" s="184" t="inlineStr">
        <is>
          <t>0</t>
        </is>
      </c>
      <c r="R287" s="184" t="inlineStr">
        <is>
          <t>0</t>
        </is>
      </c>
      <c r="S287" s="184" t="inlineStr">
        <is>
          <t>0</t>
        </is>
      </c>
    </row>
    <row r="288" ht="14" customFormat="1" customHeight="1" s="1">
      <c r="A288" s="231" t="inlineStr">
        <is>
          <t>SKU-0408BC7B</t>
        </is>
      </c>
      <c r="B288" s="231" t="n">
        <v>100</v>
      </c>
      <c r="C288" s="19" t="inlineStr">
        <is>
          <t>Product-5A027F0E</t>
        </is>
      </c>
      <c r="D288" s="231" t="n">
        <v>1</v>
      </c>
      <c r="E288" s="51" t="n">
        <v>0</v>
      </c>
      <c r="F288" s="184" t="n">
        <v>0</v>
      </c>
      <c r="G288" s="184" t="n">
        <v>0</v>
      </c>
      <c r="H288" s="27" t="inlineStr"/>
      <c r="I288" s="27" t="inlineStr"/>
      <c r="J288" s="27" t="inlineStr">
        <is>
          <t>Brand-Anonymized</t>
        </is>
      </c>
      <c r="K288" s="27" t="n">
        <v>200</v>
      </c>
      <c r="L288" s="27" t="n"/>
      <c r="M288" s="27" t="n"/>
      <c r="N288" s="27" t="n"/>
      <c r="O288" s="184" t="inlineStr">
        <is>
          <t>0</t>
        </is>
      </c>
      <c r="P288" s="184" t="inlineStr">
        <is>
          <t>0</t>
        </is>
      </c>
      <c r="Q288" s="184" t="inlineStr">
        <is>
          <t>0</t>
        </is>
      </c>
      <c r="R288" s="184" t="inlineStr">
        <is>
          <t>0</t>
        </is>
      </c>
      <c r="S288" s="184" t="inlineStr">
        <is>
          <t>0</t>
        </is>
      </c>
    </row>
  </sheetData>
  <conditionalFormatting sqref="A8">
    <cfRule type="cellIs" priority="28" operator="lessThan" dxfId="0">
      <formula>0</formula>
    </cfRule>
  </conditionalFormatting>
  <conditionalFormatting sqref="C8">
    <cfRule type="cellIs" priority="29" operator="lessThan" dxfId="0">
      <formula>0</formula>
    </cfRule>
  </conditionalFormatting>
  <conditionalFormatting sqref="C38">
    <cfRule type="cellIs" priority="21" operator="lessThan" dxfId="0">
      <formula>0</formula>
    </cfRule>
  </conditionalFormatting>
  <conditionalFormatting sqref="H39">
    <cfRule type="cellIs" priority="190" operator="lessThan" dxfId="0" stopIfTrue="1">
      <formula>0</formula>
    </cfRule>
  </conditionalFormatting>
  <conditionalFormatting sqref="I42">
    <cfRule type="cellIs" priority="337" operator="lessThan" dxfId="0" stopIfTrue="1">
      <formula>0</formula>
    </cfRule>
  </conditionalFormatting>
  <conditionalFormatting sqref="J42:K42">
    <cfRule type="cellIs" priority="306" operator="lessThan" dxfId="0" stopIfTrue="1">
      <formula>0</formula>
    </cfRule>
  </conditionalFormatting>
  <conditionalFormatting sqref="L42:N42">
    <cfRule type="cellIs" priority="79" operator="lessThan" dxfId="0" stopIfTrue="1">
      <formula>0</formula>
    </cfRule>
  </conditionalFormatting>
  <conditionalFormatting sqref="H54">
    <cfRule type="cellIs" priority="195" operator="lessThan" dxfId="0" stopIfTrue="1">
      <formula>0</formula>
    </cfRule>
  </conditionalFormatting>
  <conditionalFormatting sqref="H56">
    <cfRule type="cellIs" priority="203" operator="lessThan" dxfId="0" stopIfTrue="1">
      <formula>0</formula>
    </cfRule>
  </conditionalFormatting>
  <conditionalFormatting sqref="H57">
    <cfRule type="cellIs" priority="192" operator="lessThan" dxfId="0" stopIfTrue="1">
      <formula>0</formula>
    </cfRule>
  </conditionalFormatting>
  <conditionalFormatting sqref="H64">
    <cfRule type="cellIs" priority="213" operator="lessThan" dxfId="0" stopIfTrue="1">
      <formula>0</formula>
    </cfRule>
  </conditionalFormatting>
  <conditionalFormatting sqref="I64">
    <cfRule type="cellIs" priority="335" operator="lessThan" dxfId="0" stopIfTrue="1">
      <formula>0</formula>
    </cfRule>
  </conditionalFormatting>
  <conditionalFormatting sqref="J64:K64">
    <cfRule type="cellIs" priority="304" operator="lessThan" dxfId="0" stopIfTrue="1">
      <formula>0</formula>
    </cfRule>
  </conditionalFormatting>
  <conditionalFormatting sqref="L64:N64">
    <cfRule type="cellIs" priority="77" operator="lessThan" dxfId="0" stopIfTrue="1">
      <formula>0</formula>
    </cfRule>
  </conditionalFormatting>
  <conditionalFormatting sqref="H65">
    <cfRule type="cellIs" priority="207" operator="lessThan" dxfId="0" stopIfTrue="1">
      <formula>0</formula>
    </cfRule>
  </conditionalFormatting>
  <conditionalFormatting sqref="H66">
    <cfRule type="cellIs" priority="194" operator="lessThan" dxfId="0" stopIfTrue="1">
      <formula>0</formula>
    </cfRule>
  </conditionalFormatting>
  <conditionalFormatting sqref="H68">
    <cfRule type="cellIs" priority="212" operator="lessThan" dxfId="0" stopIfTrue="1">
      <formula>0</formula>
    </cfRule>
  </conditionalFormatting>
  <conditionalFormatting sqref="H74">
    <cfRule type="cellIs" priority="209" operator="lessThan" dxfId="0" stopIfTrue="1">
      <formula>0</formula>
    </cfRule>
  </conditionalFormatting>
  <conditionalFormatting sqref="I74">
    <cfRule type="cellIs" priority="333" operator="lessThan" dxfId="0" stopIfTrue="1">
      <formula>0</formula>
    </cfRule>
  </conditionalFormatting>
  <conditionalFormatting sqref="J74:K74">
    <cfRule type="cellIs" priority="302" operator="lessThan" dxfId="0" stopIfTrue="1">
      <formula>0</formula>
    </cfRule>
  </conditionalFormatting>
  <conditionalFormatting sqref="L74:N74">
    <cfRule type="cellIs" priority="75" operator="lessThan" dxfId="0" stopIfTrue="1">
      <formula>0</formula>
    </cfRule>
  </conditionalFormatting>
  <conditionalFormatting sqref="H76">
    <cfRule type="cellIs" priority="188" operator="lessThan" dxfId="0" stopIfTrue="1">
      <formula>0</formula>
    </cfRule>
  </conditionalFormatting>
  <conditionalFormatting sqref="H83">
    <cfRule type="cellIs" priority="193" operator="lessThan" dxfId="0" stopIfTrue="1">
      <formula>0</formula>
    </cfRule>
  </conditionalFormatting>
  <conditionalFormatting sqref="H86">
    <cfRule type="cellIs" priority="189" operator="lessThan" dxfId="0" stopIfTrue="1">
      <formula>0</formula>
    </cfRule>
  </conditionalFormatting>
  <conditionalFormatting sqref="I86">
    <cfRule type="cellIs" priority="331" operator="lessThan" dxfId="0" stopIfTrue="1">
      <formula>0</formula>
    </cfRule>
  </conditionalFormatting>
  <conditionalFormatting sqref="J86:K86">
    <cfRule type="cellIs" priority="300" operator="lessThan" dxfId="0" stopIfTrue="1">
      <formula>0</formula>
    </cfRule>
  </conditionalFormatting>
  <conditionalFormatting sqref="L86:N86">
    <cfRule type="cellIs" priority="73" operator="lessThan" dxfId="0" stopIfTrue="1">
      <formula>0</formula>
    </cfRule>
  </conditionalFormatting>
  <conditionalFormatting sqref="A87">
    <cfRule type="cellIs" priority="95" operator="lessThan" dxfId="0">
      <formula>0</formula>
    </cfRule>
  </conditionalFormatting>
  <conditionalFormatting sqref="I87">
    <cfRule type="cellIs" priority="276" operator="lessThan" dxfId="0" stopIfTrue="1">
      <formula>0</formula>
    </cfRule>
  </conditionalFormatting>
  <conditionalFormatting sqref="J87:K87">
    <cfRule type="cellIs" priority="275" operator="lessThan" dxfId="0" stopIfTrue="1">
      <formula>0</formula>
    </cfRule>
  </conditionalFormatting>
  <conditionalFormatting sqref="L87:N87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H100">
    <cfRule type="cellIs" priority="187" operator="lessThan" dxfId="0" stopIfTrue="1">
      <formula>0</formula>
    </cfRule>
  </conditionalFormatting>
  <conditionalFormatting sqref="A101">
    <cfRule type="cellIs" priority="94" operator="lessThan" dxfId="0">
      <formula>0</formula>
    </cfRule>
  </conditionalFormatting>
  <conditionalFormatting sqref="I101">
    <cfRule type="cellIs" priority="273" operator="lessThan" dxfId="0" stopIfTrue="1">
      <formula>0</formula>
    </cfRule>
  </conditionalFormatting>
  <conditionalFormatting sqref="J101:K101">
    <cfRule type="cellIs" priority="272" operator="lessThan" dxfId="0" stopIfTrue="1">
      <formula>0</formula>
    </cfRule>
  </conditionalFormatting>
  <conditionalFormatting sqref="L101:N101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A102">
    <cfRule type="cellIs" priority="93" operator="lessThan" dxfId="0">
      <formula>0</formula>
    </cfRule>
  </conditionalFormatting>
  <conditionalFormatting sqref="I102">
    <cfRule type="cellIs" priority="270" operator="lessThan" dxfId="0" stopIfTrue="1">
      <formula>0</formula>
    </cfRule>
  </conditionalFormatting>
  <conditionalFormatting sqref="J102:K102">
    <cfRule type="cellIs" priority="269" operator="lessThan" dxfId="0" stopIfTrue="1">
      <formula>0</formula>
    </cfRule>
  </conditionalFormatting>
  <conditionalFormatting sqref="L102:N102">
    <cfRule type="cellIs" priority="47" operator="lessThan" dxfId="0">
      <formula>0</formula>
    </cfRule>
    <cfRule type="cellIs" priority="48" operator="lessThan" dxfId="0" stopIfTrue="1">
      <formula>0</formula>
    </cfRule>
  </conditionalFormatting>
  <conditionalFormatting sqref="C105">
    <cfRule type="cellIs" priority="101" operator="lessThan" dxfId="0">
      <formula>0</formula>
    </cfRule>
  </conditionalFormatting>
  <conditionalFormatting sqref="C106">
    <cfRule type="cellIs" priority="102" operator="lessThan" dxfId="0">
      <formula>0</formula>
    </cfRule>
  </conditionalFormatting>
  <conditionalFormatting sqref="I106">
    <cfRule type="cellIs" priority="330" operator="lessThan" dxfId="0" stopIfTrue="1">
      <formula>0</formula>
    </cfRule>
  </conditionalFormatting>
  <conditionalFormatting sqref="J106:K106">
    <cfRule type="cellIs" priority="299" operator="lessThan" dxfId="0" stopIfTrue="1">
      <formula>0</formula>
    </cfRule>
  </conditionalFormatting>
  <conditionalFormatting sqref="L106:N106">
    <cfRule type="cellIs" priority="72" operator="lessThan" dxfId="0" stopIfTrue="1">
      <formula>0</formula>
    </cfRule>
  </conditionalFormatting>
  <conditionalFormatting sqref="A107">
    <cfRule type="cellIs" priority="92" operator="lessThan" dxfId="0">
      <formula>0</formula>
    </cfRule>
  </conditionalFormatting>
  <conditionalFormatting sqref="I107">
    <cfRule type="cellIs" priority="267" operator="lessThan" dxfId="0" stopIfTrue="1">
      <formula>0</formula>
    </cfRule>
  </conditionalFormatting>
  <conditionalFormatting sqref="J107:K107">
    <cfRule type="cellIs" priority="266" operator="lessThan" dxfId="0" stopIfTrue="1">
      <formula>0</formula>
    </cfRule>
  </conditionalFormatting>
  <conditionalFormatting sqref="L107:N107">
    <cfRule type="cellIs" priority="45" operator="lessThan" dxfId="0">
      <formula>0</formula>
    </cfRule>
    <cfRule type="cellIs" priority="46" operator="lessThan" dxfId="0" stopIfTrue="1">
      <formula>0</formula>
    </cfRule>
  </conditionalFormatting>
  <conditionalFormatting sqref="C117">
    <cfRule type="cellIs" priority="100" operator="lessThan" dxfId="0">
      <formula>0</formula>
    </cfRule>
  </conditionalFormatting>
  <conditionalFormatting sqref="H118">
    <cfRule type="cellIs" priority="205" operator="lessThan" dxfId="0" stopIfTrue="1">
      <formula>0</formula>
    </cfRule>
  </conditionalFormatting>
  <conditionalFormatting sqref="I118">
    <cfRule type="cellIs" priority="329" operator="lessThan" dxfId="0" stopIfTrue="1">
      <formula>0</formula>
    </cfRule>
  </conditionalFormatting>
  <conditionalFormatting sqref="J118:K118">
    <cfRule type="cellIs" priority="298" operator="lessThan" dxfId="0" stopIfTrue="1">
      <formula>0</formula>
    </cfRule>
  </conditionalFormatting>
  <conditionalFormatting sqref="L118:N118">
    <cfRule type="cellIs" priority="71" operator="lessThan" dxfId="0" stopIfTrue="1">
      <formula>0</formula>
    </cfRule>
  </conditionalFormatting>
  <conditionalFormatting sqref="H121">
    <cfRule type="cellIs" priority="198" operator="lessThan" dxfId="0" stopIfTrue="1">
      <formula>0</formula>
    </cfRule>
  </conditionalFormatting>
  <conditionalFormatting sqref="H122">
    <cfRule type="cellIs" priority="197" operator="lessThan" dxfId="0" stopIfTrue="1">
      <formula>0</formula>
    </cfRule>
  </conditionalFormatting>
  <conditionalFormatting sqref="A123">
    <cfRule type="cellIs" priority="91" operator="lessThan" dxfId="0">
      <formula>0</formula>
    </cfRule>
  </conditionalFormatting>
  <conditionalFormatting sqref="C124">
    <cfRule type="cellIs" priority="18" operator="lessThan" dxfId="0">
      <formula>0</formula>
    </cfRule>
  </conditionalFormatting>
  <conditionalFormatting sqref="H144">
    <cfRule type="cellIs" priority="211" operator="lessThan" dxfId="0" stopIfTrue="1">
      <formula>0</formula>
    </cfRule>
  </conditionalFormatting>
  <conditionalFormatting sqref="I147">
    <cfRule type="cellIs" priority="315" operator="lessThan" dxfId="0" stopIfTrue="1">
      <formula>0</formula>
    </cfRule>
  </conditionalFormatting>
  <conditionalFormatting sqref="J147:K147">
    <cfRule type="cellIs" priority="284" operator="lessThan" dxfId="0" stopIfTrue="1">
      <formula>0</formula>
    </cfRule>
  </conditionalFormatting>
  <conditionalFormatting sqref="L147:N147">
    <cfRule type="cellIs" priority="57" operator="lessThan" dxfId="0" stopIfTrue="1">
      <formula>0</formula>
    </cfRule>
  </conditionalFormatting>
  <conditionalFormatting sqref="C152">
    <cfRule type="cellIs" priority="99" operator="lessThan" dxfId="0">
      <formula>0</formula>
    </cfRule>
  </conditionalFormatting>
  <conditionalFormatting sqref="H153">
    <cfRule type="cellIs" priority="206" operator="lessThan" dxfId="0" stopIfTrue="1">
      <formula>0</formula>
    </cfRule>
  </conditionalFormatting>
  <conditionalFormatting sqref="H154">
    <cfRule type="cellIs" priority="196" operator="lessThan" dxfId="0" stopIfTrue="1">
      <formula>0</formula>
    </cfRule>
  </conditionalFormatting>
  <conditionalFormatting sqref="H155">
    <cfRule type="cellIs" priority="191" operator="lessThan" dxfId="0" stopIfTrue="1">
      <formula>0</formula>
    </cfRule>
  </conditionalFormatting>
  <conditionalFormatting sqref="C181">
    <cfRule type="cellIs" priority="98" operator="lessThan" dxfId="0">
      <formula>0</formula>
    </cfRule>
  </conditionalFormatting>
  <conditionalFormatting sqref="C185">
    <cfRule type="cellIs" priority="15" operator="lessThan" dxfId="0">
      <formula>0</formula>
    </cfRule>
  </conditionalFormatting>
  <conditionalFormatting sqref="A204">
    <cfRule type="cellIs" priority="12" operator="lessThan" dxfId="0">
      <formula>0</formula>
    </cfRule>
  </conditionalFormatting>
  <conditionalFormatting sqref="H224">
    <cfRule type="cellIs" priority="182" operator="lessThan" dxfId="0" stopIfTrue="1">
      <formula>0</formula>
    </cfRule>
  </conditionalFormatting>
  <conditionalFormatting sqref="I224">
    <cfRule type="cellIs" priority="338" operator="lessThan" dxfId="0" stopIfTrue="1">
      <formula>0</formula>
    </cfRule>
  </conditionalFormatting>
  <conditionalFormatting sqref="J224:K224">
    <cfRule type="cellIs" priority="307" operator="lessThan" dxfId="0" stopIfTrue="1">
      <formula>0</formula>
    </cfRule>
  </conditionalFormatting>
  <conditionalFormatting sqref="L224:N224">
    <cfRule type="cellIs" priority="80" operator="lessThan" dxfId="0" stopIfTrue="1">
      <formula>0</formula>
    </cfRule>
  </conditionalFormatting>
  <conditionalFormatting sqref="C226">
    <cfRule type="cellIs" priority="97" operator="lessThan" dxfId="0">
      <formula>0</formula>
    </cfRule>
  </conditionalFormatting>
  <conditionalFormatting sqref="I226">
    <cfRule type="cellIs" priority="324" operator="lessThan" dxfId="0" stopIfTrue="1">
      <formula>0</formula>
    </cfRule>
  </conditionalFormatting>
  <conditionalFormatting sqref="J226:K226">
    <cfRule type="cellIs" priority="293" operator="lessThan" dxfId="0" stopIfTrue="1">
      <formula>0</formula>
    </cfRule>
  </conditionalFormatting>
  <conditionalFormatting sqref="L226:N226">
    <cfRule type="cellIs" priority="66" operator="lessThan" dxfId="0" stopIfTrue="1">
      <formula>0</formula>
    </cfRule>
  </conditionalFormatting>
  <conditionalFormatting sqref="I228">
    <cfRule type="cellIs" priority="314" operator="lessThan" dxfId="0" stopIfTrue="1">
      <formula>0</formula>
    </cfRule>
  </conditionalFormatting>
  <conditionalFormatting sqref="J228:K228">
    <cfRule type="cellIs" priority="283" operator="lessThan" dxfId="0" stopIfTrue="1">
      <formula>0</formula>
    </cfRule>
  </conditionalFormatting>
  <conditionalFormatting sqref="L228:N228">
    <cfRule type="cellIs" priority="56" operator="lessThan" dxfId="0" stopIfTrue="1">
      <formula>0</formula>
    </cfRule>
  </conditionalFormatting>
  <conditionalFormatting sqref="H230">
    <cfRule type="cellIs" priority="210" operator="lessThan" dxfId="0" stopIfTrue="1">
      <formula>0</formula>
    </cfRule>
  </conditionalFormatting>
  <conditionalFormatting sqref="I230">
    <cfRule type="cellIs" priority="323" operator="lessThan" dxfId="0" stopIfTrue="1">
      <formula>0</formula>
    </cfRule>
  </conditionalFormatting>
  <conditionalFormatting sqref="J230:K230">
    <cfRule type="cellIs" priority="292" operator="lessThan" dxfId="0" stopIfTrue="1">
      <formula>0</formula>
    </cfRule>
  </conditionalFormatting>
  <conditionalFormatting sqref="L230:N230">
    <cfRule type="cellIs" priority="65" operator="lessThan" dxfId="0" stopIfTrue="1">
      <formula>0</formula>
    </cfRule>
  </conditionalFormatting>
  <conditionalFormatting sqref="C235">
    <cfRule type="cellIs" priority="9" operator="lessThan" dxfId="0">
      <formula>0</formula>
    </cfRule>
  </conditionalFormatting>
  <conditionalFormatting sqref="H244">
    <cfRule type="cellIs" priority="185" operator="lessThan" dxfId="0" stopIfTrue="1">
      <formula>0</formula>
    </cfRule>
  </conditionalFormatting>
  <conditionalFormatting sqref="H245">
    <cfRule type="cellIs" priority="202" operator="lessThan" dxfId="0" stopIfTrue="1">
      <formula>0</formula>
    </cfRule>
  </conditionalFormatting>
  <conditionalFormatting sqref="H248">
    <cfRule type="cellIs" priority="184" operator="lessThan" dxfId="0" stopIfTrue="1">
      <formula>0</formula>
    </cfRule>
  </conditionalFormatting>
  <conditionalFormatting sqref="H270">
    <cfRule type="cellIs" priority="200" operator="lessThan" dxfId="0" stopIfTrue="1">
      <formula>0</formula>
    </cfRule>
  </conditionalFormatting>
  <conditionalFormatting sqref="B26:B27">
    <cfRule type="cellIs" priority="2" operator="lessThan" dxfId="0">
      <formula>0</formula>
    </cfRule>
  </conditionalFormatting>
  <conditionalFormatting sqref="C26:C27">
    <cfRule type="cellIs" priority="1" operator="lessThan" dxfId="0">
      <formula>0</formula>
    </cfRule>
  </conditionalFormatting>
  <conditionalFormatting sqref="E1:E8">
    <cfRule type="cellIs" priority="346" operator="lessThan" dxfId="0" stopIfTrue="1">
      <formula>0</formula>
    </cfRule>
  </conditionalFormatting>
  <conditionalFormatting sqref="E26:E27">
    <cfRule type="cellIs" priority="5" operator="lessThan" dxfId="0">
      <formula>0</formula>
    </cfRule>
    <cfRule type="cellIs" priority="6" operator="lessThan" dxfId="0" stopIfTrue="1">
      <formula>0</formula>
    </cfRule>
  </conditionalFormatting>
  <conditionalFormatting sqref="H48:H49">
    <cfRule type="cellIs" priority="214" operator="lessThan" dxfId="0" stopIfTrue="1">
      <formula>0</formula>
    </cfRule>
  </conditionalFormatting>
  <conditionalFormatting sqref="H135:H136">
    <cfRule type="cellIs" priority="204" operator="lessThan" dxfId="0" stopIfTrue="1">
      <formula>0</formula>
    </cfRule>
  </conditionalFormatting>
  <conditionalFormatting sqref="H202:H204">
    <cfRule type="cellIs" priority="201" operator="lessThan" dxfId="0" stopIfTrue="1">
      <formula>0</formula>
    </cfRule>
  </conditionalFormatting>
  <conditionalFormatting sqref="H246:H247">
    <cfRule type="cellIs" priority="186" operator="lessThan" dxfId="0" stopIfTrue="1">
      <formula>0</formula>
    </cfRule>
  </conditionalFormatting>
  <conditionalFormatting sqref="H271:H275">
    <cfRule type="cellIs" priority="278" operator="lessThan" dxfId="0" stopIfTrue="1">
      <formula>0</formula>
    </cfRule>
  </conditionalFormatting>
  <conditionalFormatting sqref="I48:I49">
    <cfRule type="cellIs" priority="336" operator="lessThan" dxfId="0" stopIfTrue="1">
      <formula>0</formula>
    </cfRule>
  </conditionalFormatting>
  <conditionalFormatting sqref="I50:I51">
    <cfRule type="cellIs" priority="320" operator="lessThan" dxfId="0" stopIfTrue="1">
      <formula>0</formula>
    </cfRule>
  </conditionalFormatting>
  <conditionalFormatting sqref="I65:I66">
    <cfRule type="cellIs" priority="319" operator="lessThan" dxfId="0" stopIfTrue="1">
      <formula>0</formula>
    </cfRule>
  </conditionalFormatting>
  <conditionalFormatting sqref="I68:I69">
    <cfRule type="cellIs" priority="334" operator="lessThan" dxfId="0" stopIfTrue="1">
      <formula>0</formula>
    </cfRule>
  </conditionalFormatting>
  <conditionalFormatting sqref="I76:I78">
    <cfRule type="cellIs" priority="332" operator="lessThan" dxfId="0" stopIfTrue="1">
      <formula>0</formula>
    </cfRule>
  </conditionalFormatting>
  <conditionalFormatting sqref="I119:I122">
    <cfRule type="cellIs" priority="316" operator="lessThan" dxfId="0" stopIfTrue="1">
      <formula>0</formula>
    </cfRule>
  </conditionalFormatting>
  <conditionalFormatting sqref="I123:I124">
    <cfRule type="cellIs" priority="264" operator="lessThan" dxfId="0" stopIfTrue="1">
      <formula>0</formula>
    </cfRule>
  </conditionalFormatting>
  <conditionalFormatting sqref="I144:I146">
    <cfRule type="cellIs" priority="328" operator="lessThan" dxfId="0" stopIfTrue="1">
      <formula>0</formula>
    </cfRule>
  </conditionalFormatting>
  <conditionalFormatting sqref="I153:I155">
    <cfRule type="cellIs" priority="318" operator="lessThan" dxfId="0" stopIfTrue="1">
      <formula>0</formula>
    </cfRule>
  </conditionalFormatting>
  <conditionalFormatting sqref="I166:I169">
    <cfRule type="cellIs" priority="327" operator="lessThan" dxfId="0" stopIfTrue="1">
      <formula>0</formula>
    </cfRule>
  </conditionalFormatting>
  <conditionalFormatting sqref="I181:I182">
    <cfRule type="cellIs" priority="326" operator="lessThan" dxfId="0" stopIfTrue="1">
      <formula>0</formula>
    </cfRule>
  </conditionalFormatting>
  <conditionalFormatting sqref="I200:I204">
    <cfRule type="cellIs" priority="317" operator="lessThan" dxfId="0" stopIfTrue="1">
      <formula>0</formula>
    </cfRule>
  </conditionalFormatting>
  <conditionalFormatting sqref="I218:I222">
    <cfRule type="cellIs" priority="325" operator="lessThan" dxfId="0" stopIfTrue="1">
      <formula>0</formula>
    </cfRule>
  </conditionalFormatting>
  <conditionalFormatting sqref="I234:I235">
    <cfRule type="cellIs" priority="322" operator="lessThan" dxfId="0" stopIfTrue="1">
      <formula>0</formula>
    </cfRule>
  </conditionalFormatting>
  <conditionalFormatting sqref="Q3:Q8">
    <cfRule type="cellIs" priority="345" operator="lessThan" dxfId="0" stopIfTrue="1">
      <formula>0</formula>
    </cfRule>
  </conditionalFormatting>
  <conditionalFormatting sqref="A1:A7 A9:A24 A29:A37 A39:A86 A88:A100 A103:A106 A108:A122 A125:A155 A157:A182 A186:A203 A205:A207 A209:A211 A213:A226 A228:A234 A236:A246 A248:A277 A280:A287 A289:A65536">
    <cfRule type="cellIs" priority="96" operator="lessThan" dxfId="0">
      <formula>0</formula>
    </cfRule>
  </conditionalFormatting>
  <conditionalFormatting sqref="B1:B7 B9:B24 B29:B37 B39:B86 B88:B100 B103:B106 B108:B122 B125:B155 B157:B182 B186:B203 B205:B207 B209:B211 B213:B226 B228:B234 B236:B246 B248:B277 B280:B287 B289:K65536 D1:E7 D9:D24 D29:D37 D39:D86 D88:D100 D103:D106 D108:D122 D125:D155 D157:D182 D186:D203 D205:D207 D209:D211 D213:D226 D228:D234 D236:D246 D248:D277 D280:D287 E8 G2:G8 H271:H275 H276:K277 H280:K287 I1:K86 I88:K100 I103:K106 I108:K122 I125:K155 I157:K182 I186:K207 I209:K211 I213:K226 I228:K275 O2:S8 O289:IV65536 T1:IV288">
    <cfRule type="cellIs" priority="277" operator="lessThan" dxfId="0">
      <formula>0</formula>
    </cfRule>
  </conditionalFormatting>
  <conditionalFormatting sqref="C1 C3:C7 C9:C24 C29:C37 C39:C92 C101:C102 C107 C123 C156 C183:C184 C208 C212 C227">
    <cfRule type="cellIs" priority="103" operator="lessThan" dxfId="0">
      <formula>0</formula>
    </cfRule>
  </conditionalFormatting>
  <conditionalFormatting sqref="F1:G1 O1:S1">
    <cfRule type="cellIs" priority="35" operator="lessThan" dxfId="0">
      <formula>0</formula>
    </cfRule>
    <cfRule type="cellIs" priority="36" operator="lessThan" dxfId="0" stopIfTrue="1">
      <formula>0</formula>
    </cfRule>
  </conditionalFormatting>
  <conditionalFormatting sqref="H1:H8 H10:H38 H40:H41 H44:H47 H50:H51 H53 H55 H59:H63 H69 H71:H73 H77:H78 H80:H82 H84 H87 H90:H99 H101:H107 H109:H117 H119:H120 H123:H124 H126:H134 H138:H143 H145:H147 H149:H152 H156 H158:H169 H171:H185 H187:H201 H206:H222 H225:H227 H229 H232:H235 H237:H243 H250:H256 H258:H269">
    <cfRule type="cellIs" priority="215" operator="lessThan" dxfId="0" stopIfTrue="1">
      <formula>0</formula>
    </cfRule>
  </conditionalFormatting>
  <conditionalFormatting sqref="I1:I41 I43:I47 I52:I63 I67 I70:I73 I75 I80:I85 I88:I100 I103:I105 I108:I117 I125:I143 I148:I152 I157:I165 I170:I180 I186:I199 I206:I207 I209:I211 I213:I217 I225 I229 I231:I233 I236:I275">
    <cfRule type="cellIs" priority="339" operator="lessThan" dxfId="0" stopIfTrue="1">
      <formula>0</formula>
    </cfRule>
  </conditionalFormatting>
  <conditionalFormatting sqref="J1:K41 J43:K47 J52:K63 J67:K67 J70:K73 J75:K75 J80:K85 J88:K100 J103:K105 J108:K117 J125:K143 J148:K152 J157:K165 J170:K180 J186:K199 J206:K207 J209:K211 J213:K217 J225:K225 J229:K229 J231:K233 J236:K275">
    <cfRule type="cellIs" priority="308" operator="lessThan" dxfId="0" stopIfTrue="1">
      <formula>0</formula>
    </cfRule>
  </conditionalFormatting>
  <conditionalFormatting sqref="L1:N41 L43:N47 L52:N63 L67:N67 L70:N73 L75:N75 L80:N85 L88:N100 L103:N105 L108:N117 L125:N143 L148:N152 L157:N165 L170:N180 L186:N199 L206:N207 L209:N211 L213:N217 L225:N225 L229:N229 L231:N233 L236:N275">
    <cfRule type="cellIs" priority="81" operator="lessThan" dxfId="0" stopIfTrue="1">
      <formula>0</formula>
    </cfRule>
  </conditionalFormatting>
  <conditionalFormatting sqref="L1:N86 L88:N100 L103:N106 L108:N122 L125:N155 L157:N182 L186:N207 L209:N211 L213:N226 L228:N277 L280:N287 L289:N65536">
    <cfRule type="cellIs" priority="53" operator="lessThan" dxfId="0">
      <formula>0</formula>
    </cfRule>
  </conditionalFormatting>
  <conditionalFormatting sqref="E9:E24 E25:F25 E28:F41 E43:G86 E88:H88 E90:G100 E103:G106 E108:G122 E125:G155 E157:G182 E186:G207 E209:G211 E213:G226 E229:G277 E280:G287 F2:F24 F26:F27 G9:G41 H9 H43 H52 H58 H67 H70 H75 H79 H85 H108 H125 H137 H148 H157 H170 H186 H205 H223 H231 H236 H249 H257 O9:S41 O43:S86 O88:S88 O90:S100 O103:S106 O108:S122 O125:S155 O157:S182 O186:S207 O209:S211 O213:S226 O229:S277 O280:S287">
    <cfRule type="cellIs" priority="181" operator="lessThan" dxfId="0" stopIfTrue="1">
      <formula>0</formula>
    </cfRule>
  </conditionalFormatting>
  <conditionalFormatting sqref="E9:E25 E28:E86 E88:H88 E90:G100 E103:G106 E108:G122 E125:G155 E157:G182 E186:G207 E209:G211 E213:G226 E228:G277 E280:G287 F2:F85 F86:G86 G9:G66 G67:H67 G68:G85 H9 H42:H43 H52 H58 H70 H75 H79 H85 H108 H125 H137 H148 H157 H170 H186 H205 H223 H228 H231 H236 H249 H257 O9:S86 O88:S88 O90:S100 O103:S106 O108:S122 O125:S155 O157:S182 O186:S207 O209:S211 O213:S226 O228:S277 O280:S287">
    <cfRule type="cellIs" priority="176" operator="lessThan" dxfId="0">
      <formula>0</formula>
    </cfRule>
  </conditionalFormatting>
  <conditionalFormatting sqref="G2:G8 O2:S2 O3:P8 R3:S8">
    <cfRule type="cellIs" priority="348" operator="lessThan" dxfId="0" stopIfTrue="1">
      <formula>0</formula>
    </cfRule>
  </conditionalFormatting>
  <conditionalFormatting sqref="B8 D8">
    <cfRule type="cellIs" priority="30" operator="lessThan" dxfId="0">
      <formula>0</formula>
    </cfRule>
  </conditionalFormatting>
  <conditionalFormatting sqref="A25 A28">
    <cfRule type="cellIs" priority="24" operator="lessThan" dxfId="0">
      <formula>0</formula>
    </cfRule>
  </conditionalFormatting>
  <conditionalFormatting sqref="B25 B28 D25 D28">
    <cfRule type="cellIs" priority="26" operator="lessThan" dxfId="0">
      <formula>0</formula>
    </cfRule>
  </conditionalFormatting>
  <conditionalFormatting sqref="C25 C28">
    <cfRule type="cellIs" priority="25" operator="lessThan" dxfId="0">
      <formula>0</formula>
    </cfRule>
  </conditionalFormatting>
  <conditionalFormatting sqref="A26:A27 D26:D27">
    <cfRule type="cellIs" priority="3" operator="lessThan" dxfId="0">
      <formula>0</formula>
    </cfRule>
  </conditionalFormatting>
  <conditionalFormatting sqref="A38:B38 D38">
    <cfRule type="cellIs" priority="22" operator="lessThan" dxfId="0">
      <formula>0</formula>
    </cfRule>
  </conditionalFormatting>
  <conditionalFormatting sqref="E42:H42 O42:S42">
    <cfRule type="cellIs" priority="180" operator="lessThan" dxfId="0" stopIfTrue="1">
      <formula>0</formula>
    </cfRule>
  </conditionalFormatting>
  <conditionalFormatting sqref="J48:K49">
    <cfRule type="cellIs" priority="305" operator="lessThan" dxfId="0" stopIfTrue="1">
      <formula>0</formula>
    </cfRule>
  </conditionalFormatting>
  <conditionalFormatting sqref="L48:N49">
    <cfRule type="cellIs" priority="78" operator="lessThan" dxfId="0" stopIfTrue="1">
      <formula>0</formula>
    </cfRule>
  </conditionalFormatting>
  <conditionalFormatting sqref="J50:K51">
    <cfRule type="cellIs" priority="289" operator="lessThan" dxfId="0" stopIfTrue="1">
      <formula>0</formula>
    </cfRule>
  </conditionalFormatting>
  <conditionalFormatting sqref="L50:N51">
    <cfRule type="cellIs" priority="62" operator="lessThan" dxfId="0" stopIfTrue="1">
      <formula>0</formula>
    </cfRule>
  </conditionalFormatting>
  <conditionalFormatting sqref="J65:K66">
    <cfRule type="cellIs" priority="288" operator="lessThan" dxfId="0" stopIfTrue="1">
      <formula>0</formula>
    </cfRule>
  </conditionalFormatting>
  <conditionalFormatting sqref="L65:N66">
    <cfRule type="cellIs" priority="61" operator="lessThan" dxfId="0" stopIfTrue="1">
      <formula>0</formula>
    </cfRule>
  </conditionalFormatting>
  <conditionalFormatting sqref="J68:K69">
    <cfRule type="cellIs" priority="303" operator="lessThan" dxfId="0" stopIfTrue="1">
      <formula>0</formula>
    </cfRule>
  </conditionalFormatting>
  <conditionalFormatting sqref="L68:N69">
    <cfRule type="cellIs" priority="76" operator="lessThan" dxfId="0" stopIfTrue="1">
      <formula>0</formula>
    </cfRule>
  </conditionalFormatting>
  <conditionalFormatting sqref="J76:K78">
    <cfRule type="cellIs" priority="301" operator="lessThan" dxfId="0" stopIfTrue="1">
      <formula>0</formula>
    </cfRule>
  </conditionalFormatting>
  <conditionalFormatting sqref="L76:N78">
    <cfRule type="cellIs" priority="74" operator="lessThan" dxfId="0" stopIfTrue="1">
      <formula>0</formula>
    </cfRule>
  </conditionalFormatting>
  <conditionalFormatting sqref="I79 I205 I223">
    <cfRule type="cellIs" priority="340" operator="lessThan" dxfId="0" stopIfTrue="1">
      <formula>0</formula>
    </cfRule>
  </conditionalFormatting>
  <conditionalFormatting sqref="J79:K79 J205:K205 J223:K223">
    <cfRule type="cellIs" priority="309" operator="lessThan" dxfId="0" stopIfTrue="1">
      <formula>0</formula>
    </cfRule>
  </conditionalFormatting>
  <conditionalFormatting sqref="L79:N79 L205:N205 L223:N223">
    <cfRule type="cellIs" priority="82" operator="lessThan" dxfId="0" stopIfTrue="1">
      <formula>0</formula>
    </cfRule>
  </conditionalFormatting>
  <conditionalFormatting sqref="B87 D87 I87:K87">
    <cfRule type="cellIs" priority="274" operator="lessThan" dxfId="0">
      <formula>0</formula>
    </cfRule>
  </conditionalFormatting>
  <conditionalFormatting sqref="E87:G87 O87:S87">
    <cfRule type="cellIs" priority="174" operator="lessThan" dxfId="0">
      <formula>0</formula>
    </cfRule>
    <cfRule type="cellIs" priority="175" operator="lessThan" dxfId="0" stopIfTrue="1">
      <formula>0</formula>
    </cfRule>
  </conditionalFormatting>
  <conditionalFormatting sqref="E89:H89 O89:S89">
    <cfRule type="cellIs" priority="104" operator="lessThan" dxfId="0" stopIfTrue="1">
      <formula>0</formula>
    </cfRule>
  </conditionalFormatting>
  <conditionalFormatting sqref="B101 D101 I101:K101">
    <cfRule type="cellIs" priority="271" operator="lessThan" dxfId="0">
      <formula>0</formula>
    </cfRule>
  </conditionalFormatting>
  <conditionalFormatting sqref="E101:G101 O101:S101">
    <cfRule type="cellIs" priority="172" operator="lessThan" dxfId="0">
      <formula>0</formula>
    </cfRule>
    <cfRule type="cellIs" priority="173" operator="lessThan" dxfId="0" stopIfTrue="1">
      <formula>0</formula>
    </cfRule>
  </conditionalFormatting>
  <conditionalFormatting sqref="B102 D102 I102:K102">
    <cfRule type="cellIs" priority="268" operator="lessThan" dxfId="0">
      <formula>0</formula>
    </cfRule>
  </conditionalFormatting>
  <conditionalFormatting sqref="E102:G102 O102:S102">
    <cfRule type="cellIs" priority="170" operator="lessThan" dxfId="0">
      <formula>0</formula>
    </cfRule>
    <cfRule type="cellIs" priority="171" operator="lessThan" dxfId="0" stopIfTrue="1">
      <formula>0</formula>
    </cfRule>
  </conditionalFormatting>
  <conditionalFormatting sqref="B107 D107 I107:K107">
    <cfRule type="cellIs" priority="265" operator="lessThan" dxfId="0">
      <formula>0</formula>
    </cfRule>
  </conditionalFormatting>
  <conditionalFormatting sqref="E107:G107 O107:S107">
    <cfRule type="cellIs" priority="168" operator="lessThan" dxfId="0">
      <formula>0</formula>
    </cfRule>
    <cfRule type="cellIs" priority="169" operator="lessThan" dxfId="0" stopIfTrue="1">
      <formula>0</formula>
    </cfRule>
  </conditionalFormatting>
  <conditionalFormatting sqref="J119:K122">
    <cfRule type="cellIs" priority="285" operator="lessThan" dxfId="0" stopIfTrue="1">
      <formula>0</formula>
    </cfRule>
  </conditionalFormatting>
  <conditionalFormatting sqref="L119:N122">
    <cfRule type="cellIs" priority="58" operator="lessThan" dxfId="0" stopIfTrue="1">
      <formula>0</formula>
    </cfRule>
  </conditionalFormatting>
  <conditionalFormatting sqref="B123 D123 I123:K124">
    <cfRule type="cellIs" priority="262" operator="lessThan" dxfId="0">
      <formula>0</formula>
    </cfRule>
  </conditionalFormatting>
  <conditionalFormatting sqref="E123:G124 O123:S124">
    <cfRule type="cellIs" priority="166" operator="lessThan" dxfId="0">
      <formula>0</formula>
    </cfRule>
    <cfRule type="cellIs" priority="167" operator="lessThan" dxfId="0" stopIfTrue="1">
      <formula>0</formula>
    </cfRule>
  </conditionalFormatting>
  <conditionalFormatting sqref="J123:K124">
    <cfRule type="cellIs" priority="263" operator="lessThan" dxfId="0" stopIfTrue="1">
      <formula>0</formula>
    </cfRule>
  </conditionalFormatting>
  <conditionalFormatting sqref="L123:N124">
    <cfRule type="cellIs" priority="43" operator="lessThan" dxfId="0">
      <formula>0</formula>
    </cfRule>
    <cfRule type="cellIs" priority="44" operator="lessThan" dxfId="0" stopIfTrue="1">
      <formula>0</formula>
    </cfRule>
  </conditionalFormatting>
  <conditionalFormatting sqref="A124:B124 D124">
    <cfRule type="cellIs" priority="19" operator="lessThan" dxfId="0">
      <formula>0</formula>
    </cfRule>
  </conditionalFormatting>
  <conditionalFormatting sqref="J144:K146">
    <cfRule type="cellIs" priority="297" operator="lessThan" dxfId="0" stopIfTrue="1">
      <formula>0</formula>
    </cfRule>
  </conditionalFormatting>
  <conditionalFormatting sqref="L144:N146">
    <cfRule type="cellIs" priority="70" operator="lessThan" dxfId="0" stopIfTrue="1">
      <formula>0</formula>
    </cfRule>
  </conditionalFormatting>
  <conditionalFormatting sqref="J153:K155">
    <cfRule type="cellIs" priority="287" operator="lessThan" dxfId="0" stopIfTrue="1">
      <formula>0</formula>
    </cfRule>
  </conditionalFormatting>
  <conditionalFormatting sqref="L153:N155">
    <cfRule type="cellIs" priority="60" operator="lessThan" dxfId="0" stopIfTrue="1">
      <formula>0</formula>
    </cfRule>
  </conditionalFormatting>
  <conditionalFormatting sqref="A156 A183:A184 A208 A212 A227">
    <cfRule type="cellIs" priority="90" operator="lessThan" dxfId="0">
      <formula>0</formula>
    </cfRule>
  </conditionalFormatting>
  <conditionalFormatting sqref="B156 B183:B184 B208 B212 B227 D156 D183:D184 D208 D212 D227 I156:K156 I183:K185 I208:K208 I212:K212 I227:K227">
    <cfRule type="cellIs" priority="259" operator="lessThan" dxfId="0">
      <formula>0</formula>
    </cfRule>
  </conditionalFormatting>
  <conditionalFormatting sqref="E156:G156 E183:G185 E208:G208 E212:G212 E227:G227 O156:S156 O183:S185 O208:S208 O212:S212 O227:S227">
    <cfRule type="cellIs" priority="165" operator="lessThan" dxfId="0" stopIfTrue="1">
      <formula>0</formula>
    </cfRule>
    <cfRule type="cellIs" priority="164" operator="lessThan" dxfId="0">
      <formula>0</formula>
    </cfRule>
  </conditionalFormatting>
  <conditionalFormatting sqref="I156 I183:I185 I208 I212 I227">
    <cfRule type="cellIs" priority="261" operator="lessThan" dxfId="0" stopIfTrue="1">
      <formula>0</formula>
    </cfRule>
  </conditionalFormatting>
  <conditionalFormatting sqref="J156:K156 J183:K185 J208:K208 J212:K212 J227:K227">
    <cfRule type="cellIs" priority="260" operator="lessThan" dxfId="0" stopIfTrue="1">
      <formula>0</formula>
    </cfRule>
  </conditionalFormatting>
  <conditionalFormatting sqref="L156:N156 L183:N185 L208:N208 L212:N212 L227:N227">
    <cfRule type="cellIs" priority="42" operator="lessThan" dxfId="0" stopIfTrue="1">
      <formula>0</formula>
    </cfRule>
    <cfRule type="cellIs" priority="41" operator="lessThan" dxfId="0">
      <formula>0</formula>
    </cfRule>
  </conditionalFormatting>
  <conditionalFormatting sqref="J166:K169">
    <cfRule type="cellIs" priority="296" operator="lessThan" dxfId="0" stopIfTrue="1">
      <formula>0</formula>
    </cfRule>
  </conditionalFormatting>
  <conditionalFormatting sqref="L166:N169">
    <cfRule type="cellIs" priority="69" operator="lessThan" dxfId="0" stopIfTrue="1">
      <formula>0</formula>
    </cfRule>
  </conditionalFormatting>
  <conditionalFormatting sqref="J181:K182">
    <cfRule type="cellIs" priority="295" operator="lessThan" dxfId="0" stopIfTrue="1">
      <formula>0</formula>
    </cfRule>
  </conditionalFormatting>
  <conditionalFormatting sqref="L181:N182">
    <cfRule type="cellIs" priority="68" operator="lessThan" dxfId="0" stopIfTrue="1">
      <formula>0</formula>
    </cfRule>
  </conditionalFormatting>
  <conditionalFormatting sqref="A185:B185 D185">
    <cfRule type="cellIs" priority="16" operator="lessThan" dxfId="0">
      <formula>0</formula>
    </cfRule>
  </conditionalFormatting>
  <conditionalFormatting sqref="J200:K204">
    <cfRule type="cellIs" priority="286" operator="lessThan" dxfId="0" stopIfTrue="1">
      <formula>0</formula>
    </cfRule>
  </conditionalFormatting>
  <conditionalFormatting sqref="L200:N204">
    <cfRule type="cellIs" priority="59" operator="lessThan" dxfId="0" stopIfTrue="1">
      <formula>0</formula>
    </cfRule>
  </conditionalFormatting>
  <conditionalFormatting sqref="B204 D204">
    <cfRule type="cellIs" priority="13" operator="lessThan" dxfId="0">
      <formula>0</formula>
    </cfRule>
  </conditionalFormatting>
  <conditionalFormatting sqref="J218:K222">
    <cfRule type="cellIs" priority="294" operator="lessThan" dxfId="0" stopIfTrue="1">
      <formula>0</formula>
    </cfRule>
  </conditionalFormatting>
  <conditionalFormatting sqref="L218:N222">
    <cfRule type="cellIs" priority="67" operator="lessThan" dxfId="0" stopIfTrue="1">
      <formula>0</formula>
    </cfRule>
  </conditionalFormatting>
  <conditionalFormatting sqref="E228:H228 O228:S228">
    <cfRule type="cellIs" priority="179" operator="lessThan" dxfId="0" stopIfTrue="1">
      <formula>0</formula>
    </cfRule>
  </conditionalFormatting>
  <conditionalFormatting sqref="J234:K235">
    <cfRule type="cellIs" priority="291" operator="lessThan" dxfId="0" stopIfTrue="1">
      <formula>0</formula>
    </cfRule>
  </conditionalFormatting>
  <conditionalFormatting sqref="L234:N235">
    <cfRule type="cellIs" priority="64" operator="lessThan" dxfId="0" stopIfTrue="1">
      <formula>0</formula>
    </cfRule>
  </conditionalFormatting>
  <conditionalFormatting sqref="A235:B235 D235">
    <cfRule type="cellIs" priority="10" operator="lessThan" dxfId="0">
      <formula>0</formula>
    </cfRule>
  </conditionalFormatting>
  <conditionalFormatting sqref="A247:B247 D247">
    <cfRule type="cellIs" priority="7" operator="lessThan" dxfId="0">
      <formula>0</formula>
    </cfRule>
  </conditionalFormatting>
  <conditionalFormatting sqref="H276:H277 H280:H287">
    <cfRule type="cellIs" priority="279" operator="lessThan" dxfId="0" stopIfTrue="1">
      <formula>0</formula>
    </cfRule>
  </conditionalFormatting>
  <conditionalFormatting sqref="I276:I277 I280:I287">
    <cfRule type="cellIs" priority="341" operator="lessThan" dxfId="0" stopIfTrue="1">
      <formula>0</formula>
    </cfRule>
  </conditionalFormatting>
  <conditionalFormatting sqref="J276:K277 J280:K287">
    <cfRule type="cellIs" priority="310" operator="lessThan" dxfId="0" stopIfTrue="1">
      <formula>0</formula>
    </cfRule>
  </conditionalFormatting>
  <conditionalFormatting sqref="L276:N277 L280:N287">
    <cfRule type="cellIs" priority="83" operator="lessThan" dxfId="0" stopIfTrue="1">
      <formula>0</formula>
    </cfRule>
  </conditionalFormatting>
  <conditionalFormatting sqref="A278:A279 A288">
    <cfRule type="cellIs" priority="89" operator="lessThan" dxfId="0">
      <formula>0</formula>
    </cfRule>
  </conditionalFormatting>
  <conditionalFormatting sqref="B278:B279 B288 D278:D279 D288 I278:K279 I288:K288">
    <cfRule type="cellIs" priority="256" operator="lessThan" dxfId="0">
      <formula>0</formula>
    </cfRule>
  </conditionalFormatting>
  <conditionalFormatting sqref="C278:C279 C288">
    <cfRule type="cellIs" priority="231" operator="lessThan" dxfId="0">
      <formula>0</formula>
    </cfRule>
  </conditionalFormatting>
  <conditionalFormatting sqref="E278:G279 E288:G288 O278:S279 O288:S288">
    <cfRule type="cellIs" priority="163" operator="lessThan" dxfId="0" stopIfTrue="1">
      <formula>0</formula>
    </cfRule>
    <cfRule type="cellIs" priority="162" operator="lessThan" dxfId="0">
      <formula>0</formula>
    </cfRule>
  </conditionalFormatting>
  <conditionalFormatting sqref="H278:H279 H288">
    <cfRule type="cellIs" priority="255" operator="lessThan" dxfId="0" stopIfTrue="1">
      <formula>0</formula>
    </cfRule>
  </conditionalFormatting>
  <conditionalFormatting sqref="I278:I279 I288">
    <cfRule type="cellIs" priority="258" operator="lessThan" dxfId="0" stopIfTrue="1">
      <formula>0</formula>
    </cfRule>
  </conditionalFormatting>
  <conditionalFormatting sqref="J278:K279 J288:K288">
    <cfRule type="cellIs" priority="257" operator="lessThan" dxfId="0" stopIfTrue="1">
      <formula>0</formula>
    </cfRule>
  </conditionalFormatting>
  <conditionalFormatting sqref="L278:N279 L288:N288">
    <cfRule type="cellIs" priority="39" operator="lessThan" dxfId="0">
      <formula>0</formula>
    </cfRule>
    <cfRule type="cellIs" priority="40" operator="lessThan" dxfId="0" stopIfTrue="1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F15" sqref="F15"/>
    </sheetView>
  </sheetViews>
  <sheetFormatPr baseColWidth="8" defaultColWidth="9" defaultRowHeight="15" outlineLevelRow="5"/>
  <cols>
    <col width="17.875" customWidth="1" style="233" min="1" max="3"/>
  </cols>
  <sheetData>
    <row r="1">
      <c r="A1" s="216" t="n"/>
      <c r="B1" s="216" t="inlineStr">
        <is>
          <t>销量</t>
        </is>
      </c>
      <c r="C1" s="217" t="inlineStr">
        <is>
          <t>单箱</t>
        </is>
      </c>
    </row>
    <row r="2">
      <c r="A2" s="216" t="inlineStr">
        <is>
          <t>第一轮</t>
        </is>
      </c>
      <c r="B2" s="216" t="n">
        <v>10000.488</v>
      </c>
      <c r="C2" s="217" t="n">
        <v>38343.2999469626</v>
      </c>
    </row>
    <row r="3">
      <c r="A3" s="216" t="inlineStr">
        <is>
          <t>第二轮</t>
        </is>
      </c>
      <c r="B3" s="216" t="n">
        <v>12302.076</v>
      </c>
      <c r="C3" s="217" t="n">
        <v>36866.1654748353</v>
      </c>
    </row>
    <row r="4">
      <c r="A4" s="216" t="inlineStr">
        <is>
          <t>第三轮</t>
        </is>
      </c>
      <c r="B4" s="216" t="n">
        <v>12000.264</v>
      </c>
      <c r="C4" s="217" t="n">
        <v>36876.6725882031</v>
      </c>
    </row>
    <row r="5">
      <c r="A5" s="216" t="inlineStr">
        <is>
          <t>第四轮</t>
        </is>
      </c>
      <c r="B5" s="216" t="n">
        <v>12099.084</v>
      </c>
      <c r="C5" s="217" t="n">
        <v>36193.9106299287</v>
      </c>
    </row>
    <row r="6">
      <c r="A6" s="218" t="inlineStr">
        <is>
          <t>第五轮</t>
        </is>
      </c>
      <c r="B6" s="218" t="n">
        <v>5976.232</v>
      </c>
      <c r="C6" s="219" t="n">
        <v>33985.6635753097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T25" sqref="T25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3.66666666666667" customWidth="1" style="220" min="33" max="33"/>
    <col width="8.891666666666669" customWidth="1" style="1" min="34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4" t="inlineStr">
        <is>
          <t>C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3" t="n"/>
      <c r="AC3" s="18" t="inlineStr"/>
      <c r="AD3" s="23" t="inlineStr"/>
      <c r="AE3" s="24" t="inlineStr">
        <is>
          <t>Brand-Anonymized</t>
        </is>
      </c>
      <c r="AF3" s="23" t="n">
        <v>200</v>
      </c>
      <c r="AG3" s="23" t="n"/>
    </row>
    <row r="4" customFormat="1" s="1">
      <c r="A4" s="234" t="n"/>
      <c r="B4" s="231" t="inlineStr">
        <is>
          <t>SKU-FEFFF06B</t>
        </is>
      </c>
      <c r="C4" s="231" t="inlineStr">
        <is>
          <t>是</t>
        </is>
      </c>
      <c r="D4" s="231" t="n">
        <v>5</v>
      </c>
      <c r="E4" s="231" t="inlineStr"/>
      <c r="F4" s="231" t="inlineStr"/>
      <c r="G4" s="231" t="inlineStr"/>
      <c r="H4" s="231" t="inlineStr"/>
      <c r="I4" s="231" t="inlineStr"/>
      <c r="J4" s="27" t="inlineStr"/>
      <c r="K4" s="27" t="inlineStr">
        <is>
          <t>是</t>
        </is>
      </c>
      <c r="L4" s="231" t="n">
        <v>100</v>
      </c>
      <c r="M4" s="19" t="inlineStr">
        <is>
          <t>Product-2824E2BD</t>
        </is>
      </c>
      <c r="N4" s="231" t="n">
        <v>2</v>
      </c>
      <c r="O4" s="51">
        <f>SUM(P4:AB4)</f>
        <v/>
      </c>
      <c r="P4" s="182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5" t="n"/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31" t="n"/>
    </row>
    <row r="5" customFormat="1" s="1">
      <c r="A5" s="234" t="n"/>
      <c r="B5" s="231" t="inlineStr">
        <is>
          <t>SKU-2866FD1A</t>
        </is>
      </c>
      <c r="C5" s="231" t="inlineStr">
        <is>
          <t>是</t>
        </is>
      </c>
      <c r="D5" s="231" t="n">
        <v>8</v>
      </c>
      <c r="E5" s="231" t="inlineStr"/>
      <c r="F5" s="231" t="inlineStr"/>
      <c r="G5" s="231" t="inlineStr"/>
      <c r="H5" s="231" t="inlineStr"/>
      <c r="I5" s="231" t="inlineStr"/>
      <c r="J5" s="27" t="inlineStr"/>
      <c r="K5" s="27" t="inlineStr">
        <is>
          <t>是</t>
        </is>
      </c>
      <c r="L5" s="231" t="n">
        <v>100</v>
      </c>
      <c r="M5" s="19" t="inlineStr">
        <is>
          <t>Product-B05D24B5</t>
        </is>
      </c>
      <c r="N5" s="231" t="n">
        <v>3</v>
      </c>
      <c r="O5" s="51">
        <f>SUM(P5:AB5)</f>
        <v/>
      </c>
      <c r="P5" s="182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5" t="n"/>
      <c r="AC5" s="27" t="inlineStr"/>
      <c r="AD5" s="31" t="inlineStr"/>
      <c r="AE5" s="32" t="inlineStr">
        <is>
          <t>Brand-Anonymized</t>
        </is>
      </c>
      <c r="AF5" s="31" t="n">
        <v>200</v>
      </c>
      <c r="AG5" s="31" t="n"/>
    </row>
    <row r="6" customFormat="1" s="1">
      <c r="A6" s="234" t="n"/>
      <c r="B6" s="231" t="inlineStr">
        <is>
          <t>SKU-0260B714</t>
        </is>
      </c>
      <c r="C6" s="231" t="inlineStr">
        <is>
          <t>是</t>
        </is>
      </c>
      <c r="D6" s="231" t="n">
        <v>5</v>
      </c>
      <c r="E6" s="231" t="inlineStr"/>
      <c r="F6" s="231" t="inlineStr"/>
      <c r="G6" s="231" t="inlineStr"/>
      <c r="H6" s="231" t="inlineStr"/>
      <c r="I6" s="231" t="inlineStr"/>
      <c r="J6" s="27" t="inlineStr"/>
      <c r="K6" s="27" t="inlineStr">
        <is>
          <t>是</t>
        </is>
      </c>
      <c r="L6" s="231" t="n">
        <v>100</v>
      </c>
      <c r="M6" s="33" t="inlineStr">
        <is>
          <t>Product-9FA41960</t>
        </is>
      </c>
      <c r="N6" s="231" t="n">
        <v>2</v>
      </c>
      <c r="O6" s="51">
        <f>SUM(P6:AB6)</f>
        <v/>
      </c>
      <c r="P6" s="182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5" t="n"/>
      <c r="AC6" s="27" t="inlineStr"/>
      <c r="AD6" s="31" t="inlineStr"/>
      <c r="AE6" s="32" t="inlineStr">
        <is>
          <t>Brand-Anonymized</t>
        </is>
      </c>
      <c r="AF6" s="31" t="n">
        <v>200</v>
      </c>
      <c r="AG6" s="31" t="n"/>
    </row>
    <row r="7" customFormat="1" s="1">
      <c r="A7" s="234" t="n"/>
      <c r="B7" s="231" t="inlineStr">
        <is>
          <t>SKU-80DD304E</t>
        </is>
      </c>
      <c r="C7" s="231" t="inlineStr">
        <is>
          <t>是</t>
        </is>
      </c>
      <c r="D7" s="231" t="n">
        <v>5</v>
      </c>
      <c r="E7" s="231" t="inlineStr"/>
      <c r="F7" s="231" t="inlineStr">
        <is>
          <t>是</t>
        </is>
      </c>
      <c r="G7" s="231" t="inlineStr"/>
      <c r="H7" s="231" t="inlineStr"/>
      <c r="I7" s="231" t="inlineStr">
        <is>
          <t>是</t>
        </is>
      </c>
      <c r="J7" s="27" t="inlineStr"/>
      <c r="K7" s="27" t="inlineStr">
        <is>
          <t>是</t>
        </is>
      </c>
      <c r="L7" s="231" t="n">
        <v>100</v>
      </c>
      <c r="M7" s="19" t="inlineStr">
        <is>
          <t>Product-104B7147</t>
        </is>
      </c>
      <c r="N7" s="231" t="n">
        <v>2</v>
      </c>
      <c r="O7" s="51">
        <f>SUM(P7:AB7)</f>
        <v/>
      </c>
      <c r="P7" s="182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5" t="n"/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31" t="inlineStr">
        <is>
          <t>C</t>
        </is>
      </c>
    </row>
    <row r="8" customFormat="1" s="1">
      <c r="A8" s="234" t="n"/>
      <c r="B8" s="231" t="inlineStr">
        <is>
          <t>SKU-1DE29866</t>
        </is>
      </c>
      <c r="C8" s="231" t="inlineStr">
        <is>
          <t>是</t>
        </is>
      </c>
      <c r="D8" s="231" t="n">
        <v>5</v>
      </c>
      <c r="E8" s="231" t="inlineStr"/>
      <c r="F8" s="231" t="inlineStr">
        <is>
          <t>是</t>
        </is>
      </c>
      <c r="G8" s="231" t="inlineStr"/>
      <c r="H8" s="231" t="inlineStr">
        <is>
          <t>是</t>
        </is>
      </c>
      <c r="I8" s="231" t="inlineStr">
        <is>
          <t>是</t>
        </is>
      </c>
      <c r="J8" s="27" t="inlineStr"/>
      <c r="K8" s="27" t="inlineStr">
        <is>
          <t>是</t>
        </is>
      </c>
      <c r="L8" s="231" t="n">
        <v>100</v>
      </c>
      <c r="M8" s="19" t="inlineStr">
        <is>
          <t>Product-F23B59C1</t>
        </is>
      </c>
      <c r="N8" s="231" t="n">
        <v>1</v>
      </c>
      <c r="O8" s="51">
        <f>SUM(P8:AB8)</f>
        <v/>
      </c>
      <c r="P8" s="182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5" t="n"/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31" t="inlineStr">
        <is>
          <t>C</t>
        </is>
      </c>
    </row>
    <row r="9" customFormat="1" s="1">
      <c r="A9" s="234" t="n"/>
      <c r="B9" s="8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40" t="n"/>
    </row>
    <row r="10" customFormat="1" s="1">
      <c r="A10" s="234" t="n"/>
      <c r="B10" s="231" t="inlineStr">
        <is>
          <t>SKU-D208A1F4</t>
        </is>
      </c>
      <c r="C10" s="231" t="inlineStr"/>
      <c r="D10" s="231" t="n">
        <v>9</v>
      </c>
      <c r="E10" s="231" t="inlineStr"/>
      <c r="F10" s="231" t="inlineStr"/>
      <c r="G10" s="231" t="inlineStr"/>
      <c r="H10" s="231" t="inlineStr"/>
      <c r="I10" s="231" t="inlineStr"/>
      <c r="J10" s="27" t="inlineStr"/>
      <c r="K10" s="27" t="inlineStr"/>
      <c r="L10" s="231" t="n">
        <v>100</v>
      </c>
      <c r="M10" s="19" t="inlineStr">
        <is>
          <t>Product-DE70A72E</t>
        </is>
      </c>
      <c r="N10" s="231" t="n">
        <v>3</v>
      </c>
      <c r="O10" s="181">
        <f>SUM(P10:AB10)</f>
        <v/>
      </c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31" t="n"/>
    </row>
    <row r="11" customFormat="1" s="1">
      <c r="A11" s="234" t="n"/>
      <c r="B11" s="231" t="inlineStr">
        <is>
          <t>SKU-07FCDFBC</t>
        </is>
      </c>
      <c r="C11" s="231" t="inlineStr"/>
      <c r="D11" s="231" t="n">
        <v>10</v>
      </c>
      <c r="E11" s="231" t="inlineStr"/>
      <c r="F11" s="231" t="inlineStr"/>
      <c r="G11" s="231" t="inlineStr">
        <is>
          <t>是</t>
        </is>
      </c>
      <c r="H11" s="231" t="inlineStr"/>
      <c r="I11" s="231" t="inlineStr">
        <is>
          <t>是</t>
        </is>
      </c>
      <c r="J11" s="27" t="inlineStr"/>
      <c r="K11" s="27" t="inlineStr"/>
      <c r="L11" s="231" t="n">
        <v>100</v>
      </c>
      <c r="M11" s="43" t="inlineStr">
        <is>
          <t>Product-7A1FEE2B</t>
        </is>
      </c>
      <c r="N11" s="231" t="n">
        <v>1</v>
      </c>
      <c r="O11" s="181">
        <f>SUM(P11:AB11)</f>
        <v/>
      </c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31" t="inlineStr">
        <is>
          <t>C</t>
        </is>
      </c>
    </row>
    <row r="12" customFormat="1" s="1">
      <c r="A12" s="234" t="n"/>
      <c r="B12" s="231" t="inlineStr">
        <is>
          <t>SKU-F24DC4CC</t>
        </is>
      </c>
      <c r="C12" s="231" t="inlineStr"/>
      <c r="D12" s="231" t="n">
        <v>10</v>
      </c>
      <c r="E12" s="231" t="inlineStr"/>
      <c r="F12" s="231" t="inlineStr"/>
      <c r="G12" s="231" t="inlineStr"/>
      <c r="H12" s="231" t="inlineStr"/>
      <c r="I12" s="231" t="inlineStr"/>
      <c r="J12" s="27" t="inlineStr"/>
      <c r="K12" s="27" t="inlineStr"/>
      <c r="L12" s="231" t="n">
        <v>100</v>
      </c>
      <c r="M12" s="43" t="inlineStr">
        <is>
          <t>Product-3F617BC6</t>
        </is>
      </c>
      <c r="N12" s="231" t="n">
        <v>1</v>
      </c>
      <c r="O12" s="181">
        <f>SUM(P12:AB12)</f>
        <v/>
      </c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31" t="inlineStr">
        <is>
          <t>C</t>
        </is>
      </c>
    </row>
    <row r="13" customFormat="1" s="1">
      <c r="A13" s="234" t="n"/>
      <c r="B13" s="231" t="inlineStr">
        <is>
          <t>SKU-D943D84F</t>
        </is>
      </c>
      <c r="C13" s="231" t="inlineStr"/>
      <c r="D13" s="231" t="n">
        <v>10</v>
      </c>
      <c r="E13" s="231" t="inlineStr"/>
      <c r="F13" s="231" t="inlineStr"/>
      <c r="G13" s="231" t="inlineStr"/>
      <c r="H13" s="231" t="inlineStr"/>
      <c r="I13" s="231" t="inlineStr"/>
      <c r="J13" s="27" t="inlineStr"/>
      <c r="K13" s="27" t="inlineStr"/>
      <c r="L13" s="231" t="n">
        <v>100</v>
      </c>
      <c r="M13" s="44" t="inlineStr">
        <is>
          <t>Product-9C089579</t>
        </is>
      </c>
      <c r="N13" s="231" t="n">
        <v>1</v>
      </c>
      <c r="O13" s="181">
        <f>SUM(P13:AB13)</f>
        <v/>
      </c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27" t="inlineStr"/>
      <c r="AD13" s="31" t="inlineStr"/>
      <c r="AE13" s="32" t="inlineStr">
        <is>
          <t>Brand-Anonymized</t>
        </is>
      </c>
      <c r="AF13" s="31" t="n">
        <v>200</v>
      </c>
      <c r="AG13" s="31" t="n"/>
    </row>
    <row r="14" customFormat="1" s="1">
      <c r="A14" s="234" t="n"/>
      <c r="B14" s="231" t="inlineStr">
        <is>
          <t>SKU-6D9E63BD</t>
        </is>
      </c>
      <c r="C14" s="231" t="inlineStr"/>
      <c r="D14" s="231" t="n">
        <v>8</v>
      </c>
      <c r="E14" s="231" t="inlineStr"/>
      <c r="F14" s="231" t="inlineStr">
        <is>
          <t>是</t>
        </is>
      </c>
      <c r="G14" s="231" t="inlineStr"/>
      <c r="H14" s="231" t="inlineStr"/>
      <c r="I14" s="231" t="inlineStr">
        <is>
          <t>是</t>
        </is>
      </c>
      <c r="J14" s="27" t="inlineStr"/>
      <c r="K14" s="27" t="inlineStr"/>
      <c r="L14" s="231" t="n">
        <v>100</v>
      </c>
      <c r="M14" s="19" t="inlineStr">
        <is>
          <t>Product-BC499EF2</t>
        </is>
      </c>
      <c r="N14" s="231" t="n">
        <v>1</v>
      </c>
      <c r="O14" s="181">
        <f>SUM(P14:AB14)</f>
        <v/>
      </c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31" t="inlineStr">
        <is>
          <t>C</t>
        </is>
      </c>
    </row>
    <row r="15" customFormat="1" s="1">
      <c r="A15" s="234" t="n"/>
      <c r="B15" s="231" t="inlineStr">
        <is>
          <t>SKU-01FF2431</t>
        </is>
      </c>
      <c r="C15" s="231" t="inlineStr"/>
      <c r="D15" s="231" t="n">
        <v>8</v>
      </c>
      <c r="E15" s="231" t="inlineStr"/>
      <c r="F15" s="231" t="inlineStr">
        <is>
          <t>是</t>
        </is>
      </c>
      <c r="G15" s="231" t="inlineStr"/>
      <c r="H15" s="231" t="inlineStr"/>
      <c r="I15" s="231" t="inlineStr">
        <is>
          <t>是</t>
        </is>
      </c>
      <c r="J15" s="27" t="inlineStr"/>
      <c r="K15" s="27" t="inlineStr"/>
      <c r="L15" s="231" t="n">
        <v>100</v>
      </c>
      <c r="M15" s="19" t="inlineStr">
        <is>
          <t>Product-C54A353F</t>
        </is>
      </c>
      <c r="N15" s="231" t="n">
        <v>1</v>
      </c>
      <c r="O15" s="181">
        <f>SUM(P15:AB15)</f>
        <v/>
      </c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31" t="inlineStr">
        <is>
          <t>C</t>
        </is>
      </c>
    </row>
    <row r="16" customFormat="1" s="1">
      <c r="A16" s="234" t="n"/>
      <c r="B16" s="231" t="inlineStr">
        <is>
          <t>SKU-8916FAEC</t>
        </is>
      </c>
      <c r="C16" s="231" t="inlineStr"/>
      <c r="D16" s="231" t="n">
        <v>8</v>
      </c>
      <c r="E16" s="231" t="inlineStr"/>
      <c r="F16" s="231" t="inlineStr">
        <is>
          <t>是</t>
        </is>
      </c>
      <c r="G16" s="231" t="inlineStr"/>
      <c r="H16" s="231" t="inlineStr"/>
      <c r="I16" s="231" t="inlineStr">
        <is>
          <t>是</t>
        </is>
      </c>
      <c r="J16" s="27" t="inlineStr">
        <is>
          <t>共</t>
        </is>
      </c>
      <c r="K16" s="27" t="inlineStr"/>
      <c r="L16" s="231" t="n">
        <v>100</v>
      </c>
      <c r="M16" s="19" t="inlineStr">
        <is>
          <t>Product-558A622A</t>
        </is>
      </c>
      <c r="N16" s="231" t="n">
        <v>1</v>
      </c>
      <c r="O16" s="181">
        <f>SUM(P16:AB16)</f>
        <v/>
      </c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31" t="inlineStr">
        <is>
          <t>C</t>
        </is>
      </c>
    </row>
    <row r="17" customFormat="1" s="1">
      <c r="A17" s="234" t="n"/>
      <c r="B17" s="231" t="inlineStr">
        <is>
          <t>SKU-13F48E9F</t>
        </is>
      </c>
      <c r="C17" s="231" t="inlineStr"/>
      <c r="D17" s="231" t="n">
        <v>8</v>
      </c>
      <c r="E17" s="231" t="inlineStr"/>
      <c r="F17" s="231" t="inlineStr">
        <is>
          <t>是</t>
        </is>
      </c>
      <c r="G17" s="231" t="inlineStr"/>
      <c r="H17" s="231" t="inlineStr"/>
      <c r="I17" s="231" t="inlineStr">
        <is>
          <t>是</t>
        </is>
      </c>
      <c r="J17" s="27" t="inlineStr"/>
      <c r="K17" s="27" t="inlineStr"/>
      <c r="L17" s="231" t="n">
        <v>100</v>
      </c>
      <c r="M17" s="19" t="inlineStr">
        <is>
          <t>Product-9B1626A5</t>
        </is>
      </c>
      <c r="N17" s="231" t="n">
        <v>1</v>
      </c>
      <c r="O17" s="181">
        <f>SUM(P17:AB17)</f>
        <v/>
      </c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31" t="inlineStr">
        <is>
          <t>C</t>
        </is>
      </c>
    </row>
    <row r="18" customFormat="1" s="1">
      <c r="A18" s="234" t="n"/>
      <c r="B18" s="231" t="inlineStr">
        <is>
          <t>SKU-84735B62</t>
        </is>
      </c>
      <c r="C18" s="231" t="inlineStr">
        <is>
          <t>是</t>
        </is>
      </c>
      <c r="D18" s="231" t="n">
        <v>10</v>
      </c>
      <c r="E18" s="231" t="inlineStr"/>
      <c r="F18" s="231" t="inlineStr"/>
      <c r="G18" s="231" t="inlineStr"/>
      <c r="H18" s="231" t="inlineStr"/>
      <c r="I18" s="231" t="inlineStr"/>
      <c r="J18" s="27" t="inlineStr"/>
      <c r="K18" s="27" t="inlineStr"/>
      <c r="L18" s="231" t="n">
        <v>100</v>
      </c>
      <c r="M18" s="19" t="inlineStr">
        <is>
          <t>Product-61AE19F7</t>
        </is>
      </c>
      <c r="N18" s="231" t="n">
        <v>3</v>
      </c>
      <c r="O18" s="181">
        <f>SUM(P18:AB18)</f>
        <v/>
      </c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31" t="n"/>
    </row>
    <row r="19" customFormat="1" s="1">
      <c r="A19" s="234" t="n"/>
      <c r="B19" s="231" t="inlineStr">
        <is>
          <t>SKU-9356910A</t>
        </is>
      </c>
      <c r="C19" s="231" t="inlineStr">
        <is>
          <t>是</t>
        </is>
      </c>
      <c r="D19" s="231" t="n">
        <v>11</v>
      </c>
      <c r="E19" s="231" t="inlineStr"/>
      <c r="F19" s="231" t="inlineStr"/>
      <c r="G19" s="231" t="inlineStr"/>
      <c r="H19" s="231" t="inlineStr"/>
      <c r="I19" s="231" t="inlineStr"/>
      <c r="J19" s="27" t="inlineStr"/>
      <c r="K19" s="27" t="inlineStr"/>
      <c r="L19" s="231" t="n">
        <v>100</v>
      </c>
      <c r="M19" s="19" t="inlineStr">
        <is>
          <t>Product-1433AC24</t>
        </is>
      </c>
      <c r="N19" s="231" t="n">
        <v>2</v>
      </c>
      <c r="O19" s="181">
        <f>SUM(P19:AB19)</f>
        <v/>
      </c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31" t="n"/>
    </row>
    <row r="20" customFormat="1" s="1">
      <c r="A20" s="234" t="n"/>
      <c r="B20" s="231" t="inlineStr">
        <is>
          <t>SKU-A1C9F3C5</t>
        </is>
      </c>
      <c r="C20" s="231" t="inlineStr">
        <is>
          <t>是</t>
        </is>
      </c>
      <c r="D20" s="231" t="n">
        <v>10</v>
      </c>
      <c r="E20" s="231" t="inlineStr"/>
      <c r="F20" s="231" t="inlineStr"/>
      <c r="G20" s="231" t="inlineStr"/>
      <c r="H20" s="231" t="inlineStr"/>
      <c r="I20" s="231" t="inlineStr"/>
      <c r="J20" s="27" t="inlineStr">
        <is>
          <t>共</t>
        </is>
      </c>
      <c r="K20" s="27" t="inlineStr"/>
      <c r="L20" s="231" t="n">
        <v>100</v>
      </c>
      <c r="M20" s="19" t="inlineStr">
        <is>
          <t>Product-A7F669A5</t>
        </is>
      </c>
      <c r="N20" s="231" t="n">
        <v>2</v>
      </c>
      <c r="O20" s="181">
        <f>SUM(P20:AB20)</f>
        <v/>
      </c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31" t="n"/>
    </row>
    <row r="21" customFormat="1" s="1">
      <c r="A21" s="234" t="n"/>
      <c r="B21" s="231" t="inlineStr">
        <is>
          <t>SKU-9FED3CD7</t>
        </is>
      </c>
      <c r="C21" s="231" t="inlineStr">
        <is>
          <t>是</t>
        </is>
      </c>
      <c r="D21" s="231" t="n">
        <v>6</v>
      </c>
      <c r="E21" s="231" t="inlineStr">
        <is>
          <t>是</t>
        </is>
      </c>
      <c r="F21" s="231" t="inlineStr"/>
      <c r="G21" s="231" t="inlineStr"/>
      <c r="H21" s="231" t="inlineStr"/>
      <c r="I21" s="231" t="inlineStr">
        <is>
          <t>是</t>
        </is>
      </c>
      <c r="J21" s="27" t="inlineStr"/>
      <c r="K21" s="27" t="inlineStr"/>
      <c r="L21" s="231" t="n">
        <v>100</v>
      </c>
      <c r="M21" s="44" t="inlineStr">
        <is>
          <t>Product-80F515FA</t>
        </is>
      </c>
      <c r="N21" s="231" t="n">
        <v>1</v>
      </c>
      <c r="O21" s="181">
        <f>SUM(P21:AB21)</f>
        <v/>
      </c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31" t="inlineStr">
        <is>
          <t>C</t>
        </is>
      </c>
    </row>
    <row r="22" customFormat="1" s="1">
      <c r="A22" s="234" t="n"/>
      <c r="B22" s="231" t="inlineStr">
        <is>
          <t>SKU-D2D4FD85</t>
        </is>
      </c>
      <c r="C22" s="231" t="inlineStr">
        <is>
          <t>是</t>
        </is>
      </c>
      <c r="D22" s="231" t="n">
        <v>8</v>
      </c>
      <c r="E22" s="231" t="inlineStr">
        <is>
          <t>是</t>
        </is>
      </c>
      <c r="F22" s="231" t="inlineStr"/>
      <c r="G22" s="231" t="inlineStr"/>
      <c r="H22" s="231" t="inlineStr"/>
      <c r="I22" s="231" t="inlineStr">
        <is>
          <t>是</t>
        </is>
      </c>
      <c r="J22" s="27" t="inlineStr"/>
      <c r="K22" s="27" t="inlineStr"/>
      <c r="L22" s="231" t="n">
        <v>100</v>
      </c>
      <c r="M22" s="33" t="inlineStr">
        <is>
          <t>Product-D1D130D9</t>
        </is>
      </c>
      <c r="N22" s="231" t="n">
        <v>1</v>
      </c>
      <c r="O22" s="181">
        <f>SUM(P22:AB22)</f>
        <v/>
      </c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27" t="inlineStr"/>
      <c r="AD22" s="31" t="inlineStr"/>
      <c r="AE22" s="32" t="inlineStr">
        <is>
          <t>Brand-Anonymized</t>
        </is>
      </c>
      <c r="AF22" s="31" t="n">
        <v>200</v>
      </c>
      <c r="AG22" s="31" t="n"/>
    </row>
    <row r="23" customFormat="1" s="1">
      <c r="A23" s="234" t="n"/>
      <c r="B23" s="231" t="inlineStr">
        <is>
          <t>SKU-2324D87D</t>
        </is>
      </c>
      <c r="C23" s="231" t="inlineStr">
        <is>
          <t>是</t>
        </is>
      </c>
      <c r="D23" s="231" t="n">
        <v>9</v>
      </c>
      <c r="E23" s="231" t="inlineStr"/>
      <c r="F23" s="231" t="inlineStr">
        <is>
          <t>是</t>
        </is>
      </c>
      <c r="G23" s="231" t="inlineStr"/>
      <c r="H23" s="231" t="inlineStr"/>
      <c r="I23" s="231" t="inlineStr">
        <is>
          <t>是</t>
        </is>
      </c>
      <c r="J23" s="27" t="inlineStr"/>
      <c r="K23" s="27" t="inlineStr"/>
      <c r="L23" s="231" t="n">
        <v>100</v>
      </c>
      <c r="M23" s="19" t="inlineStr">
        <is>
          <t>Product-142947AA</t>
        </is>
      </c>
      <c r="N23" s="231" t="n">
        <v>1</v>
      </c>
      <c r="O23" s="181">
        <f>SUM(P23:AB23)</f>
        <v/>
      </c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31" t="inlineStr">
        <is>
          <t>C</t>
        </is>
      </c>
    </row>
    <row r="24" customFormat="1" s="1">
      <c r="A24" s="234" t="n"/>
      <c r="B24" s="231" t="inlineStr">
        <is>
          <t>SKU-D3A8D0D1</t>
        </is>
      </c>
      <c r="C24" s="231" t="inlineStr">
        <is>
          <t>是</t>
        </is>
      </c>
      <c r="D24" s="231" t="n">
        <v>9</v>
      </c>
      <c r="E24" s="231" t="inlineStr"/>
      <c r="F24" s="231" t="inlineStr">
        <is>
          <t>是</t>
        </is>
      </c>
      <c r="G24" s="231" t="inlineStr"/>
      <c r="H24" s="231" t="inlineStr"/>
      <c r="I24" s="231" t="inlineStr">
        <is>
          <t>是</t>
        </is>
      </c>
      <c r="J24" s="27" t="inlineStr"/>
      <c r="K24" s="27" t="inlineStr"/>
      <c r="L24" s="231" t="n">
        <v>100</v>
      </c>
      <c r="M24" s="19" t="inlineStr">
        <is>
          <t>Product-B80128BB</t>
        </is>
      </c>
      <c r="N24" s="231" t="n">
        <v>1</v>
      </c>
      <c r="O24" s="181">
        <f>SUM(P24:AB24)</f>
        <v/>
      </c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31" t="inlineStr">
        <is>
          <t>C</t>
        </is>
      </c>
    </row>
    <row r="25" customFormat="1" s="1">
      <c r="A25" s="234" t="n"/>
      <c r="B25" s="231" t="inlineStr">
        <is>
          <t>SKU-55B49425</t>
        </is>
      </c>
      <c r="C25" s="231" t="inlineStr">
        <is>
          <t>是</t>
        </is>
      </c>
      <c r="D25" s="231" t="n">
        <v>11</v>
      </c>
      <c r="E25" s="231" t="inlineStr"/>
      <c r="F25" s="231" t="inlineStr"/>
      <c r="G25" s="231" t="inlineStr"/>
      <c r="H25" s="231" t="inlineStr"/>
      <c r="I25" s="231" t="inlineStr"/>
      <c r="J25" s="27" t="inlineStr">
        <is>
          <t>共</t>
        </is>
      </c>
      <c r="K25" s="27" t="inlineStr"/>
      <c r="L25" s="231" t="n">
        <v>100</v>
      </c>
      <c r="M25" s="19" t="inlineStr">
        <is>
          <t>Product-2E005B6F</t>
        </is>
      </c>
      <c r="N25" s="231" t="n">
        <v>1</v>
      </c>
      <c r="O25" s="181">
        <f>SUM(P25:AB25)</f>
        <v/>
      </c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31" t="n"/>
    </row>
    <row r="26" customFormat="1" s="1">
      <c r="A26" s="234" t="n"/>
      <c r="B26" s="231" t="inlineStr">
        <is>
          <t>SKU-7E7C0C23</t>
        </is>
      </c>
      <c r="C26" s="231" t="inlineStr">
        <is>
          <t>是</t>
        </is>
      </c>
      <c r="D26" s="231" t="n">
        <v>11</v>
      </c>
      <c r="E26" s="231" t="inlineStr"/>
      <c r="F26" s="231" t="inlineStr"/>
      <c r="G26" s="231" t="inlineStr"/>
      <c r="H26" s="231" t="inlineStr"/>
      <c r="I26" s="231" t="inlineStr"/>
      <c r="J26" s="27" t="inlineStr">
        <is>
          <t>共</t>
        </is>
      </c>
      <c r="K26" s="27" t="inlineStr"/>
      <c r="L26" s="231" t="n">
        <v>100</v>
      </c>
      <c r="M26" s="19" t="inlineStr">
        <is>
          <t>Product-8C5BA899</t>
        </is>
      </c>
      <c r="N26" s="231" t="n">
        <v>1</v>
      </c>
      <c r="O26" s="181">
        <f>SUM(P26:AB26)</f>
        <v/>
      </c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31" t="n"/>
    </row>
    <row r="27" customFormat="1" s="1">
      <c r="A27" s="234" t="n"/>
      <c r="B27" s="231" t="inlineStr">
        <is>
          <t>SKU-581048FF</t>
        </is>
      </c>
      <c r="C27" s="231" t="inlineStr">
        <is>
          <t>是</t>
        </is>
      </c>
      <c r="D27" s="231" t="n">
        <v>11</v>
      </c>
      <c r="E27" s="231" t="inlineStr"/>
      <c r="F27" s="231" t="inlineStr"/>
      <c r="G27" s="231" t="inlineStr"/>
      <c r="H27" s="231" t="inlineStr"/>
      <c r="I27" s="231" t="inlineStr"/>
      <c r="J27" s="27" t="inlineStr"/>
      <c r="K27" s="27" t="inlineStr"/>
      <c r="L27" s="231" t="n">
        <v>100</v>
      </c>
      <c r="M27" s="19" t="inlineStr">
        <is>
          <t>Product-9C9F0DD0</t>
        </is>
      </c>
      <c r="N27" s="231" t="n">
        <v>1</v>
      </c>
      <c r="O27" s="181">
        <f>SUM(P27:AB27)</f>
        <v/>
      </c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31" t="inlineStr">
        <is>
          <t>C</t>
        </is>
      </c>
    </row>
    <row r="28" customFormat="1" s="1">
      <c r="A28" s="234" t="n"/>
      <c r="B28" s="231" t="inlineStr">
        <is>
          <t>SKU-1943C75B</t>
        </is>
      </c>
      <c r="C28" s="231" t="inlineStr">
        <is>
          <t>是</t>
        </is>
      </c>
      <c r="D28" s="231" t="n">
        <v>10</v>
      </c>
      <c r="E28" s="231" t="inlineStr"/>
      <c r="F28" s="231" t="inlineStr">
        <is>
          <t>是</t>
        </is>
      </c>
      <c r="G28" s="231" t="inlineStr"/>
      <c r="H28" s="231" t="inlineStr"/>
      <c r="I28" s="231" t="inlineStr">
        <is>
          <t>是</t>
        </is>
      </c>
      <c r="J28" s="27" t="inlineStr">
        <is>
          <t>共</t>
        </is>
      </c>
      <c r="K28" s="27" t="inlineStr"/>
      <c r="L28" s="231" t="n">
        <v>100</v>
      </c>
      <c r="M28" s="19" t="inlineStr">
        <is>
          <t>Product-62BC29B7</t>
        </is>
      </c>
      <c r="N28" s="231" t="n">
        <v>1</v>
      </c>
      <c r="O28" s="181">
        <f>SUM(P28:AB28)</f>
        <v/>
      </c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31" t="inlineStr">
        <is>
          <t>C</t>
        </is>
      </c>
    </row>
    <row r="29" customFormat="1" s="1">
      <c r="A29" s="234" t="n"/>
      <c r="B29" s="231" t="inlineStr">
        <is>
          <t>SKU-51C641E5</t>
        </is>
      </c>
      <c r="C29" s="231" t="inlineStr">
        <is>
          <t>是</t>
        </is>
      </c>
      <c r="D29" s="231" t="n">
        <v>10</v>
      </c>
      <c r="E29" s="231" t="inlineStr"/>
      <c r="F29" s="231" t="inlineStr">
        <is>
          <t>是</t>
        </is>
      </c>
      <c r="G29" s="231" t="inlineStr"/>
      <c r="H29" s="231" t="inlineStr"/>
      <c r="I29" s="231" t="inlineStr">
        <is>
          <t>是</t>
        </is>
      </c>
      <c r="J29" s="27" t="inlineStr">
        <is>
          <t>共</t>
        </is>
      </c>
      <c r="K29" s="27" t="inlineStr"/>
      <c r="L29" s="231" t="n">
        <v>100</v>
      </c>
      <c r="M29" s="19" t="inlineStr">
        <is>
          <t>Product-4CA63C06</t>
        </is>
      </c>
      <c r="N29" s="231" t="n">
        <v>1</v>
      </c>
      <c r="O29" s="181">
        <f>SUM(P29:AB29)</f>
        <v/>
      </c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31" t="inlineStr">
        <is>
          <t>C</t>
        </is>
      </c>
    </row>
    <row r="30" customFormat="1" s="1">
      <c r="A30" s="234" t="n"/>
      <c r="B30" s="231" t="inlineStr">
        <is>
          <t>SKU-740A9334</t>
        </is>
      </c>
      <c r="C30" s="231" t="inlineStr">
        <is>
          <t>是</t>
        </is>
      </c>
      <c r="D30" s="231" t="n">
        <v>10</v>
      </c>
      <c r="E30" s="231" t="inlineStr"/>
      <c r="F30" s="231" t="inlineStr"/>
      <c r="G30" s="231" t="inlineStr">
        <is>
          <t>是</t>
        </is>
      </c>
      <c r="H30" s="231" t="inlineStr"/>
      <c r="I30" s="231" t="inlineStr">
        <is>
          <t>是</t>
        </is>
      </c>
      <c r="J30" s="27" t="inlineStr"/>
      <c r="K30" s="27" t="inlineStr"/>
      <c r="L30" s="231" t="n">
        <v>100</v>
      </c>
      <c r="M30" s="33" t="inlineStr">
        <is>
          <t>Product-7726A962</t>
        </is>
      </c>
      <c r="N30" s="231" t="n">
        <v>1</v>
      </c>
      <c r="O30" s="181">
        <f>SUM(P30:AB30)</f>
        <v/>
      </c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31" t="inlineStr">
        <is>
          <t>C</t>
        </is>
      </c>
    </row>
    <row r="31" customFormat="1" s="1">
      <c r="A31" s="234" t="n"/>
      <c r="B31" s="231" t="inlineStr">
        <is>
          <t>SKU-ABAD8823</t>
        </is>
      </c>
      <c r="C31" s="231" t="inlineStr">
        <is>
          <t>是</t>
        </is>
      </c>
      <c r="D31" s="231" t="n">
        <v>8</v>
      </c>
      <c r="E31" s="231" t="inlineStr">
        <is>
          <t>是</t>
        </is>
      </c>
      <c r="F31" s="231" t="inlineStr"/>
      <c r="G31" s="231" t="inlineStr"/>
      <c r="H31" s="231" t="inlineStr"/>
      <c r="I31" s="231" t="inlineStr">
        <is>
          <t>是</t>
        </is>
      </c>
      <c r="J31" s="27" t="inlineStr">
        <is>
          <t>共</t>
        </is>
      </c>
      <c r="K31" s="27" t="inlineStr"/>
      <c r="L31" s="231" t="n">
        <v>100</v>
      </c>
      <c r="M31" s="19" t="inlineStr">
        <is>
          <t>Product-342D1F0D</t>
        </is>
      </c>
      <c r="N31" s="231" t="n">
        <v>1</v>
      </c>
      <c r="O31" s="181">
        <f>SUM(P31:AB31)</f>
        <v/>
      </c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31" t="inlineStr">
        <is>
          <t>C</t>
        </is>
      </c>
    </row>
    <row r="32" customFormat="1" s="1">
      <c r="A32" s="234" t="n"/>
      <c r="B32" s="231" t="inlineStr">
        <is>
          <t>SKU-CD40403A</t>
        </is>
      </c>
      <c r="C32" s="231" t="inlineStr">
        <is>
          <t>是</t>
        </is>
      </c>
      <c r="D32" s="231" t="n">
        <v>8</v>
      </c>
      <c r="E32" s="231" t="inlineStr">
        <is>
          <t>是</t>
        </is>
      </c>
      <c r="F32" s="231" t="inlineStr"/>
      <c r="G32" s="231" t="inlineStr"/>
      <c r="H32" s="231" t="inlineStr"/>
      <c r="I32" s="231" t="inlineStr">
        <is>
          <t>是</t>
        </is>
      </c>
      <c r="J32" s="27" t="inlineStr">
        <is>
          <t>共</t>
        </is>
      </c>
      <c r="K32" s="27" t="inlineStr"/>
      <c r="L32" s="231" t="n">
        <v>100</v>
      </c>
      <c r="M32" s="19" t="inlineStr">
        <is>
          <t>Product-D6D3CCE6</t>
        </is>
      </c>
      <c r="N32" s="231" t="n">
        <v>1</v>
      </c>
      <c r="O32" s="181">
        <f>SUM(P32:AB32)</f>
        <v/>
      </c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31" t="inlineStr">
        <is>
          <t>C</t>
        </is>
      </c>
    </row>
    <row r="33" customFormat="1" s="1">
      <c r="A33" s="234" t="n"/>
      <c r="B33" s="231" t="inlineStr">
        <is>
          <t>SKU-B0D292B1</t>
        </is>
      </c>
      <c r="C33" s="231" t="inlineStr">
        <is>
          <t>是</t>
        </is>
      </c>
      <c r="D33" s="231" t="n">
        <v>10</v>
      </c>
      <c r="E33" s="231" t="inlineStr"/>
      <c r="F33" s="231" t="inlineStr"/>
      <c r="G33" s="231" t="inlineStr">
        <is>
          <t>是</t>
        </is>
      </c>
      <c r="H33" s="231" t="inlineStr"/>
      <c r="I33" s="231" t="inlineStr">
        <is>
          <t>是</t>
        </is>
      </c>
      <c r="J33" s="27" t="inlineStr"/>
      <c r="K33" s="27" t="inlineStr"/>
      <c r="L33" s="231" t="n">
        <v>100</v>
      </c>
      <c r="M33" s="19" t="inlineStr">
        <is>
          <t>Product-7726A962</t>
        </is>
      </c>
      <c r="N33" s="231" t="n">
        <v>1</v>
      </c>
      <c r="O33" s="181">
        <f>SUM(P33:AB33)</f>
        <v/>
      </c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31" t="inlineStr">
        <is>
          <t>C</t>
        </is>
      </c>
    </row>
    <row r="34" customFormat="1" s="1">
      <c r="A34" s="234" t="n"/>
      <c r="B34" s="231" t="inlineStr">
        <is>
          <t>SKU-D5FB4C4D</t>
        </is>
      </c>
      <c r="C34" s="231" t="inlineStr"/>
      <c r="D34" s="231" t="n">
        <v>10</v>
      </c>
      <c r="E34" s="231" t="inlineStr"/>
      <c r="F34" s="231" t="inlineStr"/>
      <c r="G34" s="231" t="inlineStr"/>
      <c r="H34" s="231" t="inlineStr"/>
      <c r="I34" s="231" t="inlineStr"/>
      <c r="J34" s="27" t="inlineStr"/>
      <c r="K34" s="27" t="inlineStr"/>
      <c r="L34" s="231" t="n">
        <v>100</v>
      </c>
      <c r="M34" s="33" t="inlineStr">
        <is>
          <t>Product-3DCEC0C0</t>
        </is>
      </c>
      <c r="N34" s="231" t="n">
        <v>1</v>
      </c>
      <c r="O34" s="181">
        <f>SUM(P34:AB34)</f>
        <v/>
      </c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31" t="inlineStr">
        <is>
          <t>C</t>
        </is>
      </c>
    </row>
    <row r="35" customFormat="1" s="1">
      <c r="A35" s="234" t="n"/>
      <c r="B35" s="231" t="inlineStr">
        <is>
          <t>SKU-DCF98B33</t>
        </is>
      </c>
      <c r="C35" s="231" t="inlineStr"/>
      <c r="D35" s="231" t="n">
        <v>10</v>
      </c>
      <c r="E35" s="231" t="inlineStr"/>
      <c r="F35" s="231" t="inlineStr"/>
      <c r="G35" s="231" t="inlineStr"/>
      <c r="H35" s="231" t="inlineStr"/>
      <c r="I35" s="231" t="inlineStr"/>
      <c r="J35" s="27" t="inlineStr"/>
      <c r="K35" s="27" t="inlineStr"/>
      <c r="L35" s="231" t="n">
        <v>100</v>
      </c>
      <c r="M35" s="19" t="inlineStr">
        <is>
          <t>Product-3DCEC0C0</t>
        </is>
      </c>
      <c r="N35" s="231" t="n">
        <v>1</v>
      </c>
      <c r="O35" s="181">
        <f>SUM(P35:AB35)</f>
        <v/>
      </c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31" t="inlineStr">
        <is>
          <t>C</t>
        </is>
      </c>
    </row>
    <row r="36" customFormat="1" s="1">
      <c r="A36" s="234" t="n"/>
      <c r="B36" s="231" t="inlineStr">
        <is>
          <t>SKU-7ECD2FA6</t>
        </is>
      </c>
      <c r="C36" s="231" t="inlineStr"/>
      <c r="D36" s="231" t="n">
        <v>10</v>
      </c>
      <c r="E36" s="231" t="inlineStr"/>
      <c r="F36" s="231" t="inlineStr">
        <is>
          <t>是</t>
        </is>
      </c>
      <c r="G36" s="231" t="inlineStr"/>
      <c r="H36" s="231" t="inlineStr"/>
      <c r="I36" s="231" t="inlineStr">
        <is>
          <t>是</t>
        </is>
      </c>
      <c r="J36" s="27" t="inlineStr"/>
      <c r="K36" s="27" t="inlineStr"/>
      <c r="L36" s="231" t="n">
        <v>100</v>
      </c>
      <c r="M36" s="45" t="inlineStr">
        <is>
          <t>Product-29355C79</t>
        </is>
      </c>
      <c r="N36" s="231" t="n">
        <v>1</v>
      </c>
      <c r="O36" s="181">
        <f>SUM(P36:AB36)</f>
        <v/>
      </c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31" t="n"/>
    </row>
    <row r="37" customFormat="1" s="1">
      <c r="A37" s="234" t="n"/>
      <c r="B37" s="80" t="n"/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40" t="n"/>
    </row>
    <row r="38" customFormat="1" s="1">
      <c r="A38" s="235" t="n"/>
      <c r="B38" s="80" t="n"/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40" t="n"/>
    </row>
    <row r="39" customFormat="1" s="1">
      <c r="A39" s="25" t="inlineStr">
        <is>
          <t>河北</t>
        </is>
      </c>
      <c r="B39" s="231" t="inlineStr">
        <is>
          <t>SKU-3095C758</t>
        </is>
      </c>
      <c r="C39" s="231" t="inlineStr">
        <is>
          <t>是</t>
        </is>
      </c>
      <c r="D39" s="231" t="n">
        <v>11</v>
      </c>
      <c r="E39" s="231" t="inlineStr"/>
      <c r="F39" s="231" t="inlineStr"/>
      <c r="G39" s="231" t="inlineStr"/>
      <c r="H39" s="231" t="inlineStr"/>
      <c r="I39" s="231" t="inlineStr"/>
      <c r="J39" s="27" t="inlineStr"/>
      <c r="K39" s="27" t="inlineStr"/>
      <c r="L39" s="231" t="n">
        <v>100</v>
      </c>
      <c r="M39" s="19" t="inlineStr">
        <is>
          <t>Product-280802D6</t>
        </is>
      </c>
      <c r="N39" s="231" t="n">
        <v>4</v>
      </c>
      <c r="O39" s="181">
        <f>SUM(P39:AB39)</f>
        <v/>
      </c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31" t="n"/>
    </row>
    <row r="40" customFormat="1" s="1">
      <c r="A40" s="234" t="n"/>
      <c r="B40" s="231" t="inlineStr">
        <is>
          <t>SKU-22512FF3</t>
        </is>
      </c>
      <c r="C40" s="231" t="inlineStr">
        <is>
          <t>是</t>
        </is>
      </c>
      <c r="D40" s="231" t="n">
        <v>10</v>
      </c>
      <c r="E40" s="231" t="inlineStr"/>
      <c r="F40" s="231" t="inlineStr"/>
      <c r="G40" s="231" t="inlineStr"/>
      <c r="H40" s="231" t="inlineStr"/>
      <c r="I40" s="231" t="inlineStr"/>
      <c r="J40" s="27" t="inlineStr">
        <is>
          <t>共</t>
        </is>
      </c>
      <c r="K40" s="27" t="inlineStr"/>
      <c r="L40" s="231" t="n">
        <v>100</v>
      </c>
      <c r="M40" s="19" t="inlineStr">
        <is>
          <t>Product-C617F7D2</t>
        </is>
      </c>
      <c r="N40" s="231" t="n">
        <v>1</v>
      </c>
      <c r="O40" s="181">
        <f>SUM(P40:AB40)</f>
        <v/>
      </c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31" t="n"/>
    </row>
    <row r="41" customFormat="1" s="1">
      <c r="A41" s="234" t="n"/>
      <c r="B41" s="231" t="inlineStr">
        <is>
          <t>SKU-8B1D5EF6</t>
        </is>
      </c>
      <c r="C41" s="231" t="inlineStr">
        <is>
          <t>是</t>
        </is>
      </c>
      <c r="D41" s="231" t="n">
        <v>6</v>
      </c>
      <c r="E41" s="231" t="inlineStr">
        <is>
          <t>是</t>
        </is>
      </c>
      <c r="F41" s="231" t="inlineStr"/>
      <c r="G41" s="231" t="inlineStr"/>
      <c r="H41" s="231" t="inlineStr"/>
      <c r="I41" s="231" t="inlineStr">
        <is>
          <t>是</t>
        </is>
      </c>
      <c r="J41" s="27" t="inlineStr">
        <is>
          <t>共</t>
        </is>
      </c>
      <c r="K41" s="27" t="inlineStr"/>
      <c r="L41" s="231" t="n">
        <v>100</v>
      </c>
      <c r="M41" s="19" t="inlineStr">
        <is>
          <t>Product-C0E4574A</t>
        </is>
      </c>
      <c r="N41" s="231" t="n">
        <v>1</v>
      </c>
      <c r="O41" s="181">
        <f>SUM(P41:AB41)</f>
        <v/>
      </c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31" t="inlineStr">
        <is>
          <t>C</t>
        </is>
      </c>
    </row>
    <row r="42" customFormat="1" s="1">
      <c r="A42" s="234" t="n"/>
      <c r="B42" s="231" t="inlineStr">
        <is>
          <t>SKU-8BA825B6</t>
        </is>
      </c>
      <c r="C42" s="231" t="inlineStr">
        <is>
          <t>是</t>
        </is>
      </c>
      <c r="D42" s="231" t="n">
        <v>10</v>
      </c>
      <c r="E42" s="231" t="inlineStr"/>
      <c r="F42" s="231" t="inlineStr"/>
      <c r="G42" s="231" t="inlineStr"/>
      <c r="H42" s="231" t="inlineStr"/>
      <c r="I42" s="231" t="inlineStr"/>
      <c r="J42" s="27" t="inlineStr"/>
      <c r="K42" s="27" t="inlineStr"/>
      <c r="L42" s="231" t="n">
        <v>100</v>
      </c>
      <c r="M42" s="19" t="inlineStr">
        <is>
          <t>Product-E7EC78F7</t>
        </is>
      </c>
      <c r="N42" s="231" t="n">
        <v>1</v>
      </c>
      <c r="O42" s="181">
        <f>SUM(P42:AB42)</f>
        <v/>
      </c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31" t="inlineStr">
        <is>
          <t>C</t>
        </is>
      </c>
    </row>
    <row r="43" customFormat="1" s="1">
      <c r="A43" s="234" t="n"/>
      <c r="B43" s="231" t="inlineStr">
        <is>
          <t>SKU-DBE8D847</t>
        </is>
      </c>
      <c r="C43" s="231" t="inlineStr">
        <is>
          <t>是</t>
        </is>
      </c>
      <c r="D43" s="231" t="n">
        <v>8</v>
      </c>
      <c r="E43" s="231" t="inlineStr">
        <is>
          <t>是</t>
        </is>
      </c>
      <c r="F43" s="231" t="inlineStr"/>
      <c r="G43" s="231" t="inlineStr"/>
      <c r="H43" s="231" t="inlineStr"/>
      <c r="I43" s="231" t="inlineStr">
        <is>
          <t>是</t>
        </is>
      </c>
      <c r="J43" s="27" t="inlineStr"/>
      <c r="K43" s="27" t="inlineStr"/>
      <c r="L43" s="231" t="n">
        <v>100</v>
      </c>
      <c r="M43" s="19" t="inlineStr">
        <is>
          <t>Product-31FC13CA</t>
        </is>
      </c>
      <c r="N43" s="231" t="n">
        <v>2</v>
      </c>
      <c r="O43" s="181">
        <f>SUM(P43:AB43)</f>
        <v/>
      </c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31" t="inlineStr">
        <is>
          <t>C</t>
        </is>
      </c>
    </row>
    <row r="44" customFormat="1" s="1">
      <c r="A44" s="234" t="n"/>
      <c r="B44" s="231" t="inlineStr">
        <is>
          <t>SKU-993415A4</t>
        </is>
      </c>
      <c r="C44" s="231" t="inlineStr">
        <is>
          <t>是</t>
        </is>
      </c>
      <c r="D44" s="231" t="n">
        <v>10</v>
      </c>
      <c r="E44" s="231" t="inlineStr"/>
      <c r="F44" s="231" t="inlineStr"/>
      <c r="G44" s="231" t="inlineStr"/>
      <c r="H44" s="231" t="inlineStr"/>
      <c r="I44" s="231" t="inlineStr"/>
      <c r="J44" s="27" t="inlineStr"/>
      <c r="K44" s="27" t="inlineStr"/>
      <c r="L44" s="231" t="n">
        <v>100</v>
      </c>
      <c r="M44" s="19" t="inlineStr">
        <is>
          <t>Product-914BA5F4</t>
        </is>
      </c>
      <c r="N44" s="231" t="n">
        <v>3</v>
      </c>
      <c r="O44" s="181">
        <f>SUM(P44:AB44)</f>
        <v/>
      </c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27" t="inlineStr"/>
      <c r="AD44" s="31" t="inlineStr"/>
      <c r="AE44" s="32" t="inlineStr">
        <is>
          <t>Brand-Anonymized</t>
        </is>
      </c>
      <c r="AF44" s="31" t="n">
        <v>200</v>
      </c>
      <c r="AG44" s="31" t="n"/>
    </row>
    <row r="45" customFormat="1" s="1">
      <c r="A45" s="234" t="n"/>
      <c r="B45" s="231" t="inlineStr">
        <is>
          <t>SKU-D86E9747</t>
        </is>
      </c>
      <c r="C45" s="231" t="inlineStr">
        <is>
          <t>是</t>
        </is>
      </c>
      <c r="D45" s="231" t="n">
        <v>9</v>
      </c>
      <c r="E45" s="231" t="inlineStr"/>
      <c r="F45" s="231" t="inlineStr">
        <is>
          <t>是</t>
        </is>
      </c>
      <c r="G45" s="231" t="inlineStr"/>
      <c r="H45" s="231" t="inlineStr"/>
      <c r="I45" s="231" t="inlineStr">
        <is>
          <t>是</t>
        </is>
      </c>
      <c r="J45" s="27" t="inlineStr"/>
      <c r="K45" s="27" t="inlineStr"/>
      <c r="L45" s="231" t="n">
        <v>100</v>
      </c>
      <c r="M45" s="33" t="inlineStr">
        <is>
          <t>Product-FF4227EA</t>
        </is>
      </c>
      <c r="N45" s="231" t="n">
        <v>1</v>
      </c>
      <c r="O45" s="181">
        <f>SUM(P45:AB45)</f>
        <v/>
      </c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27" t="inlineStr"/>
      <c r="AD45" s="31" t="inlineStr"/>
      <c r="AE45" s="32" t="inlineStr">
        <is>
          <t>Brand-Anonymized</t>
        </is>
      </c>
      <c r="AF45" s="31" t="n">
        <v>200</v>
      </c>
      <c r="AG45" s="31" t="n"/>
    </row>
    <row r="46" customFormat="1" s="1">
      <c r="A46" s="234" t="n"/>
      <c r="B46" s="231" t="inlineStr">
        <is>
          <t>SKU-7CB9F294</t>
        </is>
      </c>
      <c r="C46" s="231" t="inlineStr">
        <is>
          <t>是</t>
        </is>
      </c>
      <c r="D46" s="231" t="n">
        <v>7</v>
      </c>
      <c r="E46" s="231" t="inlineStr">
        <is>
          <t>是</t>
        </is>
      </c>
      <c r="F46" s="231" t="inlineStr"/>
      <c r="G46" s="231" t="inlineStr"/>
      <c r="H46" s="231" t="inlineStr"/>
      <c r="I46" s="231" t="inlineStr">
        <is>
          <t>是</t>
        </is>
      </c>
      <c r="J46" s="27" t="inlineStr"/>
      <c r="K46" s="27" t="inlineStr"/>
      <c r="L46" s="231" t="n">
        <v>100</v>
      </c>
      <c r="M46" s="19" t="inlineStr">
        <is>
          <t>Product-1F3A5A4E</t>
        </is>
      </c>
      <c r="N46" s="231" t="n">
        <v>1</v>
      </c>
      <c r="O46" s="181">
        <f>SUM(P46:AB46)</f>
        <v/>
      </c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31" t="n"/>
    </row>
    <row r="47" customFormat="1" s="1">
      <c r="A47" s="235" t="n"/>
      <c r="B47" s="80" t="n"/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40" t="n"/>
    </row>
    <row r="48" customFormat="1" s="1">
      <c r="A48" s="25" t="inlineStr">
        <is>
          <t>辽宁</t>
        </is>
      </c>
      <c r="B48" s="231" t="inlineStr">
        <is>
          <t>SKU-4BF6BE09</t>
        </is>
      </c>
      <c r="C48" s="231" t="inlineStr">
        <is>
          <t>是</t>
        </is>
      </c>
      <c r="D48" s="231" t="n">
        <v>11</v>
      </c>
      <c r="E48" s="231" t="inlineStr"/>
      <c r="F48" s="231" t="inlineStr"/>
      <c r="G48" s="231" t="inlineStr"/>
      <c r="H48" s="231" t="inlineStr"/>
      <c r="I48" s="231" t="inlineStr"/>
      <c r="J48" s="27" t="inlineStr"/>
      <c r="K48" s="27" t="inlineStr"/>
      <c r="L48" s="231" t="n">
        <v>100</v>
      </c>
      <c r="M48" s="44" t="inlineStr">
        <is>
          <t>Product-685982B2</t>
        </is>
      </c>
      <c r="N48" s="231" t="n">
        <v>2</v>
      </c>
      <c r="O48" s="181">
        <f>SUM(P48:AB48)</f>
        <v/>
      </c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27" t="inlineStr"/>
      <c r="AD48" s="31" t="inlineStr"/>
      <c r="AE48" s="32" t="inlineStr">
        <is>
          <t>Brand-Anonymized</t>
        </is>
      </c>
      <c r="AF48" s="31" t="n">
        <v>200</v>
      </c>
      <c r="AG48" s="31" t="n"/>
    </row>
    <row r="49" customFormat="1" s="1">
      <c r="A49" s="234" t="n"/>
      <c r="B49" s="231" t="inlineStr">
        <is>
          <t>SKU-68F01DAC</t>
        </is>
      </c>
      <c r="C49" s="231" t="inlineStr">
        <is>
          <t>是</t>
        </is>
      </c>
      <c r="D49" s="231" t="n">
        <v>6</v>
      </c>
      <c r="E49" s="231" t="inlineStr">
        <is>
          <t>是</t>
        </is>
      </c>
      <c r="F49" s="231" t="inlineStr"/>
      <c r="G49" s="231" t="inlineStr"/>
      <c r="H49" s="231" t="inlineStr"/>
      <c r="I49" s="231" t="inlineStr">
        <is>
          <t>是</t>
        </is>
      </c>
      <c r="J49" s="27" t="inlineStr">
        <is>
          <t>共</t>
        </is>
      </c>
      <c r="K49" s="27" t="inlineStr"/>
      <c r="L49" s="231" t="n">
        <v>100</v>
      </c>
      <c r="M49" s="19" t="inlineStr">
        <is>
          <t>Product-DB12469B</t>
        </is>
      </c>
      <c r="N49" s="231" t="n">
        <v>2</v>
      </c>
      <c r="O49" s="181">
        <f>SUM(P49:AB49)</f>
        <v/>
      </c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31" t="inlineStr">
        <is>
          <t>C</t>
        </is>
      </c>
    </row>
    <row r="50" customFormat="1" s="1">
      <c r="A50" s="234" t="n"/>
      <c r="B50" s="231" t="inlineStr">
        <is>
          <t>SKU-B376DBC8</t>
        </is>
      </c>
      <c r="C50" s="231" t="inlineStr">
        <is>
          <t>是</t>
        </is>
      </c>
      <c r="D50" s="231" t="n">
        <v>9</v>
      </c>
      <c r="E50" s="231" t="inlineStr"/>
      <c r="F50" s="231" t="inlineStr">
        <is>
          <t>是</t>
        </is>
      </c>
      <c r="G50" s="231" t="inlineStr"/>
      <c r="H50" s="231" t="inlineStr"/>
      <c r="I50" s="231" t="inlineStr">
        <is>
          <t>是</t>
        </is>
      </c>
      <c r="J50" s="27" t="inlineStr"/>
      <c r="K50" s="27" t="inlineStr"/>
      <c r="L50" s="231" t="n">
        <v>100</v>
      </c>
      <c r="M50" s="44" t="inlineStr">
        <is>
          <t>Product-12486764</t>
        </is>
      </c>
      <c r="N50" s="231" t="n">
        <v>1</v>
      </c>
      <c r="O50" s="181">
        <f>SUM(P50:AB50)</f>
        <v/>
      </c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31" t="inlineStr">
        <is>
          <t>C</t>
        </is>
      </c>
    </row>
    <row r="51" customFormat="1" s="1">
      <c r="A51" s="234" t="n"/>
      <c r="B51" s="231" t="inlineStr">
        <is>
          <t>SKU-D051F69D</t>
        </is>
      </c>
      <c r="C51" s="231" t="inlineStr">
        <is>
          <t>是</t>
        </is>
      </c>
      <c r="D51" s="231" t="n">
        <v>10</v>
      </c>
      <c r="E51" s="231" t="inlineStr"/>
      <c r="F51" s="231" t="inlineStr"/>
      <c r="G51" s="231" t="inlineStr"/>
      <c r="H51" s="231" t="inlineStr"/>
      <c r="I51" s="231" t="inlineStr"/>
      <c r="J51" s="27" t="inlineStr"/>
      <c r="K51" s="27" t="inlineStr"/>
      <c r="L51" s="231" t="n">
        <v>100</v>
      </c>
      <c r="M51" s="19" t="inlineStr">
        <is>
          <t>Product-89AAAC0F</t>
        </is>
      </c>
      <c r="N51" s="231" t="n">
        <v>1</v>
      </c>
      <c r="O51" s="181">
        <f>SUM(P51:AB51)</f>
        <v/>
      </c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31" t="inlineStr">
        <is>
          <t>C</t>
        </is>
      </c>
    </row>
    <row r="52" customFormat="1" s="1">
      <c r="A52" s="234" t="n"/>
      <c r="B52" s="231" t="inlineStr">
        <is>
          <t>SKU-D6DABD2C</t>
        </is>
      </c>
      <c r="C52" s="231" t="inlineStr">
        <is>
          <t>是</t>
        </is>
      </c>
      <c r="D52" s="231" t="n">
        <v>6</v>
      </c>
      <c r="E52" s="231" t="inlineStr">
        <is>
          <t>是</t>
        </is>
      </c>
      <c r="F52" s="231" t="inlineStr"/>
      <c r="G52" s="231" t="inlineStr"/>
      <c r="H52" s="231" t="inlineStr"/>
      <c r="I52" s="231" t="inlineStr">
        <is>
          <t>是</t>
        </is>
      </c>
      <c r="J52" s="27" t="inlineStr"/>
      <c r="K52" s="27" t="inlineStr"/>
      <c r="L52" s="231" t="n">
        <v>100</v>
      </c>
      <c r="M52" s="19" t="inlineStr">
        <is>
          <t>Product-E13E7723</t>
        </is>
      </c>
      <c r="N52" s="231" t="n">
        <v>1</v>
      </c>
      <c r="O52" s="181">
        <f>SUM(P52:AB52)</f>
        <v/>
      </c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31" t="inlineStr">
        <is>
          <t>C</t>
        </is>
      </c>
    </row>
    <row r="53" customFormat="1" s="1">
      <c r="A53" s="235" t="n"/>
      <c r="B53" s="80" t="n"/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40" t="n"/>
    </row>
    <row r="54" customFormat="1" s="1">
      <c r="A54" s="25" t="inlineStr">
        <is>
          <t>吉林</t>
        </is>
      </c>
      <c r="B54" s="231" t="inlineStr">
        <is>
          <t>SKU-58C29290</t>
        </is>
      </c>
      <c r="C54" s="231" t="inlineStr">
        <is>
          <t>是</t>
        </is>
      </c>
      <c r="D54" s="231" t="n">
        <v>8</v>
      </c>
      <c r="E54" s="231" t="inlineStr"/>
      <c r="F54" s="231" t="inlineStr"/>
      <c r="G54" s="231" t="inlineStr"/>
      <c r="H54" s="231" t="inlineStr"/>
      <c r="I54" s="231" t="inlineStr"/>
      <c r="J54" s="27" t="inlineStr"/>
      <c r="K54" s="27" t="inlineStr"/>
      <c r="L54" s="231" t="n">
        <v>100</v>
      </c>
      <c r="M54" s="19" t="inlineStr">
        <is>
          <t>Product-0F81BD89</t>
        </is>
      </c>
      <c r="N54" s="231" t="n">
        <v>3</v>
      </c>
      <c r="O54" s="181">
        <f>SUM(P54:AB54)</f>
        <v/>
      </c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27" t="inlineStr"/>
      <c r="AD54" s="31" t="inlineStr"/>
      <c r="AE54" s="32" t="inlineStr">
        <is>
          <t>Brand-Anonymized</t>
        </is>
      </c>
      <c r="AF54" s="31" t="n">
        <v>200</v>
      </c>
      <c r="AG54" s="31" t="n"/>
    </row>
    <row r="55" customFormat="1" s="1">
      <c r="A55" s="234" t="n"/>
      <c r="B55" s="231" t="inlineStr">
        <is>
          <t>SKU-204217AA</t>
        </is>
      </c>
      <c r="C55" s="231" t="inlineStr">
        <is>
          <t>是</t>
        </is>
      </c>
      <c r="D55" s="231" t="n">
        <v>9</v>
      </c>
      <c r="E55" s="231" t="inlineStr"/>
      <c r="F55" s="231" t="inlineStr"/>
      <c r="G55" s="231" t="inlineStr"/>
      <c r="H55" s="231" t="inlineStr"/>
      <c r="I55" s="231" t="inlineStr"/>
      <c r="J55" s="27" t="inlineStr"/>
      <c r="K55" s="27" t="inlineStr"/>
      <c r="L55" s="231" t="n">
        <v>100</v>
      </c>
      <c r="M55" s="19" t="inlineStr">
        <is>
          <t>Product-65B192F5</t>
        </is>
      </c>
      <c r="N55" s="231" t="n">
        <v>3</v>
      </c>
      <c r="O55" s="181">
        <f>SUM(P55:AB55)</f>
        <v/>
      </c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31" t="n"/>
    </row>
    <row r="56" customFormat="1" s="1">
      <c r="A56" s="234" t="n"/>
      <c r="B56" s="231" t="inlineStr">
        <is>
          <t>SKU-AA06D68B</t>
        </is>
      </c>
      <c r="C56" s="231" t="inlineStr">
        <is>
          <t>是</t>
        </is>
      </c>
      <c r="D56" s="231" t="n">
        <v>5</v>
      </c>
      <c r="E56" s="231" t="inlineStr"/>
      <c r="F56" s="231" t="inlineStr"/>
      <c r="G56" s="231" t="inlineStr"/>
      <c r="H56" s="231" t="inlineStr"/>
      <c r="I56" s="231" t="inlineStr"/>
      <c r="J56" s="27" t="inlineStr"/>
      <c r="K56" s="27" t="inlineStr"/>
      <c r="L56" s="231" t="n">
        <v>100</v>
      </c>
      <c r="M56" s="19" t="inlineStr">
        <is>
          <t>Product-BC490182</t>
        </is>
      </c>
      <c r="N56" s="231" t="n">
        <v>1</v>
      </c>
      <c r="O56" s="181">
        <f>SUM(P56:AB56)</f>
        <v/>
      </c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27" t="inlineStr"/>
      <c r="AD56" s="31" t="inlineStr"/>
      <c r="AE56" s="32" t="inlineStr">
        <is>
          <t>Brand-Anonymized</t>
        </is>
      </c>
      <c r="AF56" s="31" t="n">
        <v>200</v>
      </c>
      <c r="AG56" s="31" t="n"/>
    </row>
    <row r="57" customFormat="1" s="1">
      <c r="A57" s="234" t="n"/>
      <c r="B57" s="231" t="inlineStr">
        <is>
          <t>SKU-AB711576</t>
        </is>
      </c>
      <c r="C57" s="231" t="inlineStr">
        <is>
          <t>是</t>
        </is>
      </c>
      <c r="D57" s="231" t="n">
        <v>7</v>
      </c>
      <c r="E57" s="231" t="inlineStr">
        <is>
          <t>是</t>
        </is>
      </c>
      <c r="F57" s="231" t="inlineStr"/>
      <c r="G57" s="231" t="inlineStr"/>
      <c r="H57" s="231" t="inlineStr"/>
      <c r="I57" s="231" t="inlineStr">
        <is>
          <t>是</t>
        </is>
      </c>
      <c r="J57" s="27" t="inlineStr">
        <is>
          <t>共</t>
        </is>
      </c>
      <c r="K57" s="27" t="inlineStr"/>
      <c r="L57" s="231" t="n">
        <v>100</v>
      </c>
      <c r="M57" s="19" t="inlineStr">
        <is>
          <t>Product-606B1B6A</t>
        </is>
      </c>
      <c r="N57" s="231" t="n">
        <v>2</v>
      </c>
      <c r="O57" s="181">
        <f>SUM(P57:AB57)</f>
        <v/>
      </c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31" t="inlineStr">
        <is>
          <t>C</t>
        </is>
      </c>
    </row>
    <row r="58" customFormat="1" s="1">
      <c r="A58" s="234" t="n"/>
      <c r="B58" s="231" t="inlineStr">
        <is>
          <t>SKU-9F810407</t>
        </is>
      </c>
      <c r="C58" s="231" t="inlineStr">
        <is>
          <t>是</t>
        </is>
      </c>
      <c r="D58" s="231" t="n">
        <v>9</v>
      </c>
      <c r="E58" s="231" t="inlineStr"/>
      <c r="F58" s="231" t="inlineStr">
        <is>
          <t>是</t>
        </is>
      </c>
      <c r="G58" s="231" t="inlineStr"/>
      <c r="H58" s="231" t="inlineStr"/>
      <c r="I58" s="231" t="inlineStr">
        <is>
          <t>是</t>
        </is>
      </c>
      <c r="J58" s="27" t="inlineStr"/>
      <c r="K58" s="27" t="inlineStr"/>
      <c r="L58" s="231" t="n">
        <v>100</v>
      </c>
      <c r="M58" s="19" t="inlineStr">
        <is>
          <t>Product-F93B8445</t>
        </is>
      </c>
      <c r="N58" s="231" t="n">
        <v>3</v>
      </c>
      <c r="O58" s="181">
        <f>SUM(P58:AB58)</f>
        <v/>
      </c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31" t="inlineStr">
        <is>
          <t>C</t>
        </is>
      </c>
    </row>
    <row r="59" customFormat="1" s="1">
      <c r="A59" s="234" t="n"/>
      <c r="B59" s="231" t="inlineStr">
        <is>
          <t>SKU-F676B681</t>
        </is>
      </c>
      <c r="C59" s="231" t="inlineStr">
        <is>
          <t>是</t>
        </is>
      </c>
      <c r="D59" s="231" t="n">
        <v>9</v>
      </c>
      <c r="E59" s="231" t="inlineStr"/>
      <c r="F59" s="231" t="inlineStr">
        <is>
          <t>是</t>
        </is>
      </c>
      <c r="G59" s="231" t="inlineStr"/>
      <c r="H59" s="231" t="inlineStr"/>
      <c r="I59" s="231" t="inlineStr">
        <is>
          <t>是</t>
        </is>
      </c>
      <c r="J59" s="27" t="inlineStr"/>
      <c r="K59" s="27" t="inlineStr"/>
      <c r="L59" s="231" t="n">
        <v>100</v>
      </c>
      <c r="M59" s="44" t="inlineStr">
        <is>
          <t>Product-33875634</t>
        </is>
      </c>
      <c r="N59" s="231" t="n">
        <v>1</v>
      </c>
      <c r="O59" s="181">
        <f>SUM(P59:AB59)</f>
        <v/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27" t="inlineStr"/>
      <c r="AD59" s="31" t="inlineStr"/>
      <c r="AE59" s="32" t="inlineStr">
        <is>
          <t>Brand-Anonymized</t>
        </is>
      </c>
      <c r="AF59" s="31" t="n">
        <v>200</v>
      </c>
      <c r="AG59" s="31" t="n"/>
    </row>
    <row r="60" customFormat="1" s="1">
      <c r="A60" s="234" t="n"/>
      <c r="B60" s="231" t="inlineStr">
        <is>
          <t>SKU-E4C1BC6F</t>
        </is>
      </c>
      <c r="C60" s="231" t="inlineStr">
        <is>
          <t>是</t>
        </is>
      </c>
      <c r="D60" s="231" t="n">
        <v>8</v>
      </c>
      <c r="E60" s="231" t="inlineStr">
        <is>
          <t>是</t>
        </is>
      </c>
      <c r="F60" s="231" t="inlineStr"/>
      <c r="G60" s="231" t="inlineStr"/>
      <c r="H60" s="231" t="inlineStr"/>
      <c r="I60" s="231" t="inlineStr">
        <is>
          <t>是</t>
        </is>
      </c>
      <c r="J60" s="27" t="inlineStr">
        <is>
          <t>共</t>
        </is>
      </c>
      <c r="K60" s="27" t="inlineStr"/>
      <c r="L60" s="231" t="n">
        <v>100</v>
      </c>
      <c r="M60" s="19" t="inlineStr">
        <is>
          <t>Product-10F9DCAD</t>
        </is>
      </c>
      <c r="N60" s="231" t="n">
        <v>1</v>
      </c>
      <c r="O60" s="181">
        <f>SUM(P60:AB60)</f>
        <v/>
      </c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31" t="inlineStr">
        <is>
          <t>C</t>
        </is>
      </c>
    </row>
    <row r="61" customFormat="1" s="1">
      <c r="A61" s="234" t="n"/>
      <c r="B61" s="231" t="inlineStr">
        <is>
          <t>SKU-CD605EDE</t>
        </is>
      </c>
      <c r="C61" s="231" t="inlineStr">
        <is>
          <t>是</t>
        </is>
      </c>
      <c r="D61" s="231" t="n">
        <v>9</v>
      </c>
      <c r="E61" s="231" t="inlineStr"/>
      <c r="F61" s="231" t="inlineStr">
        <is>
          <t>是</t>
        </is>
      </c>
      <c r="G61" s="231" t="inlineStr"/>
      <c r="H61" s="231" t="inlineStr"/>
      <c r="I61" s="231" t="inlineStr">
        <is>
          <t>是</t>
        </is>
      </c>
      <c r="J61" s="27" t="inlineStr"/>
      <c r="K61" s="27" t="inlineStr"/>
      <c r="L61" s="231" t="n">
        <v>100</v>
      </c>
      <c r="M61" s="19" t="inlineStr">
        <is>
          <t>Product-219B759F</t>
        </is>
      </c>
      <c r="N61" s="231" t="n">
        <v>1</v>
      </c>
      <c r="O61" s="181">
        <f>SUM(P61:AB61)</f>
        <v/>
      </c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31" t="inlineStr">
        <is>
          <t>C</t>
        </is>
      </c>
    </row>
    <row r="62" customFormat="1" s="1">
      <c r="A62" s="235" t="n"/>
      <c r="B62" s="80" t="n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40" t="n"/>
    </row>
    <row r="63" customFormat="1" s="1">
      <c r="A63" s="25" t="inlineStr">
        <is>
          <t>深圳</t>
        </is>
      </c>
      <c r="B63" s="231" t="inlineStr">
        <is>
          <t>SKU-BBC3DCE6</t>
        </is>
      </c>
      <c r="C63" s="231" t="inlineStr">
        <is>
          <t>是</t>
        </is>
      </c>
      <c r="D63" s="231" t="n">
        <v>8</v>
      </c>
      <c r="E63" s="231" t="inlineStr">
        <is>
          <t>是</t>
        </is>
      </c>
      <c r="F63" s="231" t="inlineStr"/>
      <c r="G63" s="231" t="inlineStr"/>
      <c r="H63" s="231" t="inlineStr"/>
      <c r="I63" s="231" t="inlineStr">
        <is>
          <t>是</t>
        </is>
      </c>
      <c r="J63" s="27" t="inlineStr"/>
      <c r="K63" s="27" t="inlineStr"/>
      <c r="L63" s="231" t="n">
        <v>100</v>
      </c>
      <c r="M63" s="19" t="inlineStr">
        <is>
          <t>Product-3237B6F2</t>
        </is>
      </c>
      <c r="N63" s="231" t="n">
        <v>1</v>
      </c>
      <c r="O63" s="181">
        <f>SUM(P63:AB63)</f>
        <v/>
      </c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31" t="inlineStr">
        <is>
          <t>C</t>
        </is>
      </c>
    </row>
    <row r="64" customFormat="1" s="1">
      <c r="A64" s="234" t="n"/>
      <c r="B64" s="231" t="inlineStr">
        <is>
          <t>SKU-B505F1AF</t>
        </is>
      </c>
      <c r="C64" s="231" t="inlineStr">
        <is>
          <t>是</t>
        </is>
      </c>
      <c r="D64" s="231" t="n">
        <v>10</v>
      </c>
      <c r="E64" s="231" t="inlineStr"/>
      <c r="F64" s="231" t="inlineStr">
        <is>
          <t>是</t>
        </is>
      </c>
      <c r="G64" s="231" t="inlineStr"/>
      <c r="H64" s="231" t="inlineStr"/>
      <c r="I64" s="231" t="inlineStr">
        <is>
          <t>是</t>
        </is>
      </c>
      <c r="J64" s="27" t="inlineStr"/>
      <c r="K64" s="27" t="inlineStr"/>
      <c r="L64" s="231" t="n">
        <v>100</v>
      </c>
      <c r="M64" s="19" t="inlineStr">
        <is>
          <t>Product-3EEAD3B7</t>
        </is>
      </c>
      <c r="N64" s="231" t="n">
        <v>1</v>
      </c>
      <c r="O64" s="181">
        <f>SUM(P64:AB64)</f>
        <v/>
      </c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31" t="inlineStr">
        <is>
          <t>C</t>
        </is>
      </c>
    </row>
    <row r="65" customFormat="1" s="1">
      <c r="A65" s="235" t="n"/>
      <c r="B65" s="80" t="n"/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40" t="n"/>
    </row>
    <row r="66" customFormat="1" s="1">
      <c r="A66" s="25" t="inlineStr">
        <is>
          <t>甘肃</t>
        </is>
      </c>
      <c r="B66" s="231" t="inlineStr">
        <is>
          <t>SKU-ADBD66B8</t>
        </is>
      </c>
      <c r="C66" s="231" t="inlineStr">
        <is>
          <t>是</t>
        </is>
      </c>
      <c r="D66" s="231" t="n">
        <v>6</v>
      </c>
      <c r="E66" s="231" t="inlineStr"/>
      <c r="F66" s="231" t="inlineStr"/>
      <c r="G66" s="231" t="inlineStr"/>
      <c r="H66" s="231" t="inlineStr"/>
      <c r="I66" s="231" t="inlineStr"/>
      <c r="J66" s="27" t="inlineStr"/>
      <c r="K66" s="27" t="inlineStr"/>
      <c r="L66" s="231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31" t="n"/>
    </row>
    <row r="67" customFormat="1" s="1">
      <c r="A67" s="234" t="n"/>
      <c r="B67" s="231" t="inlineStr">
        <is>
          <t>SKU-77309807</t>
        </is>
      </c>
      <c r="C67" s="231" t="inlineStr">
        <is>
          <t>是</t>
        </is>
      </c>
      <c r="D67" s="231" t="n">
        <v>8</v>
      </c>
      <c r="E67" s="231" t="inlineStr"/>
      <c r="F67" s="231" t="inlineStr"/>
      <c r="G67" s="231" t="inlineStr"/>
      <c r="H67" s="231" t="inlineStr"/>
      <c r="I67" s="231" t="inlineStr"/>
      <c r="J67" s="27" t="inlineStr">
        <is>
          <t>共</t>
        </is>
      </c>
      <c r="K67" s="27" t="inlineStr"/>
      <c r="L67" s="231" t="n">
        <v>100</v>
      </c>
      <c r="M67" s="19" t="inlineStr">
        <is>
          <t>Product-569CC6FE</t>
        </is>
      </c>
      <c r="N67" s="231" t="n">
        <v>2</v>
      </c>
      <c r="O67" s="181">
        <f>SUM(P67:AB67)</f>
        <v/>
      </c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27" t="inlineStr"/>
      <c r="AD67" s="31" t="inlineStr"/>
      <c r="AE67" s="32" t="inlineStr">
        <is>
          <t>Brand-Anonymized</t>
        </is>
      </c>
      <c r="AF67" s="31" t="n">
        <v>200</v>
      </c>
      <c r="AG67" s="31" t="n"/>
    </row>
    <row r="68" customFormat="1" s="1">
      <c r="A68" s="234" t="n"/>
      <c r="B68" s="231" t="inlineStr">
        <is>
          <t>SKU-20CF6943</t>
        </is>
      </c>
      <c r="C68" s="231" t="inlineStr">
        <is>
          <t>是</t>
        </is>
      </c>
      <c r="D68" s="231" t="n">
        <v>8</v>
      </c>
      <c r="E68" s="231" t="inlineStr"/>
      <c r="F68" s="231" t="inlineStr"/>
      <c r="G68" s="231" t="inlineStr"/>
      <c r="H68" s="231" t="inlineStr">
        <is>
          <t>是</t>
        </is>
      </c>
      <c r="I68" s="231" t="inlineStr">
        <is>
          <t>是</t>
        </is>
      </c>
      <c r="J68" s="27" t="inlineStr"/>
      <c r="K68" s="27" t="inlineStr"/>
      <c r="L68" s="231" t="n">
        <v>100</v>
      </c>
      <c r="M68" s="19" t="inlineStr">
        <is>
          <t>Product-D195C7CE</t>
        </is>
      </c>
      <c r="N68" s="231" t="n">
        <v>3</v>
      </c>
      <c r="O68" s="181">
        <f>SUM(P68:AB68)</f>
        <v/>
      </c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27" t="inlineStr"/>
      <c r="AD68" s="31" t="inlineStr"/>
      <c r="AE68" s="32" t="inlineStr">
        <is>
          <t>Brand-Anonymized</t>
        </is>
      </c>
      <c r="AF68" s="31" t="n">
        <v>200</v>
      </c>
      <c r="AG68" s="31" t="n"/>
    </row>
    <row r="69" customFormat="1" s="1">
      <c r="A69" s="234" t="n"/>
      <c r="B69" s="231" t="inlineStr">
        <is>
          <t>SKU-64A5E460</t>
        </is>
      </c>
      <c r="C69" s="231" t="inlineStr">
        <is>
          <t>是</t>
        </is>
      </c>
      <c r="D69" s="231" t="n">
        <v>8</v>
      </c>
      <c r="E69" s="231" t="inlineStr"/>
      <c r="F69" s="231" t="inlineStr">
        <is>
          <t>是</t>
        </is>
      </c>
      <c r="G69" s="231" t="inlineStr"/>
      <c r="H69" s="231" t="inlineStr"/>
      <c r="I69" s="231" t="inlineStr">
        <is>
          <t>是</t>
        </is>
      </c>
      <c r="J69" s="27" t="inlineStr"/>
      <c r="K69" s="27" t="inlineStr"/>
      <c r="L69" s="231" t="n">
        <v>100</v>
      </c>
      <c r="M69" s="19" t="inlineStr">
        <is>
          <t>Product-6C74D635</t>
        </is>
      </c>
      <c r="N69" s="231" t="n">
        <v>1</v>
      </c>
      <c r="O69" s="181">
        <f>SUM(P69:AB69)</f>
        <v/>
      </c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31" t="inlineStr">
        <is>
          <t>C</t>
        </is>
      </c>
    </row>
    <row r="70" customFormat="1" s="1">
      <c r="A70" s="235" t="n"/>
      <c r="B70" s="80" t="n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40" t="n"/>
    </row>
    <row r="71" customFormat="1" s="1">
      <c r="A71" s="60" t="inlineStr">
        <is>
          <t>黑龙江</t>
        </is>
      </c>
      <c r="B71" s="231" t="inlineStr">
        <is>
          <t>SKU-D485CCCA</t>
        </is>
      </c>
      <c r="C71" s="231" t="inlineStr"/>
      <c r="D71" s="231" t="n">
        <v>10</v>
      </c>
      <c r="E71" s="231" t="inlineStr"/>
      <c r="F71" s="231" t="inlineStr">
        <is>
          <t>是</t>
        </is>
      </c>
      <c r="G71" s="231" t="inlineStr"/>
      <c r="H71" s="231" t="inlineStr"/>
      <c r="I71" s="231" t="inlineStr">
        <is>
          <t>是</t>
        </is>
      </c>
      <c r="J71" s="27" t="inlineStr"/>
      <c r="K71" s="27" t="inlineStr"/>
      <c r="L71" s="231" t="n">
        <v>100</v>
      </c>
      <c r="M71" s="19" t="inlineStr">
        <is>
          <t>Product-05507059</t>
        </is>
      </c>
      <c r="N71" s="231" t="n">
        <v>3</v>
      </c>
      <c r="O71" s="181">
        <f>SUM(P71:AB71)</f>
        <v/>
      </c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31" t="inlineStr">
        <is>
          <t>C</t>
        </is>
      </c>
    </row>
    <row r="72" customFormat="1" s="1">
      <c r="A72" s="234" t="n"/>
      <c r="B72" s="231" t="inlineStr">
        <is>
          <t>SKU-66238053</t>
        </is>
      </c>
      <c r="C72" s="231" t="inlineStr"/>
      <c r="D72" s="231" t="n">
        <v>8</v>
      </c>
      <c r="E72" s="231" t="inlineStr">
        <is>
          <t>是</t>
        </is>
      </c>
      <c r="F72" s="231" t="inlineStr"/>
      <c r="G72" s="231" t="inlineStr"/>
      <c r="H72" s="231" t="inlineStr"/>
      <c r="I72" s="231" t="inlineStr">
        <is>
          <t>是</t>
        </is>
      </c>
      <c r="J72" s="27" t="inlineStr"/>
      <c r="K72" s="27" t="inlineStr"/>
      <c r="L72" s="231" t="n">
        <v>100</v>
      </c>
      <c r="M72" s="43" t="inlineStr">
        <is>
          <t>Product-B4F67B70</t>
        </is>
      </c>
      <c r="N72" s="231" t="n">
        <v>2</v>
      </c>
      <c r="O72" s="181">
        <f>SUM(P72:AB72)</f>
        <v/>
      </c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31" t="inlineStr">
        <is>
          <t>C</t>
        </is>
      </c>
    </row>
    <row r="73" customFormat="1" s="1">
      <c r="A73" s="234" t="n"/>
      <c r="B73" s="231" t="inlineStr">
        <is>
          <t>SKU-AEC03642</t>
        </is>
      </c>
      <c r="C73" s="231" t="inlineStr"/>
      <c r="D73" s="231" t="n">
        <v>8</v>
      </c>
      <c r="E73" s="231" t="inlineStr"/>
      <c r="F73" s="231" t="inlineStr">
        <is>
          <t>是</t>
        </is>
      </c>
      <c r="G73" s="231" t="inlineStr"/>
      <c r="H73" s="231" t="inlineStr"/>
      <c r="I73" s="231" t="inlineStr">
        <is>
          <t>是</t>
        </is>
      </c>
      <c r="J73" s="27" t="inlineStr"/>
      <c r="K73" s="27" t="inlineStr"/>
      <c r="L73" s="231" t="n">
        <v>100</v>
      </c>
      <c r="M73" s="45" t="inlineStr">
        <is>
          <t>Product-5A4A091A</t>
        </is>
      </c>
      <c r="N73" s="231" t="n">
        <v>1</v>
      </c>
      <c r="O73" s="181">
        <f>SUM(P73:AB73)</f>
        <v/>
      </c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31" t="n"/>
    </row>
    <row r="74" customFormat="1" s="1">
      <c r="A74" s="235" t="n"/>
      <c r="B74" s="80" t="n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40" t="n"/>
    </row>
    <row r="75" customFormat="1" s="1">
      <c r="A75" s="25" t="inlineStr">
        <is>
          <t>内蒙</t>
        </is>
      </c>
      <c r="B75" s="231" t="inlineStr">
        <is>
          <t>SKU-6FADBEBD</t>
        </is>
      </c>
      <c r="C75" s="231" t="inlineStr">
        <is>
          <t>是</t>
        </is>
      </c>
      <c r="D75" s="231" t="n">
        <v>5</v>
      </c>
      <c r="E75" s="231" t="inlineStr">
        <is>
          <t>是</t>
        </is>
      </c>
      <c r="F75" s="231" t="inlineStr"/>
      <c r="G75" s="231" t="inlineStr"/>
      <c r="H75" s="231" t="inlineStr"/>
      <c r="I75" s="231" t="inlineStr">
        <is>
          <t>是</t>
        </is>
      </c>
      <c r="J75" s="27" t="inlineStr">
        <is>
          <t>共</t>
        </is>
      </c>
      <c r="K75" s="27" t="inlineStr"/>
      <c r="L75" s="231" t="n">
        <v>100</v>
      </c>
      <c r="M75" s="19" t="inlineStr">
        <is>
          <t>Product-224E6368</t>
        </is>
      </c>
      <c r="N75" s="231" t="n">
        <v>1</v>
      </c>
      <c r="O75" s="181">
        <f>SUM(P75:AB75)</f>
        <v/>
      </c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31" t="inlineStr">
        <is>
          <t>C</t>
        </is>
      </c>
    </row>
    <row r="76" customFormat="1" s="1">
      <c r="A76" s="234" t="n"/>
      <c r="B76" s="231" t="inlineStr">
        <is>
          <t>SKU-6772DEBE</t>
        </is>
      </c>
      <c r="C76" s="231" t="inlineStr">
        <is>
          <t>是</t>
        </is>
      </c>
      <c r="D76" s="231" t="n">
        <v>6</v>
      </c>
      <c r="E76" s="231" t="inlineStr"/>
      <c r="F76" s="231" t="inlineStr">
        <is>
          <t>是</t>
        </is>
      </c>
      <c r="G76" s="231" t="inlineStr"/>
      <c r="H76" s="231" t="inlineStr"/>
      <c r="I76" s="231" t="inlineStr">
        <is>
          <t>是</t>
        </is>
      </c>
      <c r="J76" s="27" t="inlineStr"/>
      <c r="K76" s="27" t="inlineStr"/>
      <c r="L76" s="231" t="n">
        <v>100</v>
      </c>
      <c r="M76" s="19" t="inlineStr">
        <is>
          <t>Product-82693D22</t>
        </is>
      </c>
      <c r="N76" s="231" t="n">
        <v>1</v>
      </c>
      <c r="O76" s="181">
        <f>SUM(P76:AB76)</f>
        <v/>
      </c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31" t="inlineStr">
        <is>
          <t>C</t>
        </is>
      </c>
    </row>
    <row r="77" customFormat="1" s="1">
      <c r="A77" s="234" t="n"/>
      <c r="B77" s="231" t="inlineStr">
        <is>
          <t>SKU-3B2628FE</t>
        </is>
      </c>
      <c r="C77" s="231" t="inlineStr">
        <is>
          <t>是</t>
        </is>
      </c>
      <c r="D77" s="231" t="n">
        <v>8</v>
      </c>
      <c r="E77" s="231" t="inlineStr"/>
      <c r="F77" s="231" t="inlineStr">
        <is>
          <t>是</t>
        </is>
      </c>
      <c r="G77" s="231" t="inlineStr"/>
      <c r="H77" s="231" t="inlineStr"/>
      <c r="I77" s="231" t="inlineStr">
        <is>
          <t>是</t>
        </is>
      </c>
      <c r="J77" s="27" t="inlineStr"/>
      <c r="K77" s="27" t="inlineStr"/>
      <c r="L77" s="231" t="n">
        <v>100</v>
      </c>
      <c r="M77" s="44" t="inlineStr">
        <is>
          <t>Product-F68D7468</t>
        </is>
      </c>
      <c r="N77" s="231" t="n">
        <v>1</v>
      </c>
      <c r="O77" s="181">
        <f>SUM(P77:AB77)</f>
        <v/>
      </c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27" t="inlineStr"/>
      <c r="AD77" s="31" t="inlineStr"/>
      <c r="AE77" s="32" t="inlineStr">
        <is>
          <t>Brand-Anonymized</t>
        </is>
      </c>
      <c r="AF77" s="31" t="n">
        <v>200</v>
      </c>
      <c r="AG77" s="31" t="n"/>
    </row>
    <row r="78" customFormat="1" s="1">
      <c r="A78" s="234" t="n"/>
      <c r="B78" s="231" t="inlineStr">
        <is>
          <t>SKU-01CFC7C8</t>
        </is>
      </c>
      <c r="C78" s="231" t="inlineStr">
        <is>
          <t>是</t>
        </is>
      </c>
      <c r="D78" s="231" t="n">
        <v>3</v>
      </c>
      <c r="E78" s="231" t="inlineStr">
        <is>
          <t>是</t>
        </is>
      </c>
      <c r="F78" s="231" t="inlineStr"/>
      <c r="G78" s="231" t="inlineStr"/>
      <c r="H78" s="231" t="inlineStr"/>
      <c r="I78" s="231" t="inlineStr">
        <is>
          <t>是</t>
        </is>
      </c>
      <c r="J78" s="27" t="inlineStr"/>
      <c r="K78" s="27" t="inlineStr"/>
      <c r="L78" s="231" t="n">
        <v>100</v>
      </c>
      <c r="M78" s="19" t="inlineStr">
        <is>
          <t>Product-1385CA82</t>
        </is>
      </c>
      <c r="N78" s="231" t="n">
        <v>1</v>
      </c>
      <c r="O78" s="181">
        <f>SUM(P78:AB78)</f>
        <v/>
      </c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31" t="inlineStr">
        <is>
          <t>C</t>
        </is>
      </c>
    </row>
    <row r="79" customFormat="1" s="1">
      <c r="A79" s="234" t="n"/>
      <c r="B79" s="231" t="inlineStr">
        <is>
          <t>SKU-3BC6D3D6</t>
        </is>
      </c>
      <c r="C79" s="231" t="inlineStr">
        <is>
          <t>是</t>
        </is>
      </c>
      <c r="D79" s="231" t="n">
        <v>10</v>
      </c>
      <c r="E79" s="231" t="inlineStr"/>
      <c r="F79" s="231" t="inlineStr"/>
      <c r="G79" s="231" t="inlineStr"/>
      <c r="H79" s="231" t="inlineStr"/>
      <c r="I79" s="231" t="inlineStr"/>
      <c r="J79" s="27" t="inlineStr"/>
      <c r="K79" s="27" t="inlineStr"/>
      <c r="L79" s="231" t="n">
        <v>100</v>
      </c>
      <c r="M79" s="19" t="inlineStr">
        <is>
          <t>Product-7FD02DE1</t>
        </is>
      </c>
      <c r="N79" s="231" t="n">
        <v>2</v>
      </c>
      <c r="O79" s="181">
        <f>SUM(P79:AB79)</f>
        <v/>
      </c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27" t="inlineStr"/>
      <c r="AD79" s="31" t="inlineStr"/>
      <c r="AE79" s="32" t="inlineStr">
        <is>
          <t>Brand-Anonymized</t>
        </is>
      </c>
      <c r="AF79" s="31" t="n">
        <v>200</v>
      </c>
      <c r="AG79" s="31" t="n"/>
    </row>
    <row r="80" customFormat="1" s="1">
      <c r="A80" s="235" t="n"/>
      <c r="B80" s="80" t="n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40" t="n"/>
    </row>
    <row r="81" customFormat="1" s="1">
      <c r="A81" s="25" t="inlineStr">
        <is>
          <t>海南</t>
        </is>
      </c>
      <c r="B81" s="231" t="inlineStr">
        <is>
          <t>SKU-2379F692</t>
        </is>
      </c>
      <c r="C81" s="231" t="inlineStr"/>
      <c r="D81" s="231" t="n">
        <v>8</v>
      </c>
      <c r="E81" s="231" t="inlineStr">
        <is>
          <t>是</t>
        </is>
      </c>
      <c r="F81" s="231" t="inlineStr"/>
      <c r="G81" s="231" t="inlineStr"/>
      <c r="H81" s="231" t="inlineStr">
        <is>
          <t>是</t>
        </is>
      </c>
      <c r="I81" s="231" t="inlineStr">
        <is>
          <t>是</t>
        </is>
      </c>
      <c r="J81" s="27" t="inlineStr"/>
      <c r="K81" s="27" t="inlineStr"/>
      <c r="L81" s="231" t="n">
        <v>100</v>
      </c>
      <c r="M81" s="19" t="inlineStr">
        <is>
          <t>Product-1E77ED33</t>
        </is>
      </c>
      <c r="N81" s="231" t="n">
        <v>1</v>
      </c>
      <c r="O81" s="181">
        <f>SUM(P81:AB81)</f>
        <v/>
      </c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31" t="inlineStr">
        <is>
          <t>C</t>
        </is>
      </c>
    </row>
    <row r="82" customFormat="1" s="1">
      <c r="A82" s="234" t="n"/>
      <c r="B82" s="231" t="inlineStr">
        <is>
          <t>SKU-F2B0F984</t>
        </is>
      </c>
      <c r="C82" s="231" t="inlineStr"/>
      <c r="D82" s="231" t="n">
        <v>10</v>
      </c>
      <c r="E82" s="231" t="inlineStr"/>
      <c r="F82" s="231" t="inlineStr"/>
      <c r="G82" s="231" t="inlineStr"/>
      <c r="H82" s="231" t="inlineStr"/>
      <c r="I82" s="231" t="inlineStr"/>
      <c r="J82" s="27" t="inlineStr"/>
      <c r="K82" s="27" t="inlineStr"/>
      <c r="L82" s="231" t="n">
        <v>100</v>
      </c>
      <c r="M82" s="19" t="inlineStr">
        <is>
          <t>Product-BB38CDED</t>
        </is>
      </c>
      <c r="N82" s="231" t="n">
        <v>1</v>
      </c>
      <c r="O82" s="181">
        <f>SUM(P82:AB82)</f>
        <v/>
      </c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31" t="inlineStr">
        <is>
          <t>C</t>
        </is>
      </c>
    </row>
    <row r="83" customFormat="1" s="1">
      <c r="A83" s="235" t="n"/>
      <c r="B83" s="80" t="n"/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40" t="n"/>
    </row>
    <row r="84" customFormat="1" s="1">
      <c r="A84" s="50" t="n"/>
      <c r="B84" s="80" t="n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40" t="n"/>
    </row>
    <row r="85" customFormat="1" s="1">
      <c r="A85" s="25" t="inlineStr">
        <is>
          <t>江苏</t>
        </is>
      </c>
      <c r="B85" s="231" t="inlineStr">
        <is>
          <t>SKU-8A01A251</t>
        </is>
      </c>
      <c r="C85" s="231" t="inlineStr">
        <is>
          <t>是</t>
        </is>
      </c>
      <c r="D85" s="231" t="n">
        <v>11</v>
      </c>
      <c r="E85" s="231" t="inlineStr"/>
      <c r="F85" s="231" t="inlineStr"/>
      <c r="G85" s="231" t="inlineStr"/>
      <c r="H85" s="231" t="inlineStr"/>
      <c r="I85" s="231" t="inlineStr"/>
      <c r="J85" s="27" t="inlineStr"/>
      <c r="K85" s="27" t="inlineStr"/>
      <c r="L85" s="231" t="n">
        <v>100</v>
      </c>
      <c r="M85" s="33" t="inlineStr">
        <is>
          <t>Product-E520A49A</t>
        </is>
      </c>
      <c r="N85" s="231" t="n">
        <v>2</v>
      </c>
      <c r="O85" s="181">
        <f>SUM(P85:AB85)</f>
        <v/>
      </c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27" t="inlineStr"/>
      <c r="AD85" s="31" t="inlineStr"/>
      <c r="AE85" s="32" t="inlineStr">
        <is>
          <t>Brand-Anonymized</t>
        </is>
      </c>
      <c r="AF85" s="31" t="n">
        <v>200</v>
      </c>
      <c r="AG85" s="31" t="n"/>
    </row>
    <row r="86" customFormat="1" s="1">
      <c r="A86" s="234" t="n"/>
      <c r="B86" s="231" t="inlineStr">
        <is>
          <t>SKU-F12BD851</t>
        </is>
      </c>
      <c r="C86" s="231" t="inlineStr">
        <is>
          <t>是</t>
        </is>
      </c>
      <c r="D86" s="231" t="n">
        <v>11</v>
      </c>
      <c r="E86" s="231" t="inlineStr"/>
      <c r="F86" s="231" t="inlineStr"/>
      <c r="G86" s="231" t="inlineStr"/>
      <c r="H86" s="231" t="inlineStr"/>
      <c r="I86" s="231" t="inlineStr"/>
      <c r="J86" s="27" t="inlineStr">
        <is>
          <t>共</t>
        </is>
      </c>
      <c r="K86" s="27" t="inlineStr"/>
      <c r="L86" s="231" t="n">
        <v>100</v>
      </c>
      <c r="M86" s="19" t="inlineStr">
        <is>
          <t>Product-C8CC2E46</t>
        </is>
      </c>
      <c r="N86" s="231" t="n">
        <v>2</v>
      </c>
      <c r="O86" s="181">
        <f>SUM(P86:AB86)</f>
        <v/>
      </c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27" t="inlineStr"/>
      <c r="AD86" s="31" t="inlineStr"/>
      <c r="AE86" s="32" t="inlineStr">
        <is>
          <t>Brand-Anonymized</t>
        </is>
      </c>
      <c r="AF86" s="31" t="n">
        <v>200</v>
      </c>
      <c r="AG86" s="31" t="n"/>
    </row>
    <row r="87" customFormat="1" s="1">
      <c r="A87" s="234" t="n"/>
      <c r="B87" s="231" t="inlineStr">
        <is>
          <t>SKU-FBC6A90A</t>
        </is>
      </c>
      <c r="C87" s="231" t="inlineStr">
        <is>
          <t>是</t>
        </is>
      </c>
      <c r="D87" s="231" t="n">
        <v>11</v>
      </c>
      <c r="E87" s="231" t="inlineStr"/>
      <c r="F87" s="231" t="inlineStr"/>
      <c r="G87" s="231" t="inlineStr"/>
      <c r="H87" s="231" t="inlineStr"/>
      <c r="I87" s="231" t="inlineStr"/>
      <c r="J87" s="27" t="inlineStr"/>
      <c r="K87" s="27" t="inlineStr"/>
      <c r="L87" s="231" t="n">
        <v>100</v>
      </c>
      <c r="M87" s="44" t="inlineStr">
        <is>
          <t>Product-6215959E</t>
        </is>
      </c>
      <c r="N87" s="231" t="n">
        <v>1</v>
      </c>
      <c r="O87" s="181">
        <f>SUM(P87:AB87)</f>
        <v/>
      </c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31" t="inlineStr">
        <is>
          <t>C</t>
        </is>
      </c>
    </row>
    <row r="88" customFormat="1" s="1">
      <c r="A88" s="234" t="n"/>
      <c r="B88" s="231" t="inlineStr">
        <is>
          <t>SKU-8D50A17D</t>
        </is>
      </c>
      <c r="C88" s="231" t="inlineStr">
        <is>
          <t>是</t>
        </is>
      </c>
      <c r="D88" s="231" t="n">
        <v>5</v>
      </c>
      <c r="E88" s="231" t="inlineStr">
        <is>
          <t>是</t>
        </is>
      </c>
      <c r="F88" s="231" t="inlineStr"/>
      <c r="G88" s="231" t="inlineStr"/>
      <c r="H88" s="231" t="inlineStr"/>
      <c r="I88" s="231" t="inlineStr">
        <is>
          <t>是</t>
        </is>
      </c>
      <c r="J88" s="27" t="inlineStr">
        <is>
          <t>共</t>
        </is>
      </c>
      <c r="K88" s="27" t="inlineStr"/>
      <c r="L88" s="231" t="n">
        <v>100</v>
      </c>
      <c r="M88" s="19" t="inlineStr">
        <is>
          <t>Product-33956506</t>
        </is>
      </c>
      <c r="N88" s="231" t="n">
        <v>1</v>
      </c>
      <c r="O88" s="181">
        <f>SUM(P88:AB88)</f>
        <v/>
      </c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31" t="inlineStr">
        <is>
          <t>C</t>
        </is>
      </c>
    </row>
    <row r="89" customFormat="1" s="1">
      <c r="A89" s="234" t="n"/>
      <c r="B89" s="231" t="inlineStr">
        <is>
          <t>SKU-685DD3D2</t>
        </is>
      </c>
      <c r="C89" s="231" t="inlineStr">
        <is>
          <t>是</t>
        </is>
      </c>
      <c r="D89" s="231" t="n">
        <v>6</v>
      </c>
      <c r="E89" s="231" t="inlineStr">
        <is>
          <t>是</t>
        </is>
      </c>
      <c r="F89" s="231" t="inlineStr"/>
      <c r="G89" s="231" t="inlineStr"/>
      <c r="H89" s="231" t="inlineStr"/>
      <c r="I89" s="231" t="inlineStr">
        <is>
          <t>是</t>
        </is>
      </c>
      <c r="J89" s="27" t="inlineStr">
        <is>
          <t>共</t>
        </is>
      </c>
      <c r="K89" s="27" t="inlineStr"/>
      <c r="L89" s="231" t="n">
        <v>100</v>
      </c>
      <c r="M89" s="19" t="inlineStr">
        <is>
          <t>Product-F61FD83C</t>
        </is>
      </c>
      <c r="N89" s="231" t="n">
        <v>1</v>
      </c>
      <c r="O89" s="181">
        <f>SUM(P89:AB89)</f>
        <v/>
      </c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31" t="inlineStr">
        <is>
          <t>C</t>
        </is>
      </c>
    </row>
    <row r="90" customFormat="1" s="1">
      <c r="A90" s="234" t="n"/>
      <c r="B90" s="231" t="inlineStr">
        <is>
          <t>SKU-55E23DA5</t>
        </is>
      </c>
      <c r="C90" s="231" t="inlineStr">
        <is>
          <t>是</t>
        </is>
      </c>
      <c r="D90" s="231" t="n">
        <v>8</v>
      </c>
      <c r="E90" s="231" t="inlineStr">
        <is>
          <t>是</t>
        </is>
      </c>
      <c r="F90" s="231" t="inlineStr"/>
      <c r="G90" s="231" t="inlineStr"/>
      <c r="H90" s="231" t="inlineStr"/>
      <c r="I90" s="231" t="inlineStr">
        <is>
          <t>是</t>
        </is>
      </c>
      <c r="J90" s="27" t="inlineStr">
        <is>
          <t>共</t>
        </is>
      </c>
      <c r="K90" s="27" t="inlineStr"/>
      <c r="L90" s="231" t="n">
        <v>100</v>
      </c>
      <c r="M90" s="19" t="inlineStr">
        <is>
          <t>Product-7D170E46</t>
        </is>
      </c>
      <c r="N90" s="231" t="n">
        <v>2</v>
      </c>
      <c r="O90" s="181">
        <f>SUM(P90:AB90)</f>
        <v/>
      </c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31" t="inlineStr">
        <is>
          <t>C</t>
        </is>
      </c>
    </row>
    <row r="91" customFormat="1" s="1">
      <c r="A91" s="234" t="n"/>
      <c r="B91" s="231" t="inlineStr">
        <is>
          <t>SKU-07310B8A</t>
        </is>
      </c>
      <c r="C91" s="231" t="inlineStr">
        <is>
          <t>是</t>
        </is>
      </c>
      <c r="D91" s="231" t="n">
        <v>5</v>
      </c>
      <c r="E91" s="231" t="inlineStr">
        <is>
          <t>是</t>
        </is>
      </c>
      <c r="F91" s="231" t="inlineStr"/>
      <c r="G91" s="231" t="inlineStr"/>
      <c r="H91" s="231" t="inlineStr"/>
      <c r="I91" s="231" t="inlineStr">
        <is>
          <t>是</t>
        </is>
      </c>
      <c r="J91" s="27" t="inlineStr">
        <is>
          <t>共</t>
        </is>
      </c>
      <c r="K91" s="27" t="inlineStr"/>
      <c r="L91" s="231" t="n">
        <v>100</v>
      </c>
      <c r="M91" s="19" t="inlineStr">
        <is>
          <t>Product-9FF55A7C</t>
        </is>
      </c>
      <c r="N91" s="231" t="n">
        <v>1</v>
      </c>
      <c r="O91" s="181">
        <f>SUM(P91:AB91)</f>
        <v/>
      </c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31" t="inlineStr">
        <is>
          <t>C</t>
        </is>
      </c>
    </row>
    <row r="92" customFormat="1" s="1">
      <c r="A92" s="234" t="n"/>
      <c r="B92" s="231" t="inlineStr">
        <is>
          <t>SKU-8EBE1AD6</t>
        </is>
      </c>
      <c r="C92" s="231" t="inlineStr">
        <is>
          <t>是</t>
        </is>
      </c>
      <c r="D92" s="231" t="n">
        <v>6</v>
      </c>
      <c r="E92" s="231" t="inlineStr">
        <is>
          <t>是</t>
        </is>
      </c>
      <c r="F92" s="231" t="inlineStr"/>
      <c r="G92" s="231" t="inlineStr"/>
      <c r="H92" s="231" t="inlineStr"/>
      <c r="I92" s="231" t="inlineStr">
        <is>
          <t>是</t>
        </is>
      </c>
      <c r="J92" s="27" t="inlineStr"/>
      <c r="K92" s="27" t="inlineStr"/>
      <c r="L92" s="231" t="n">
        <v>100</v>
      </c>
      <c r="M92" s="19" t="inlineStr">
        <is>
          <t>Product-9A6C9779</t>
        </is>
      </c>
      <c r="N92" s="231" t="n">
        <v>1</v>
      </c>
      <c r="O92" s="181">
        <f>SUM(P92:AB92)</f>
        <v/>
      </c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31" t="inlineStr">
        <is>
          <t>C</t>
        </is>
      </c>
    </row>
    <row r="93" customFormat="1" s="1">
      <c r="A93" s="234" t="n"/>
      <c r="B93" s="231" t="inlineStr">
        <is>
          <t>SKU-06D5C6B5</t>
        </is>
      </c>
      <c r="C93" s="231" t="inlineStr">
        <is>
          <t>是</t>
        </is>
      </c>
      <c r="D93" s="231" t="n">
        <v>11</v>
      </c>
      <c r="E93" s="231" t="inlineStr"/>
      <c r="F93" s="231" t="inlineStr"/>
      <c r="G93" s="231" t="inlineStr"/>
      <c r="H93" s="231" t="inlineStr"/>
      <c r="I93" s="231" t="inlineStr"/>
      <c r="J93" s="27" t="inlineStr">
        <is>
          <t>共</t>
        </is>
      </c>
      <c r="K93" s="27" t="inlineStr"/>
      <c r="L93" s="231" t="n">
        <v>100</v>
      </c>
      <c r="M93" s="19" t="inlineStr">
        <is>
          <t>Product-79046E1F</t>
        </is>
      </c>
      <c r="N93" s="231" t="n">
        <v>1</v>
      </c>
      <c r="O93" s="181">
        <f>SUM(P93:AB93)</f>
        <v/>
      </c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31" t="inlineStr">
        <is>
          <t>C</t>
        </is>
      </c>
    </row>
    <row r="94" customFormat="1" s="1">
      <c r="A94" s="234" t="n"/>
      <c r="B94" s="231" t="inlineStr">
        <is>
          <t>SKU-0472D802</t>
        </is>
      </c>
      <c r="C94" s="231" t="inlineStr">
        <is>
          <t>是</t>
        </is>
      </c>
      <c r="D94" s="231" t="n">
        <v>6</v>
      </c>
      <c r="E94" s="231" t="inlineStr">
        <is>
          <t>是</t>
        </is>
      </c>
      <c r="F94" s="231" t="inlineStr"/>
      <c r="G94" s="231" t="inlineStr"/>
      <c r="H94" s="231" t="inlineStr"/>
      <c r="I94" s="231" t="inlineStr">
        <is>
          <t>是</t>
        </is>
      </c>
      <c r="J94" s="27" t="inlineStr"/>
      <c r="K94" s="27" t="inlineStr"/>
      <c r="L94" s="231" t="n">
        <v>100</v>
      </c>
      <c r="M94" s="19" t="inlineStr">
        <is>
          <t>Product-0EE8F563</t>
        </is>
      </c>
      <c r="N94" s="231" t="n">
        <v>1</v>
      </c>
      <c r="O94" s="181">
        <f>SUM(P94:AB94)</f>
        <v/>
      </c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31" t="inlineStr">
        <is>
          <t>C</t>
        </is>
      </c>
    </row>
    <row r="95" customFormat="1" s="1">
      <c r="A95" s="234" t="n"/>
      <c r="B95" s="231" t="inlineStr">
        <is>
          <t>SKU-8992A5AF</t>
        </is>
      </c>
      <c r="C95" s="231" t="inlineStr">
        <is>
          <t>是</t>
        </is>
      </c>
      <c r="D95" s="231" t="n">
        <v>10</v>
      </c>
      <c r="E95" s="231" t="inlineStr"/>
      <c r="F95" s="231" t="inlineStr"/>
      <c r="G95" s="231" t="inlineStr"/>
      <c r="H95" s="231" t="inlineStr"/>
      <c r="I95" s="231" t="inlineStr"/>
      <c r="J95" s="27" t="inlineStr"/>
      <c r="K95" s="27" t="inlineStr"/>
      <c r="L95" s="231" t="n">
        <v>100</v>
      </c>
      <c r="M95" s="19" t="inlineStr">
        <is>
          <t>Product-15073DAA</t>
        </is>
      </c>
      <c r="N95" s="231" t="n">
        <v>1</v>
      </c>
      <c r="O95" s="181">
        <f>SUM(P95:AB95)</f>
        <v/>
      </c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31" t="inlineStr">
        <is>
          <t>C</t>
        </is>
      </c>
    </row>
    <row r="96" customFormat="1" s="1">
      <c r="A96" s="234" t="n"/>
      <c r="B96" s="231" t="inlineStr">
        <is>
          <t>SKU-9DFEFE7F</t>
        </is>
      </c>
      <c r="C96" s="231" t="inlineStr">
        <is>
          <t>是</t>
        </is>
      </c>
      <c r="D96" s="231" t="n">
        <v>6</v>
      </c>
      <c r="E96" s="231" t="inlineStr">
        <is>
          <t>是</t>
        </is>
      </c>
      <c r="F96" s="231" t="inlineStr"/>
      <c r="G96" s="231" t="inlineStr"/>
      <c r="H96" s="231" t="inlineStr">
        <is>
          <t>是</t>
        </is>
      </c>
      <c r="I96" s="231" t="inlineStr">
        <is>
          <t>是</t>
        </is>
      </c>
      <c r="J96" s="27" t="inlineStr"/>
      <c r="K96" s="27" t="inlineStr"/>
      <c r="L96" s="231" t="n">
        <v>100</v>
      </c>
      <c r="M96" s="19" t="inlineStr">
        <is>
          <t>Product-14B419F6</t>
        </is>
      </c>
      <c r="N96" s="231" t="n">
        <v>1</v>
      </c>
      <c r="O96" s="181">
        <f>SUM(P96:AB96)</f>
        <v/>
      </c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31" t="inlineStr">
        <is>
          <t>C</t>
        </is>
      </c>
    </row>
    <row r="97" customFormat="1" s="1">
      <c r="A97" s="234" t="n"/>
      <c r="B97" s="231" t="inlineStr">
        <is>
          <t>SKU-707B6E8A</t>
        </is>
      </c>
      <c r="C97" s="231" t="inlineStr">
        <is>
          <t>是</t>
        </is>
      </c>
      <c r="D97" s="231" t="n">
        <v>3</v>
      </c>
      <c r="E97" s="231" t="inlineStr">
        <is>
          <t>是</t>
        </is>
      </c>
      <c r="F97" s="231" t="inlineStr"/>
      <c r="G97" s="231" t="inlineStr"/>
      <c r="H97" s="231" t="inlineStr"/>
      <c r="I97" s="231" t="inlineStr">
        <is>
          <t>是</t>
        </is>
      </c>
      <c r="J97" s="27" t="inlineStr"/>
      <c r="K97" s="27" t="inlineStr"/>
      <c r="L97" s="231" t="n">
        <v>100</v>
      </c>
      <c r="M97" s="19" t="inlineStr">
        <is>
          <t>Product-069A5966</t>
        </is>
      </c>
      <c r="N97" s="231" t="n">
        <v>1</v>
      </c>
      <c r="O97" s="181">
        <f>SUM(P97:AB97)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31" t="inlineStr">
        <is>
          <t>C</t>
        </is>
      </c>
    </row>
    <row r="98" customFormat="1" s="1">
      <c r="A98" s="234" t="n"/>
      <c r="B98" s="231" t="inlineStr">
        <is>
          <t>SKU-5969B13C</t>
        </is>
      </c>
      <c r="C98" s="231" t="inlineStr">
        <is>
          <t>是</t>
        </is>
      </c>
      <c r="D98" s="231" t="n">
        <v>11</v>
      </c>
      <c r="E98" s="231" t="inlineStr"/>
      <c r="F98" s="231" t="inlineStr"/>
      <c r="G98" s="231" t="inlineStr"/>
      <c r="H98" s="231" t="inlineStr"/>
      <c r="I98" s="231" t="inlineStr"/>
      <c r="J98" s="27" t="inlineStr">
        <is>
          <t>共</t>
        </is>
      </c>
      <c r="K98" s="27" t="inlineStr"/>
      <c r="L98" s="231" t="n">
        <v>100</v>
      </c>
      <c r="M98" s="19" t="inlineStr">
        <is>
          <t>Product-D41D58A6</t>
        </is>
      </c>
      <c r="N98" s="231" t="n">
        <v>1</v>
      </c>
      <c r="O98" s="181">
        <f>SUM(P98:AB98)</f>
        <v/>
      </c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31" t="n"/>
    </row>
    <row r="99" customFormat="1" s="1">
      <c r="A99" s="234" t="n"/>
      <c r="B99" s="231" t="inlineStr">
        <is>
          <t>SKU-54FF462C</t>
        </is>
      </c>
      <c r="C99" s="231" t="inlineStr">
        <is>
          <t>是</t>
        </is>
      </c>
      <c r="D99" s="231" t="n">
        <v>11</v>
      </c>
      <c r="E99" s="231" t="inlineStr"/>
      <c r="F99" s="231" t="inlineStr"/>
      <c r="G99" s="231" t="inlineStr"/>
      <c r="H99" s="231" t="inlineStr"/>
      <c r="I99" s="231" t="inlineStr"/>
      <c r="J99" s="27" t="inlineStr">
        <is>
          <t>共</t>
        </is>
      </c>
      <c r="K99" s="27" t="inlineStr"/>
      <c r="L99" s="231" t="n">
        <v>100</v>
      </c>
      <c r="M99" s="19" t="inlineStr">
        <is>
          <t>Product-61A907C6</t>
        </is>
      </c>
      <c r="N99" s="231" t="n">
        <v>1</v>
      </c>
      <c r="O99" s="181">
        <f>SUM(P99:AB99)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27" t="inlineStr"/>
      <c r="AD99" s="31" t="inlineStr"/>
      <c r="AE99" s="32" t="inlineStr">
        <is>
          <t>Brand-Anonymized</t>
        </is>
      </c>
      <c r="AF99" s="31" t="n">
        <v>200</v>
      </c>
      <c r="AG99" s="31" t="n"/>
    </row>
    <row r="100" customFormat="1" s="1">
      <c r="A100" s="234" t="n"/>
      <c r="B100" s="231" t="inlineStr">
        <is>
          <t>SKU-124FFA8F</t>
        </is>
      </c>
      <c r="C100" s="231" t="inlineStr">
        <is>
          <t>是</t>
        </is>
      </c>
      <c r="D100" s="231" t="n">
        <v>8</v>
      </c>
      <c r="E100" s="231" t="inlineStr"/>
      <c r="F100" s="231" t="inlineStr">
        <is>
          <t>是</t>
        </is>
      </c>
      <c r="G100" s="231" t="inlineStr"/>
      <c r="H100" s="231" t="inlineStr"/>
      <c r="I100" s="231" t="inlineStr">
        <is>
          <t>是</t>
        </is>
      </c>
      <c r="J100" s="27" t="inlineStr"/>
      <c r="K100" s="27" t="inlineStr"/>
      <c r="L100" s="231" t="n">
        <v>100</v>
      </c>
      <c r="M100" s="33" t="inlineStr">
        <is>
          <t>Product-D911580D</t>
        </is>
      </c>
      <c r="N100" s="231" t="n">
        <v>1</v>
      </c>
      <c r="O100" s="181">
        <f>SUM(P100:AB100)</f>
        <v/>
      </c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31" t="n"/>
    </row>
    <row r="101" customFormat="1" s="1">
      <c r="A101" s="234" t="n"/>
      <c r="B101" s="231" t="inlineStr">
        <is>
          <t>SKU-AA4E2A39</t>
        </is>
      </c>
      <c r="C101" s="231" t="inlineStr">
        <is>
          <t>是</t>
        </is>
      </c>
      <c r="D101" s="231" t="n">
        <v>10</v>
      </c>
      <c r="E101" s="231" t="inlineStr"/>
      <c r="F101" s="231" t="inlineStr">
        <is>
          <t>是</t>
        </is>
      </c>
      <c r="G101" s="231" t="inlineStr"/>
      <c r="H101" s="231" t="inlineStr"/>
      <c r="I101" s="231" t="inlineStr">
        <is>
          <t>是</t>
        </is>
      </c>
      <c r="J101" s="27" t="inlineStr"/>
      <c r="K101" s="27" t="inlineStr"/>
      <c r="L101" s="231" t="n">
        <v>100</v>
      </c>
      <c r="M101" s="33" t="inlineStr">
        <is>
          <t>Product-702B5290</t>
        </is>
      </c>
      <c r="N101" s="231" t="n">
        <v>1</v>
      </c>
      <c r="O101" s="181">
        <f>SUM(P101:AB101)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31" t="inlineStr">
        <is>
          <t>C</t>
        </is>
      </c>
    </row>
    <row r="102" customFormat="1" s="1">
      <c r="A102" s="234" t="n"/>
      <c r="B102" s="231" t="inlineStr">
        <is>
          <t>SKU-913263BA</t>
        </is>
      </c>
      <c r="C102" s="231" t="inlineStr">
        <is>
          <t>是</t>
        </is>
      </c>
      <c r="D102" s="231" t="n">
        <v>10</v>
      </c>
      <c r="E102" s="231" t="inlineStr"/>
      <c r="F102" s="231" t="inlineStr">
        <is>
          <t>是</t>
        </is>
      </c>
      <c r="G102" s="231" t="inlineStr"/>
      <c r="H102" s="231" t="inlineStr"/>
      <c r="I102" s="231" t="inlineStr">
        <is>
          <t>是</t>
        </is>
      </c>
      <c r="J102" s="27" t="inlineStr"/>
      <c r="K102" s="27" t="inlineStr"/>
      <c r="L102" s="231" t="n">
        <v>100</v>
      </c>
      <c r="M102" s="19" t="inlineStr">
        <is>
          <t>Product-702B5290</t>
        </is>
      </c>
      <c r="N102" s="231" t="n">
        <v>1</v>
      </c>
      <c r="O102" s="181">
        <f>SUM(P102:AB102)</f>
        <v/>
      </c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31" t="inlineStr">
        <is>
          <t>C</t>
        </is>
      </c>
    </row>
    <row r="103" customFormat="1" s="1">
      <c r="A103" s="235" t="n"/>
      <c r="B103" s="80" t="n"/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40" t="n"/>
    </row>
    <row r="104" customFormat="1" s="1">
      <c r="A104" s="25" t="inlineStr">
        <is>
          <t>浙江</t>
        </is>
      </c>
      <c r="B104" s="231" t="inlineStr">
        <is>
          <t>SKU-C3332279</t>
        </is>
      </c>
      <c r="C104" s="231" t="inlineStr">
        <is>
          <t>是</t>
        </is>
      </c>
      <c r="D104" s="231" t="n">
        <v>11</v>
      </c>
      <c r="E104" s="231" t="inlineStr"/>
      <c r="F104" s="231" t="inlineStr"/>
      <c r="G104" s="231" t="inlineStr"/>
      <c r="H104" s="231" t="inlineStr"/>
      <c r="I104" s="231" t="inlineStr"/>
      <c r="J104" s="27" t="inlineStr">
        <is>
          <t>共</t>
        </is>
      </c>
      <c r="K104" s="27" t="inlineStr"/>
      <c r="L104" s="231" t="n">
        <v>100</v>
      </c>
      <c r="M104" s="19" t="inlineStr">
        <is>
          <t>Product-DBF6F56C</t>
        </is>
      </c>
      <c r="N104" s="231" t="n">
        <v>2</v>
      </c>
      <c r="O104" s="181">
        <f>SUM(P104:AB104)</f>
        <v/>
      </c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31" t="n"/>
    </row>
    <row r="105" customFormat="1" s="1">
      <c r="A105" s="234" t="n"/>
      <c r="B105" s="231" t="inlineStr">
        <is>
          <t>SKU-98BD550F</t>
        </is>
      </c>
      <c r="C105" s="231" t="inlineStr">
        <is>
          <t>是</t>
        </is>
      </c>
      <c r="D105" s="231" t="n">
        <v>11</v>
      </c>
      <c r="E105" s="231" t="inlineStr"/>
      <c r="F105" s="231" t="inlineStr"/>
      <c r="G105" s="231" t="inlineStr"/>
      <c r="H105" s="231" t="inlineStr"/>
      <c r="I105" s="231" t="inlineStr"/>
      <c r="J105" s="27" t="inlineStr">
        <is>
          <t>共</t>
        </is>
      </c>
      <c r="K105" s="27" t="inlineStr"/>
      <c r="L105" s="231" t="n">
        <v>100</v>
      </c>
      <c r="M105" s="19" t="inlineStr">
        <is>
          <t>Product-63C67A59</t>
        </is>
      </c>
      <c r="N105" s="231" t="n">
        <v>1</v>
      </c>
      <c r="O105" s="181">
        <f>SUM(P105:AB105)</f>
        <v/>
      </c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31" t="n"/>
    </row>
    <row r="106" customFormat="1" s="1">
      <c r="A106" s="234" t="n"/>
      <c r="B106" s="231" t="inlineStr">
        <is>
          <t>SKU-9165C4CC</t>
        </is>
      </c>
      <c r="C106" s="231" t="inlineStr">
        <is>
          <t>是</t>
        </is>
      </c>
      <c r="D106" s="231" t="n">
        <v>11</v>
      </c>
      <c r="E106" s="231" t="inlineStr"/>
      <c r="F106" s="231" t="inlineStr"/>
      <c r="G106" s="231" t="inlineStr"/>
      <c r="H106" s="231" t="inlineStr"/>
      <c r="I106" s="231" t="inlineStr"/>
      <c r="J106" s="27" t="inlineStr"/>
      <c r="K106" s="27" t="inlineStr"/>
      <c r="L106" s="231" t="n">
        <v>100</v>
      </c>
      <c r="M106" s="44" t="inlineStr">
        <is>
          <t>Product-4EAD9177</t>
        </is>
      </c>
      <c r="N106" s="231" t="n">
        <v>2</v>
      </c>
      <c r="O106" s="181">
        <f>SUM(P106:AB106)</f>
        <v/>
      </c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31" t="n"/>
    </row>
    <row r="107" customFormat="1" s="1">
      <c r="A107" s="234" t="n"/>
      <c r="B107" s="231" t="inlineStr">
        <is>
          <t>SKU-7B3379FF</t>
        </is>
      </c>
      <c r="C107" s="231" t="inlineStr">
        <is>
          <t>是</t>
        </is>
      </c>
      <c r="D107" s="231" t="n">
        <v>8</v>
      </c>
      <c r="E107" s="231" t="inlineStr"/>
      <c r="F107" s="231" t="inlineStr"/>
      <c r="G107" s="231" t="inlineStr"/>
      <c r="H107" s="231" t="inlineStr"/>
      <c r="I107" s="231" t="inlineStr"/>
      <c r="J107" s="27" t="inlineStr"/>
      <c r="K107" s="27" t="inlineStr"/>
      <c r="L107" s="231" t="n">
        <v>100</v>
      </c>
      <c r="M107" s="19" t="inlineStr">
        <is>
          <t>Product-B1B25B5B</t>
        </is>
      </c>
      <c r="N107" s="231" t="n">
        <v>1</v>
      </c>
      <c r="O107" s="181">
        <f>SUM(P107:AB107)</f>
        <v/>
      </c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31" t="n"/>
    </row>
    <row r="108" customFormat="1" s="1">
      <c r="A108" s="234" t="n"/>
      <c r="B108" s="231" t="inlineStr">
        <is>
          <t>SKU-32F1EBAD</t>
        </is>
      </c>
      <c r="C108" s="231" t="inlineStr">
        <is>
          <t>是</t>
        </is>
      </c>
      <c r="D108" s="231" t="n">
        <v>11</v>
      </c>
      <c r="E108" s="231" t="inlineStr"/>
      <c r="F108" s="231" t="inlineStr"/>
      <c r="G108" s="231" t="inlineStr"/>
      <c r="H108" s="231" t="inlineStr"/>
      <c r="I108" s="231" t="inlineStr"/>
      <c r="J108" s="27" t="inlineStr">
        <is>
          <t>共</t>
        </is>
      </c>
      <c r="K108" s="27" t="inlineStr"/>
      <c r="L108" s="231" t="n">
        <v>100</v>
      </c>
      <c r="M108" s="19" t="inlineStr">
        <is>
          <t>Product-1D056F53</t>
        </is>
      </c>
      <c r="N108" s="231" t="n">
        <v>1</v>
      </c>
      <c r="O108" s="181">
        <f>SUM(P108:AB108)</f>
        <v/>
      </c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31" t="n"/>
    </row>
    <row r="109" customFormat="1" s="1">
      <c r="A109" s="234" t="n"/>
      <c r="B109" s="231" t="inlineStr">
        <is>
          <t>SKU-94863575</t>
        </is>
      </c>
      <c r="C109" s="231" t="inlineStr">
        <is>
          <t>是</t>
        </is>
      </c>
      <c r="D109" s="231" t="n">
        <v>11</v>
      </c>
      <c r="E109" s="231" t="inlineStr"/>
      <c r="F109" s="231" t="inlineStr"/>
      <c r="G109" s="231" t="inlineStr"/>
      <c r="H109" s="231" t="inlineStr"/>
      <c r="I109" s="231" t="inlineStr"/>
      <c r="J109" s="27" t="inlineStr"/>
      <c r="K109" s="27" t="inlineStr"/>
      <c r="L109" s="231" t="n">
        <v>100</v>
      </c>
      <c r="M109" s="19" t="inlineStr">
        <is>
          <t>Product-ED96D303</t>
        </is>
      </c>
      <c r="N109" s="231" t="n">
        <v>1</v>
      </c>
      <c r="O109" s="181">
        <f>SUM(P109:AB109)</f>
        <v/>
      </c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31" t="inlineStr">
        <is>
          <t>C</t>
        </is>
      </c>
    </row>
    <row r="110" customFormat="1" s="1">
      <c r="A110" s="234" t="n"/>
      <c r="B110" s="231" t="inlineStr">
        <is>
          <t>SKU-2FCA7D22</t>
        </is>
      </c>
      <c r="C110" s="231" t="inlineStr">
        <is>
          <t>是</t>
        </is>
      </c>
      <c r="D110" s="231" t="n">
        <v>11</v>
      </c>
      <c r="E110" s="231" t="inlineStr"/>
      <c r="F110" s="231" t="inlineStr"/>
      <c r="G110" s="231" t="inlineStr"/>
      <c r="H110" s="231" t="inlineStr"/>
      <c r="I110" s="231" t="inlineStr"/>
      <c r="J110" s="27" t="inlineStr"/>
      <c r="K110" s="27" t="inlineStr"/>
      <c r="L110" s="231" t="n">
        <v>100</v>
      </c>
      <c r="M110" s="19" t="inlineStr">
        <is>
          <t>Product-7CFF1ED9</t>
        </is>
      </c>
      <c r="N110" s="231" t="n">
        <v>1</v>
      </c>
      <c r="O110" s="181">
        <f>SUM(P110:AB110)</f>
        <v/>
      </c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31" t="n"/>
    </row>
    <row r="111" customFormat="1" s="1">
      <c r="A111" s="234" t="n"/>
      <c r="B111" s="231" t="inlineStr">
        <is>
          <t>SKU-2B469B0C</t>
        </is>
      </c>
      <c r="C111" s="231" t="inlineStr">
        <is>
          <t>是</t>
        </is>
      </c>
      <c r="D111" s="231" t="n">
        <v>5</v>
      </c>
      <c r="E111" s="231" t="inlineStr">
        <is>
          <t>是</t>
        </is>
      </c>
      <c r="F111" s="231" t="inlineStr"/>
      <c r="G111" s="231" t="inlineStr"/>
      <c r="H111" s="231" t="inlineStr"/>
      <c r="I111" s="231" t="inlineStr">
        <is>
          <t>是</t>
        </is>
      </c>
      <c r="J111" s="27" t="inlineStr">
        <is>
          <t>共</t>
        </is>
      </c>
      <c r="K111" s="27" t="inlineStr"/>
      <c r="L111" s="231" t="n">
        <v>100</v>
      </c>
      <c r="M111" s="19" t="inlineStr">
        <is>
          <t>Product-782A1545</t>
        </is>
      </c>
      <c r="N111" s="231" t="n">
        <v>1</v>
      </c>
      <c r="O111" s="181">
        <f>SUM(P111:AB111)</f>
        <v/>
      </c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31" t="inlineStr">
        <is>
          <t>C</t>
        </is>
      </c>
    </row>
    <row r="112" customFormat="1" s="1">
      <c r="A112" s="234" t="n"/>
      <c r="B112" s="231" t="inlineStr">
        <is>
          <t>SKU-D352A232</t>
        </is>
      </c>
      <c r="C112" s="231" t="inlineStr">
        <is>
          <t>是</t>
        </is>
      </c>
      <c r="D112" s="231" t="n">
        <v>10</v>
      </c>
      <c r="E112" s="231" t="inlineStr"/>
      <c r="F112" s="231" t="inlineStr"/>
      <c r="G112" s="231" t="inlineStr">
        <is>
          <t>是</t>
        </is>
      </c>
      <c r="H112" s="231" t="inlineStr"/>
      <c r="I112" s="231" t="inlineStr">
        <is>
          <t>是</t>
        </is>
      </c>
      <c r="J112" s="27" t="inlineStr"/>
      <c r="K112" s="27" t="inlineStr"/>
      <c r="L112" s="231" t="n">
        <v>100</v>
      </c>
      <c r="M112" s="33" t="inlineStr">
        <is>
          <t>Product-6DB46461</t>
        </is>
      </c>
      <c r="N112" s="231" t="n">
        <v>1</v>
      </c>
      <c r="O112" s="181">
        <f>SUM(P112:AB112)</f>
        <v/>
      </c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31" t="inlineStr">
        <is>
          <t>C</t>
        </is>
      </c>
    </row>
    <row r="113" customFormat="1" s="1">
      <c r="A113" s="234" t="n"/>
      <c r="B113" s="231" t="inlineStr">
        <is>
          <t>SKU-497F1297</t>
        </is>
      </c>
      <c r="C113" s="231" t="inlineStr">
        <is>
          <t>是</t>
        </is>
      </c>
      <c r="D113" s="231" t="n">
        <v>10</v>
      </c>
      <c r="E113" s="231" t="inlineStr"/>
      <c r="F113" s="231" t="inlineStr">
        <is>
          <t>是</t>
        </is>
      </c>
      <c r="G113" s="231" t="inlineStr"/>
      <c r="H113" s="231" t="inlineStr"/>
      <c r="I113" s="231" t="inlineStr">
        <is>
          <t>是</t>
        </is>
      </c>
      <c r="J113" s="27" t="inlineStr"/>
      <c r="K113" s="27" t="inlineStr"/>
      <c r="L113" s="231" t="n">
        <v>100</v>
      </c>
      <c r="M113" s="19" t="inlineStr">
        <is>
          <t>Product-FC06EE76</t>
        </is>
      </c>
      <c r="N113" s="231" t="n">
        <v>1</v>
      </c>
      <c r="O113" s="181">
        <f>SUM(P113:AB113)</f>
        <v/>
      </c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31" t="inlineStr">
        <is>
          <t>C</t>
        </is>
      </c>
    </row>
    <row r="114" customFormat="1" s="1">
      <c r="A114" s="234" t="n"/>
      <c r="B114" s="231" t="inlineStr">
        <is>
          <t>SKU-E6463606</t>
        </is>
      </c>
      <c r="C114" s="231" t="inlineStr">
        <is>
          <t>是</t>
        </is>
      </c>
      <c r="D114" s="231" t="n">
        <v>9</v>
      </c>
      <c r="E114" s="231" t="inlineStr"/>
      <c r="F114" s="231" t="inlineStr">
        <is>
          <t>是</t>
        </is>
      </c>
      <c r="G114" s="231" t="inlineStr"/>
      <c r="H114" s="231" t="inlineStr"/>
      <c r="I114" s="231" t="inlineStr">
        <is>
          <t>是</t>
        </is>
      </c>
      <c r="J114" s="27" t="inlineStr"/>
      <c r="K114" s="27" t="inlineStr"/>
      <c r="L114" s="231" t="n">
        <v>100</v>
      </c>
      <c r="M114" s="44" t="inlineStr">
        <is>
          <t>Product-348068FF</t>
        </is>
      </c>
      <c r="N114" s="231" t="n">
        <v>1</v>
      </c>
      <c r="O114" s="181">
        <f>SUM(P114:AB114)</f>
        <v/>
      </c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31" t="inlineStr">
        <is>
          <t>C</t>
        </is>
      </c>
    </row>
    <row r="115" customFormat="1" s="1">
      <c r="A115" s="234" t="n"/>
      <c r="B115" s="231" t="inlineStr">
        <is>
          <t>SKU-8EB26120</t>
        </is>
      </c>
      <c r="C115" s="231" t="inlineStr">
        <is>
          <t>是</t>
        </is>
      </c>
      <c r="D115" s="231" t="n">
        <v>7</v>
      </c>
      <c r="E115" s="231" t="inlineStr">
        <is>
          <t>是</t>
        </is>
      </c>
      <c r="F115" s="231" t="inlineStr"/>
      <c r="G115" s="231" t="inlineStr"/>
      <c r="H115" s="231" t="inlineStr"/>
      <c r="I115" s="231" t="inlineStr">
        <is>
          <t>是</t>
        </is>
      </c>
      <c r="J115" s="27" t="inlineStr">
        <is>
          <t>共</t>
        </is>
      </c>
      <c r="K115" s="27" t="inlineStr"/>
      <c r="L115" s="231" t="n">
        <v>100</v>
      </c>
      <c r="M115" s="19" t="inlineStr">
        <is>
          <t>Product-73F3BBE5</t>
        </is>
      </c>
      <c r="N115" s="231" t="n">
        <v>1</v>
      </c>
      <c r="O115" s="181">
        <f>SUM(P115:AB115)</f>
        <v/>
      </c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31" t="inlineStr">
        <is>
          <t>C</t>
        </is>
      </c>
    </row>
    <row r="116" customFormat="1" s="1">
      <c r="A116" s="234" t="n"/>
      <c r="B116" s="231" t="inlineStr">
        <is>
          <t>SKU-8515A26A</t>
        </is>
      </c>
      <c r="C116" s="231" t="inlineStr">
        <is>
          <t>是</t>
        </is>
      </c>
      <c r="D116" s="231" t="n">
        <v>9</v>
      </c>
      <c r="E116" s="231" t="inlineStr"/>
      <c r="F116" s="231" t="inlineStr">
        <is>
          <t>是</t>
        </is>
      </c>
      <c r="G116" s="231" t="inlineStr"/>
      <c r="H116" s="231" t="inlineStr"/>
      <c r="I116" s="231" t="inlineStr">
        <is>
          <t>是</t>
        </is>
      </c>
      <c r="J116" s="27" t="inlineStr">
        <is>
          <t>共</t>
        </is>
      </c>
      <c r="K116" s="27" t="inlineStr"/>
      <c r="L116" s="231" t="n">
        <v>100</v>
      </c>
      <c r="M116" s="19" t="inlineStr">
        <is>
          <t>Product-2C6E1A8D</t>
        </is>
      </c>
      <c r="N116" s="231" t="n">
        <v>1</v>
      </c>
      <c r="O116" s="181">
        <f>SUM(P116:AB116)</f>
        <v/>
      </c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31" t="inlineStr">
        <is>
          <t>C</t>
        </is>
      </c>
    </row>
    <row r="117" customFormat="1" s="1">
      <c r="A117" s="234" t="n"/>
      <c r="B117" s="231" t="inlineStr">
        <is>
          <t>SKU-2164A7E1</t>
        </is>
      </c>
      <c r="C117" s="231" t="inlineStr">
        <is>
          <t>是</t>
        </is>
      </c>
      <c r="D117" s="231" t="n">
        <v>10</v>
      </c>
      <c r="E117" s="231" t="inlineStr"/>
      <c r="F117" s="231" t="inlineStr"/>
      <c r="G117" s="231" t="inlineStr"/>
      <c r="H117" s="231" t="inlineStr"/>
      <c r="I117" s="231" t="inlineStr"/>
      <c r="J117" s="27" t="inlineStr">
        <is>
          <t>共</t>
        </is>
      </c>
      <c r="K117" s="27" t="inlineStr"/>
      <c r="L117" s="231" t="n">
        <v>100</v>
      </c>
      <c r="M117" s="19" t="inlineStr">
        <is>
          <t>Product-E6A26B29</t>
        </is>
      </c>
      <c r="N117" s="231" t="n">
        <v>1</v>
      </c>
      <c r="O117" s="181">
        <f>SUM(P117:AB117)</f>
        <v/>
      </c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31" t="n"/>
    </row>
    <row r="118" customFormat="1" s="1">
      <c r="A118" s="234" t="n"/>
      <c r="B118" s="231" t="inlineStr">
        <is>
          <t>SKU-C3DF57B7</t>
        </is>
      </c>
      <c r="C118" s="231" t="inlineStr">
        <is>
          <t>是</t>
        </is>
      </c>
      <c r="D118" s="231" t="n">
        <v>5</v>
      </c>
      <c r="E118" s="231" t="inlineStr"/>
      <c r="F118" s="231" t="inlineStr">
        <is>
          <t>是</t>
        </is>
      </c>
      <c r="G118" s="231" t="inlineStr"/>
      <c r="H118" s="231" t="inlineStr"/>
      <c r="I118" s="231" t="inlineStr">
        <is>
          <t>是</t>
        </is>
      </c>
      <c r="J118" s="27" t="inlineStr"/>
      <c r="K118" s="27" t="inlineStr"/>
      <c r="L118" s="231" t="n">
        <v>100</v>
      </c>
      <c r="M118" s="19" t="inlineStr">
        <is>
          <t>Product-79AFFC5E</t>
        </is>
      </c>
      <c r="N118" s="231" t="n">
        <v>1</v>
      </c>
      <c r="O118" s="181">
        <f>SUM(P118:AB118)</f>
        <v/>
      </c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31" t="inlineStr">
        <is>
          <t>C</t>
        </is>
      </c>
    </row>
    <row r="119" customFormat="1" s="1">
      <c r="A119" s="235" t="n"/>
      <c r="B119" s="80" t="n"/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40" t="n"/>
    </row>
    <row r="120" customFormat="1" s="1">
      <c r="A120" s="25" t="inlineStr">
        <is>
          <t>安徽</t>
        </is>
      </c>
      <c r="B120" s="231" t="inlineStr">
        <is>
          <t>SKU-0E698170</t>
        </is>
      </c>
      <c r="C120" s="231" t="inlineStr">
        <is>
          <t>是</t>
        </is>
      </c>
      <c r="D120" s="231" t="n">
        <v>10</v>
      </c>
      <c r="E120" s="231" t="inlineStr"/>
      <c r="F120" s="231" t="inlineStr"/>
      <c r="G120" s="231" t="inlineStr"/>
      <c r="H120" s="231" t="inlineStr"/>
      <c r="I120" s="231" t="inlineStr"/>
      <c r="J120" s="27" t="inlineStr"/>
      <c r="K120" s="27" t="inlineStr"/>
      <c r="L120" s="231" t="n">
        <v>100</v>
      </c>
      <c r="M120" s="19" t="inlineStr">
        <is>
          <t>Product-EF8C3EC5</t>
        </is>
      </c>
      <c r="N120" s="231" t="n">
        <v>1</v>
      </c>
      <c r="O120" s="181">
        <f>SUM(P120:AB120)</f>
        <v/>
      </c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31" t="inlineStr">
        <is>
          <t>C</t>
        </is>
      </c>
    </row>
    <row r="121" customFormat="1" s="1">
      <c r="A121" s="234" t="n"/>
      <c r="B121" s="231" t="inlineStr">
        <is>
          <t>SKU-B0AA269B</t>
        </is>
      </c>
      <c r="C121" s="231" t="inlineStr">
        <is>
          <t>是</t>
        </is>
      </c>
      <c r="D121" s="231" t="n">
        <v>10</v>
      </c>
      <c r="E121" s="231" t="inlineStr"/>
      <c r="F121" s="231" t="inlineStr"/>
      <c r="G121" s="231" t="inlineStr">
        <is>
          <t>是</t>
        </is>
      </c>
      <c r="H121" s="231" t="inlineStr"/>
      <c r="I121" s="231" t="inlineStr">
        <is>
          <t>是</t>
        </is>
      </c>
      <c r="J121" s="27" t="inlineStr"/>
      <c r="K121" s="27" t="inlineStr"/>
      <c r="L121" s="231" t="n">
        <v>100</v>
      </c>
      <c r="M121" s="19" t="inlineStr">
        <is>
          <t>Product-BFD53BC0</t>
        </is>
      </c>
      <c r="N121" s="231" t="n">
        <v>2</v>
      </c>
      <c r="O121" s="181">
        <f>SUM(P121:AB121)</f>
        <v/>
      </c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31" t="inlineStr">
        <is>
          <t>C</t>
        </is>
      </c>
    </row>
    <row r="122" customFormat="1" s="1">
      <c r="A122" s="234" t="n"/>
      <c r="B122" s="231" t="inlineStr">
        <is>
          <t>SKU-95370A38</t>
        </is>
      </c>
      <c r="C122" s="231" t="inlineStr">
        <is>
          <t>是</t>
        </is>
      </c>
      <c r="D122" s="231" t="n">
        <v>10</v>
      </c>
      <c r="E122" s="231" t="inlineStr"/>
      <c r="F122" s="231" t="inlineStr"/>
      <c r="G122" s="231" t="inlineStr"/>
      <c r="H122" s="231" t="inlineStr"/>
      <c r="I122" s="231" t="inlineStr"/>
      <c r="J122" s="27" t="inlineStr"/>
      <c r="K122" s="27" t="inlineStr"/>
      <c r="L122" s="231" t="n">
        <v>100</v>
      </c>
      <c r="M122" s="44" t="inlineStr">
        <is>
          <t>Product-204DEBD7</t>
        </is>
      </c>
      <c r="N122" s="231" t="n">
        <v>3</v>
      </c>
      <c r="O122" s="181">
        <f>SUM(P122:AB122)</f>
        <v/>
      </c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31" t="n"/>
    </row>
    <row r="123" customFormat="1" s="1">
      <c r="A123" s="234" t="n"/>
      <c r="B123" s="231" t="inlineStr">
        <is>
          <t>SKU-C25067A0</t>
        </is>
      </c>
      <c r="C123" s="231" t="inlineStr">
        <is>
          <t>是</t>
        </is>
      </c>
      <c r="D123" s="231" t="n">
        <v>8</v>
      </c>
      <c r="E123" s="231" t="inlineStr">
        <is>
          <t>是</t>
        </is>
      </c>
      <c r="F123" s="231" t="inlineStr"/>
      <c r="G123" s="231" t="inlineStr"/>
      <c r="H123" s="231" t="inlineStr"/>
      <c r="I123" s="231" t="inlineStr">
        <is>
          <t>是</t>
        </is>
      </c>
      <c r="J123" s="27" t="inlineStr">
        <is>
          <t>共</t>
        </is>
      </c>
      <c r="K123" s="27" t="inlineStr"/>
      <c r="L123" s="231" t="n">
        <v>100</v>
      </c>
      <c r="M123" s="19" t="inlineStr">
        <is>
          <t>Product-0FF79B6A</t>
        </is>
      </c>
      <c r="N123" s="231" t="n">
        <v>1</v>
      </c>
      <c r="O123" s="181">
        <f>SUM(P123:AB123)</f>
        <v/>
      </c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31" t="inlineStr">
        <is>
          <t>C</t>
        </is>
      </c>
    </row>
    <row r="124" customFormat="1" s="1">
      <c r="A124" s="234" t="n"/>
      <c r="B124" s="231" t="inlineStr">
        <is>
          <t>SKU-D7B45BE5</t>
        </is>
      </c>
      <c r="C124" s="231" t="inlineStr">
        <is>
          <t>是</t>
        </is>
      </c>
      <c r="D124" s="231" t="n">
        <v>10</v>
      </c>
      <c r="E124" s="231" t="inlineStr"/>
      <c r="F124" s="231" t="inlineStr"/>
      <c r="G124" s="231" t="inlineStr"/>
      <c r="H124" s="231" t="inlineStr"/>
      <c r="I124" s="231" t="inlineStr"/>
      <c r="J124" s="27" t="inlineStr"/>
      <c r="K124" s="27" t="inlineStr"/>
      <c r="L124" s="231" t="n">
        <v>100</v>
      </c>
      <c r="M124" s="44" t="inlineStr">
        <is>
          <t>Product-58C86CC9</t>
        </is>
      </c>
      <c r="N124" s="231" t="n">
        <v>3</v>
      </c>
      <c r="O124" s="181">
        <f>SUM(P124:AB124)</f>
        <v/>
      </c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31" t="n"/>
    </row>
    <row r="125" customFormat="1" s="1">
      <c r="A125" s="234" t="n"/>
      <c r="B125" s="231" t="inlineStr">
        <is>
          <t>SKU-B2C22E30</t>
        </is>
      </c>
      <c r="C125" s="231" t="inlineStr">
        <is>
          <t>是</t>
        </is>
      </c>
      <c r="D125" s="231" t="n">
        <v>10</v>
      </c>
      <c r="E125" s="231" t="inlineStr"/>
      <c r="F125" s="231" t="inlineStr"/>
      <c r="G125" s="231" t="inlineStr"/>
      <c r="H125" s="231" t="inlineStr"/>
      <c r="I125" s="231" t="inlineStr"/>
      <c r="J125" s="27" t="inlineStr"/>
      <c r="K125" s="27" t="inlineStr"/>
      <c r="L125" s="231" t="n">
        <v>100</v>
      </c>
      <c r="M125" s="19" t="inlineStr">
        <is>
          <t>Product-5FF63CBE</t>
        </is>
      </c>
      <c r="N125" s="231" t="n">
        <v>3</v>
      </c>
      <c r="O125" s="181">
        <f>SUM(P125:AB125)</f>
        <v/>
      </c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31" t="n"/>
    </row>
    <row r="126" customFormat="1" s="1">
      <c r="A126" s="234" t="n"/>
      <c r="B126" s="231" t="inlineStr">
        <is>
          <t>SKU-F56BB5B7</t>
        </is>
      </c>
      <c r="C126" s="231" t="inlineStr">
        <is>
          <t>是</t>
        </is>
      </c>
      <c r="D126" s="231" t="n">
        <v>8</v>
      </c>
      <c r="E126" s="231" t="inlineStr">
        <is>
          <t>是</t>
        </is>
      </c>
      <c r="F126" s="231" t="inlineStr"/>
      <c r="G126" s="231" t="inlineStr"/>
      <c r="H126" s="231" t="inlineStr">
        <is>
          <t>是</t>
        </is>
      </c>
      <c r="I126" s="231" t="inlineStr">
        <is>
          <t>是</t>
        </is>
      </c>
      <c r="J126" s="27" t="inlineStr">
        <is>
          <t>共</t>
        </is>
      </c>
      <c r="K126" s="27" t="inlineStr"/>
      <c r="L126" s="231" t="n">
        <v>100</v>
      </c>
      <c r="M126" s="19" t="inlineStr">
        <is>
          <t>Product-DD0EEB81</t>
        </is>
      </c>
      <c r="N126" s="231" t="n">
        <v>1</v>
      </c>
      <c r="O126" s="181">
        <f>SUM(P126:AB126)</f>
        <v/>
      </c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31" t="inlineStr">
        <is>
          <t>C</t>
        </is>
      </c>
    </row>
    <row r="127" customFormat="1" s="1">
      <c r="A127" s="234" t="n"/>
      <c r="B127" s="231" t="inlineStr">
        <is>
          <t>SKU-3F557AF3</t>
        </is>
      </c>
      <c r="C127" s="231" t="inlineStr">
        <is>
          <t>是</t>
        </is>
      </c>
      <c r="D127" s="231" t="n">
        <v>10</v>
      </c>
      <c r="E127" s="231" t="inlineStr"/>
      <c r="F127" s="231" t="inlineStr">
        <is>
          <t>是</t>
        </is>
      </c>
      <c r="G127" s="231" t="inlineStr"/>
      <c r="H127" s="231" t="inlineStr"/>
      <c r="I127" s="231" t="inlineStr">
        <is>
          <t>是</t>
        </is>
      </c>
      <c r="J127" s="27" t="inlineStr"/>
      <c r="K127" s="27" t="inlineStr"/>
      <c r="L127" s="231" t="n">
        <v>100</v>
      </c>
      <c r="M127" s="19" t="inlineStr">
        <is>
          <t>Product-B7D004B8</t>
        </is>
      </c>
      <c r="N127" s="231" t="n">
        <v>1</v>
      </c>
      <c r="O127" s="181">
        <f>SUM(P127:AB127)</f>
        <v/>
      </c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31" t="inlineStr">
        <is>
          <t>C</t>
        </is>
      </c>
    </row>
    <row r="128" customFormat="1" s="1">
      <c r="A128" s="234" t="n"/>
      <c r="B128" s="231" t="inlineStr">
        <is>
          <t>SKU-B84F77F7</t>
        </is>
      </c>
      <c r="C128" s="231" t="inlineStr">
        <is>
          <t>是</t>
        </is>
      </c>
      <c r="D128" s="231" t="n">
        <v>11</v>
      </c>
      <c r="E128" s="231" t="inlineStr"/>
      <c r="F128" s="231" t="inlineStr"/>
      <c r="G128" s="231" t="inlineStr"/>
      <c r="H128" s="231" t="inlineStr"/>
      <c r="I128" s="231" t="inlineStr"/>
      <c r="J128" s="27" t="inlineStr">
        <is>
          <t>共</t>
        </is>
      </c>
      <c r="K128" s="27" t="inlineStr"/>
      <c r="L128" s="231" t="n">
        <v>100</v>
      </c>
      <c r="M128" s="19" t="inlineStr">
        <is>
          <t>Product-12BB50D3</t>
        </is>
      </c>
      <c r="N128" s="231" t="n">
        <v>2</v>
      </c>
      <c r="O128" s="181">
        <f>SUM(P128:AB128)</f>
        <v/>
      </c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31" t="n"/>
    </row>
    <row r="129" customFormat="1" s="1">
      <c r="A129" s="234" t="n"/>
      <c r="B129" s="231" t="inlineStr">
        <is>
          <t>SKU-810E6D7D</t>
        </is>
      </c>
      <c r="C129" s="231" t="inlineStr">
        <is>
          <t>是</t>
        </is>
      </c>
      <c r="D129" s="231" t="n">
        <v>8</v>
      </c>
      <c r="E129" s="231" t="inlineStr">
        <is>
          <t>是</t>
        </is>
      </c>
      <c r="F129" s="231" t="inlineStr"/>
      <c r="G129" s="231" t="inlineStr"/>
      <c r="H129" s="231" t="inlineStr">
        <is>
          <t>是</t>
        </is>
      </c>
      <c r="I129" s="231" t="inlineStr">
        <is>
          <t>是</t>
        </is>
      </c>
      <c r="J129" s="27" t="inlineStr"/>
      <c r="K129" s="27" t="inlineStr"/>
      <c r="L129" s="231" t="n">
        <v>100</v>
      </c>
      <c r="M129" s="19" t="inlineStr">
        <is>
          <t>Product-C780D3B4</t>
        </is>
      </c>
      <c r="N129" s="231" t="n">
        <v>1</v>
      </c>
      <c r="O129" s="181">
        <f>SUM(P129:AB129)</f>
        <v/>
      </c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31" t="inlineStr">
        <is>
          <t>C</t>
        </is>
      </c>
    </row>
    <row r="130" customFormat="1" s="1">
      <c r="A130" s="234" t="n"/>
      <c r="B130" s="231" t="inlineStr">
        <is>
          <t>SKU-43A0FE0C</t>
        </is>
      </c>
      <c r="C130" s="231" t="inlineStr">
        <is>
          <t>是</t>
        </is>
      </c>
      <c r="D130" s="231" t="n">
        <v>11</v>
      </c>
      <c r="E130" s="231" t="inlineStr"/>
      <c r="F130" s="231" t="inlineStr"/>
      <c r="G130" s="231" t="inlineStr"/>
      <c r="H130" s="231" t="inlineStr"/>
      <c r="I130" s="231" t="inlineStr"/>
      <c r="J130" s="27" t="inlineStr"/>
      <c r="K130" s="27" t="inlineStr"/>
      <c r="L130" s="231" t="n">
        <v>100</v>
      </c>
      <c r="M130" s="19" t="inlineStr">
        <is>
          <t>Product-48B5A7C4</t>
        </is>
      </c>
      <c r="N130" s="231" t="n">
        <v>1</v>
      </c>
      <c r="O130" s="181">
        <f>SUM(P130:AB130)</f>
        <v/>
      </c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31" t="inlineStr">
        <is>
          <t>C</t>
        </is>
      </c>
    </row>
    <row r="131" customFormat="1" s="1">
      <c r="A131" s="235" t="n"/>
      <c r="B131" s="80" t="n"/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40" t="n"/>
    </row>
    <row r="132" customFormat="1" s="1">
      <c r="A132" s="25" t="inlineStr">
        <is>
          <t>福建</t>
        </is>
      </c>
      <c r="B132" s="231" t="inlineStr">
        <is>
          <t>SKU-3D7D2993</t>
        </is>
      </c>
      <c r="C132" s="231" t="inlineStr">
        <is>
          <t>是</t>
        </is>
      </c>
      <c r="D132" s="231" t="n">
        <v>10</v>
      </c>
      <c r="E132" s="231" t="inlineStr"/>
      <c r="F132" s="231" t="inlineStr"/>
      <c r="G132" s="231" t="inlineStr"/>
      <c r="H132" s="231" t="inlineStr"/>
      <c r="I132" s="231" t="inlineStr"/>
      <c r="J132" s="27" t="inlineStr"/>
      <c r="K132" s="27" t="inlineStr">
        <is>
          <t>是</t>
        </is>
      </c>
      <c r="L132" s="231" t="n">
        <v>100</v>
      </c>
      <c r="M132" s="19" t="inlineStr">
        <is>
          <t>Product-E884C607</t>
        </is>
      </c>
      <c r="N132" s="231" t="n">
        <v>3</v>
      </c>
      <c r="O132" s="181">
        <f>SUM(P132:AB132)</f>
        <v/>
      </c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31" t="n"/>
    </row>
    <row r="133" customFormat="1" s="1">
      <c r="A133" s="234" t="n"/>
      <c r="B133" s="231" t="inlineStr">
        <is>
          <t>SKU-00283049</t>
        </is>
      </c>
      <c r="C133" s="231" t="inlineStr">
        <is>
          <t>是</t>
        </is>
      </c>
      <c r="D133" s="231" t="n">
        <v>6</v>
      </c>
      <c r="E133" s="231" t="inlineStr"/>
      <c r="F133" s="231" t="inlineStr">
        <is>
          <t>是</t>
        </is>
      </c>
      <c r="G133" s="231" t="inlineStr"/>
      <c r="H133" s="231" t="inlineStr"/>
      <c r="I133" s="231" t="inlineStr">
        <is>
          <t>是</t>
        </is>
      </c>
      <c r="J133" s="27" t="inlineStr"/>
      <c r="K133" s="27" t="inlineStr">
        <is>
          <t>是</t>
        </is>
      </c>
      <c r="L133" s="231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31" t="n"/>
    </row>
    <row r="134" customFormat="1" s="1">
      <c r="A134" s="234" t="n"/>
      <c r="B134" s="231" t="inlineStr">
        <is>
          <t>SKU-BB75DCA2</t>
        </is>
      </c>
      <c r="C134" s="231" t="inlineStr">
        <is>
          <t>是</t>
        </is>
      </c>
      <c r="D134" s="231" t="n">
        <v>11</v>
      </c>
      <c r="E134" s="231" t="inlineStr"/>
      <c r="F134" s="231" t="inlineStr"/>
      <c r="G134" s="231" t="inlineStr"/>
      <c r="H134" s="231" t="inlineStr"/>
      <c r="I134" s="231" t="inlineStr"/>
      <c r="J134" s="27" t="inlineStr"/>
      <c r="K134" s="27" t="inlineStr"/>
      <c r="L134" s="231" t="n">
        <v>100</v>
      </c>
      <c r="M134" s="19" t="inlineStr">
        <is>
          <t>Product-BEB895B0</t>
        </is>
      </c>
      <c r="N134" s="231" t="n">
        <v>2</v>
      </c>
      <c r="O134" s="181">
        <f>SUM(P134:AB134)</f>
        <v/>
      </c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31" t="n"/>
    </row>
    <row r="135" customFormat="1" s="1">
      <c r="A135" s="234" t="n"/>
      <c r="B135" s="231" t="inlineStr">
        <is>
          <t>SKU-388666F4</t>
        </is>
      </c>
      <c r="C135" s="231" t="inlineStr">
        <is>
          <t>是</t>
        </is>
      </c>
      <c r="D135" s="231" t="n">
        <v>10</v>
      </c>
      <c r="E135" s="231" t="inlineStr"/>
      <c r="F135" s="231" t="inlineStr"/>
      <c r="G135" s="231" t="inlineStr"/>
      <c r="H135" s="231" t="inlineStr"/>
      <c r="I135" s="231" t="inlineStr"/>
      <c r="J135" s="27" t="inlineStr"/>
      <c r="K135" s="27" t="inlineStr"/>
      <c r="L135" s="231" t="n">
        <v>100</v>
      </c>
      <c r="M135" s="44" t="inlineStr">
        <is>
          <t>Product-6CBA44B1</t>
        </is>
      </c>
      <c r="N135" s="231" t="n">
        <v>3</v>
      </c>
      <c r="O135" s="181">
        <f>SUM(P135:AB135)</f>
        <v/>
      </c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31" t="n"/>
    </row>
    <row r="136" customFormat="1" s="1">
      <c r="A136" s="234" t="n"/>
      <c r="B136" s="231" t="inlineStr">
        <is>
          <t>SKU-817B132C</t>
        </is>
      </c>
      <c r="C136" s="231" t="inlineStr">
        <is>
          <t>是</t>
        </is>
      </c>
      <c r="D136" s="231" t="n">
        <v>8</v>
      </c>
      <c r="E136" s="231" t="inlineStr"/>
      <c r="F136" s="231" t="inlineStr"/>
      <c r="G136" s="231" t="inlineStr"/>
      <c r="H136" s="231" t="inlineStr"/>
      <c r="I136" s="231" t="inlineStr"/>
      <c r="J136" s="27" t="inlineStr"/>
      <c r="K136" s="27" t="inlineStr"/>
      <c r="L136" s="231" t="n">
        <v>100</v>
      </c>
      <c r="M136" s="19" t="inlineStr">
        <is>
          <t>Product-9CA542CA</t>
        </is>
      </c>
      <c r="N136" s="231" t="n">
        <v>3</v>
      </c>
      <c r="O136" s="181">
        <f>SUM(P136:AB136)</f>
        <v/>
      </c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31" t="n"/>
    </row>
    <row r="137" customFormat="1" s="1">
      <c r="A137" s="234" t="n"/>
      <c r="B137" s="231" t="inlineStr">
        <is>
          <t>SKU-CE68A1C3</t>
        </is>
      </c>
      <c r="C137" s="231" t="inlineStr">
        <is>
          <t>是</t>
        </is>
      </c>
      <c r="D137" s="231" t="n">
        <v>6</v>
      </c>
      <c r="E137" s="231" t="inlineStr">
        <is>
          <t>是</t>
        </is>
      </c>
      <c r="F137" s="231" t="inlineStr"/>
      <c r="G137" s="231" t="inlineStr"/>
      <c r="H137" s="231" t="inlineStr"/>
      <c r="I137" s="231" t="inlineStr">
        <is>
          <t>是</t>
        </is>
      </c>
      <c r="J137" s="27" t="inlineStr">
        <is>
          <t>共</t>
        </is>
      </c>
      <c r="K137" s="27" t="inlineStr"/>
      <c r="L137" s="231" t="n">
        <v>100</v>
      </c>
      <c r="M137" s="19" t="inlineStr">
        <is>
          <t>Product-40217E2C</t>
        </is>
      </c>
      <c r="N137" s="231" t="n">
        <v>1</v>
      </c>
      <c r="O137" s="181">
        <f>SUM(P137:AB137)</f>
        <v/>
      </c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31" t="inlineStr">
        <is>
          <t>C</t>
        </is>
      </c>
    </row>
    <row r="138" customFormat="1" s="1">
      <c r="A138" s="234" t="n"/>
      <c r="B138" s="231" t="inlineStr">
        <is>
          <t>SKU-71660307</t>
        </is>
      </c>
      <c r="C138" s="231" t="inlineStr">
        <is>
          <t>是</t>
        </is>
      </c>
      <c r="D138" s="231" t="n">
        <v>8</v>
      </c>
      <c r="E138" s="231" t="inlineStr"/>
      <c r="F138" s="231" t="inlineStr">
        <is>
          <t>是</t>
        </is>
      </c>
      <c r="G138" s="231" t="inlineStr"/>
      <c r="H138" s="231" t="inlineStr"/>
      <c r="I138" s="231" t="inlineStr">
        <is>
          <t>是</t>
        </is>
      </c>
      <c r="J138" s="27" t="inlineStr"/>
      <c r="K138" s="27" t="inlineStr"/>
      <c r="L138" s="231" t="n">
        <v>100</v>
      </c>
      <c r="M138" s="44" t="inlineStr">
        <is>
          <t>Product-72199E85</t>
        </is>
      </c>
      <c r="N138" s="231" t="n">
        <v>1</v>
      </c>
      <c r="O138" s="181">
        <f>SUM(P138:AB138)</f>
        <v/>
      </c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31" t="inlineStr">
        <is>
          <t>C</t>
        </is>
      </c>
    </row>
    <row r="139" customFormat="1" s="1">
      <c r="A139" s="234" t="n"/>
      <c r="B139" s="231" t="inlineStr">
        <is>
          <t>SKU-4945E111</t>
        </is>
      </c>
      <c r="C139" s="231" t="inlineStr">
        <is>
          <t>是</t>
        </is>
      </c>
      <c r="D139" s="231" t="n">
        <v>8</v>
      </c>
      <c r="E139" s="231" t="inlineStr"/>
      <c r="F139" s="231" t="inlineStr">
        <is>
          <t>是</t>
        </is>
      </c>
      <c r="G139" s="231" t="inlineStr"/>
      <c r="H139" s="231" t="inlineStr"/>
      <c r="I139" s="231" t="inlineStr">
        <is>
          <t>是</t>
        </is>
      </c>
      <c r="J139" s="27" t="inlineStr"/>
      <c r="K139" s="27" t="inlineStr"/>
      <c r="L139" s="231" t="n">
        <v>100</v>
      </c>
      <c r="M139" s="19" t="inlineStr">
        <is>
          <t>Product-A927BD78</t>
        </is>
      </c>
      <c r="N139" s="231" t="n">
        <v>2</v>
      </c>
      <c r="O139" s="181">
        <f>SUM(P139:AB139)</f>
        <v/>
      </c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31" t="inlineStr">
        <is>
          <t>C</t>
        </is>
      </c>
    </row>
    <row r="140" customFormat="1" s="1">
      <c r="A140" s="234" t="n"/>
      <c r="B140" s="231" t="inlineStr">
        <is>
          <t>SKU-823A2107</t>
        </is>
      </c>
      <c r="C140" s="231" t="inlineStr">
        <is>
          <t>是</t>
        </is>
      </c>
      <c r="D140" s="231" t="n">
        <v>8</v>
      </c>
      <c r="E140" s="231" t="inlineStr"/>
      <c r="F140" s="231" t="inlineStr">
        <is>
          <t>是</t>
        </is>
      </c>
      <c r="G140" s="231" t="inlineStr"/>
      <c r="H140" s="231" t="inlineStr"/>
      <c r="I140" s="231" t="inlineStr">
        <is>
          <t>是</t>
        </is>
      </c>
      <c r="J140" s="27" t="inlineStr"/>
      <c r="K140" s="27" t="inlineStr"/>
      <c r="L140" s="231" t="n">
        <v>100</v>
      </c>
      <c r="M140" s="19" t="inlineStr">
        <is>
          <t>Product-0D4369D8</t>
        </is>
      </c>
      <c r="N140" s="231" t="n">
        <v>2</v>
      </c>
      <c r="O140" s="181">
        <f>SUM(P140:AB140)</f>
        <v/>
      </c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31" t="inlineStr">
        <is>
          <t>C</t>
        </is>
      </c>
    </row>
    <row r="141" customFormat="1" s="1">
      <c r="A141" s="234" t="n"/>
      <c r="B141" s="231" t="inlineStr">
        <is>
          <t>SKU-C4DEF3A3</t>
        </is>
      </c>
      <c r="C141" s="231" t="inlineStr">
        <is>
          <t>是</t>
        </is>
      </c>
      <c r="D141" s="231" t="n">
        <v>9</v>
      </c>
      <c r="E141" s="231" t="inlineStr"/>
      <c r="F141" s="231" t="inlineStr">
        <is>
          <t>是</t>
        </is>
      </c>
      <c r="G141" s="231" t="inlineStr"/>
      <c r="H141" s="231" t="inlineStr"/>
      <c r="I141" s="231" t="inlineStr">
        <is>
          <t>是</t>
        </is>
      </c>
      <c r="J141" s="27" t="inlineStr">
        <is>
          <t>共</t>
        </is>
      </c>
      <c r="K141" s="27" t="inlineStr"/>
      <c r="L141" s="231" t="n">
        <v>100</v>
      </c>
      <c r="M141" s="19" t="inlineStr">
        <is>
          <t>Product-49C45F99</t>
        </is>
      </c>
      <c r="N141" s="231" t="n">
        <v>1</v>
      </c>
      <c r="O141" s="181">
        <f>SUM(P141:AB141)</f>
        <v/>
      </c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31" t="inlineStr">
        <is>
          <t>C</t>
        </is>
      </c>
    </row>
    <row r="142" customFormat="1" s="1">
      <c r="A142" s="235" t="n"/>
      <c r="B142" s="80" t="n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40" t="n"/>
    </row>
    <row r="143" customFormat="1" s="1">
      <c r="A143" s="25" t="inlineStr">
        <is>
          <t>江西</t>
        </is>
      </c>
      <c r="B143" s="231" t="inlineStr">
        <is>
          <t>SKU-02903B09</t>
        </is>
      </c>
      <c r="C143" s="231" t="inlineStr">
        <is>
          <t>是</t>
        </is>
      </c>
      <c r="D143" s="231" t="n">
        <v>11</v>
      </c>
      <c r="E143" s="231" t="inlineStr"/>
      <c r="F143" s="231" t="inlineStr"/>
      <c r="G143" s="231" t="inlineStr"/>
      <c r="H143" s="231" t="inlineStr"/>
      <c r="I143" s="231" t="inlineStr"/>
      <c r="J143" s="27" t="inlineStr"/>
      <c r="K143" s="27" t="inlineStr"/>
      <c r="L143" s="231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31" t="n"/>
    </row>
    <row r="144" customFormat="1" s="1">
      <c r="A144" s="234" t="n"/>
      <c r="B144" s="231" t="inlineStr">
        <is>
          <t>SKU-D7B2F623</t>
        </is>
      </c>
      <c r="C144" s="231" t="inlineStr">
        <is>
          <t>是</t>
        </is>
      </c>
      <c r="D144" s="231" t="n">
        <v>10</v>
      </c>
      <c r="E144" s="231" t="inlineStr"/>
      <c r="F144" s="231" t="inlineStr"/>
      <c r="G144" s="231" t="inlineStr"/>
      <c r="H144" s="231" t="inlineStr"/>
      <c r="I144" s="231" t="inlineStr"/>
      <c r="J144" s="27" t="inlineStr"/>
      <c r="K144" s="27" t="inlineStr"/>
      <c r="L144" s="231" t="n">
        <v>100</v>
      </c>
      <c r="M144" s="44" t="inlineStr">
        <is>
          <t>Product-419EF208</t>
        </is>
      </c>
      <c r="N144" s="231" t="n">
        <v>3</v>
      </c>
      <c r="O144" s="181">
        <f>SUM(P144:AB144)</f>
        <v/>
      </c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31" t="inlineStr">
        <is>
          <t>C</t>
        </is>
      </c>
    </row>
    <row r="145" customFormat="1" s="1">
      <c r="A145" s="234" t="n"/>
      <c r="B145" s="231" t="inlineStr">
        <is>
          <t>SKU-5C6A175C</t>
        </is>
      </c>
      <c r="C145" s="231" t="inlineStr">
        <is>
          <t>是</t>
        </is>
      </c>
      <c r="D145" s="231" t="n">
        <v>8</v>
      </c>
      <c r="E145" s="231" t="inlineStr">
        <is>
          <t>是</t>
        </is>
      </c>
      <c r="F145" s="231" t="inlineStr"/>
      <c r="G145" s="231" t="inlineStr"/>
      <c r="H145" s="231" t="inlineStr"/>
      <c r="I145" s="231" t="inlineStr">
        <is>
          <t>是</t>
        </is>
      </c>
      <c r="J145" s="27" t="inlineStr"/>
      <c r="K145" s="27" t="inlineStr"/>
      <c r="L145" s="231" t="n">
        <v>100</v>
      </c>
      <c r="M145" s="19" t="inlineStr">
        <is>
          <t>Product-F200B9C7</t>
        </is>
      </c>
      <c r="N145" s="231" t="n">
        <v>2</v>
      </c>
      <c r="O145" s="181">
        <f>SUM(P145:AB145)</f>
        <v/>
      </c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31" t="inlineStr">
        <is>
          <t>C</t>
        </is>
      </c>
    </row>
    <row r="146" customFormat="1" s="1">
      <c r="A146" s="234" t="n"/>
      <c r="B146" s="231" t="inlineStr">
        <is>
          <t>SKU-C6295A43</t>
        </is>
      </c>
      <c r="C146" s="231" t="inlineStr">
        <is>
          <t>是</t>
        </is>
      </c>
      <c r="D146" s="231" t="n">
        <v>10</v>
      </c>
      <c r="E146" s="231" t="inlineStr"/>
      <c r="F146" s="231" t="inlineStr"/>
      <c r="G146" s="231" t="inlineStr"/>
      <c r="H146" s="231" t="inlineStr">
        <is>
          <t>是</t>
        </is>
      </c>
      <c r="I146" s="231" t="inlineStr">
        <is>
          <t>是</t>
        </is>
      </c>
      <c r="J146" s="27" t="inlineStr"/>
      <c r="K146" s="27" t="inlineStr"/>
      <c r="L146" s="231" t="n">
        <v>100</v>
      </c>
      <c r="M146" s="33" t="inlineStr">
        <is>
          <t>Product-C41500E8</t>
        </is>
      </c>
      <c r="N146" s="231" t="n">
        <v>1</v>
      </c>
      <c r="O146" s="181">
        <f>SUM(P146:AB146)</f>
        <v/>
      </c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31" t="inlineStr">
        <is>
          <t>C</t>
        </is>
      </c>
    </row>
    <row r="147" customFormat="1" s="1">
      <c r="A147" s="234" t="n"/>
      <c r="B147" s="231" t="inlineStr">
        <is>
          <t>SKU-68E2C9C2</t>
        </is>
      </c>
      <c r="C147" s="231" t="inlineStr">
        <is>
          <t>是</t>
        </is>
      </c>
      <c r="D147" s="231" t="n">
        <v>10</v>
      </c>
      <c r="E147" s="231" t="inlineStr"/>
      <c r="F147" s="231" t="inlineStr"/>
      <c r="G147" s="231" t="inlineStr"/>
      <c r="H147" s="231" t="inlineStr"/>
      <c r="I147" s="231" t="inlineStr"/>
      <c r="J147" s="27" t="inlineStr">
        <is>
          <t>共</t>
        </is>
      </c>
      <c r="K147" s="27" t="inlineStr"/>
      <c r="L147" s="231" t="n">
        <v>100</v>
      </c>
      <c r="M147" s="19" t="inlineStr">
        <is>
          <t>Product-61D75507</t>
        </is>
      </c>
      <c r="N147" s="231" t="n">
        <v>1</v>
      </c>
      <c r="O147" s="181">
        <f>SUM(P147:AB147)</f>
        <v/>
      </c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31" t="n"/>
    </row>
    <row r="148" customFormat="1" s="1">
      <c r="A148" s="234" t="n"/>
      <c r="B148" s="231" t="inlineStr">
        <is>
          <t>SKU-3821C959</t>
        </is>
      </c>
      <c r="C148" s="231" t="inlineStr">
        <is>
          <t>是</t>
        </is>
      </c>
      <c r="D148" s="231" t="n">
        <v>10</v>
      </c>
      <c r="E148" s="231" t="inlineStr"/>
      <c r="F148" s="231" t="inlineStr"/>
      <c r="G148" s="231" t="inlineStr"/>
      <c r="H148" s="231" t="inlineStr"/>
      <c r="I148" s="231" t="inlineStr"/>
      <c r="J148" s="27" t="inlineStr"/>
      <c r="K148" s="27" t="inlineStr"/>
      <c r="L148" s="231" t="n">
        <v>100</v>
      </c>
      <c r="M148" s="19" t="inlineStr">
        <is>
          <t>Product-E665821D</t>
        </is>
      </c>
      <c r="N148" s="231" t="n">
        <v>1</v>
      </c>
      <c r="O148" s="181">
        <f>SUM(P148:AB148)</f>
        <v/>
      </c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31" t="inlineStr">
        <is>
          <t>C</t>
        </is>
      </c>
    </row>
    <row r="149" customFormat="1" s="1">
      <c r="A149" s="234" t="n"/>
      <c r="B149" s="231" t="inlineStr">
        <is>
          <t>SKU-22F094B2</t>
        </is>
      </c>
      <c r="C149" s="231" t="inlineStr">
        <is>
          <t>是</t>
        </is>
      </c>
      <c r="D149" s="231" t="n">
        <v>10</v>
      </c>
      <c r="E149" s="231" t="inlineStr"/>
      <c r="F149" s="231" t="inlineStr"/>
      <c r="G149" s="231" t="inlineStr"/>
      <c r="H149" s="231" t="inlineStr"/>
      <c r="I149" s="231" t="inlineStr"/>
      <c r="J149" s="27" t="inlineStr"/>
      <c r="K149" s="27" t="inlineStr"/>
      <c r="L149" s="231" t="n">
        <v>100</v>
      </c>
      <c r="M149" s="19" t="inlineStr">
        <is>
          <t>Product-A2C9FA4B</t>
        </is>
      </c>
      <c r="N149" s="231" t="n">
        <v>3</v>
      </c>
      <c r="O149" s="181">
        <f>SUM(P149:AB149)</f>
        <v/>
      </c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31" t="inlineStr">
        <is>
          <t>C</t>
        </is>
      </c>
    </row>
    <row r="150" customFormat="1" s="1">
      <c r="A150" s="234" t="n"/>
      <c r="B150" s="231" t="inlineStr">
        <is>
          <t>SKU-A00C82DC</t>
        </is>
      </c>
      <c r="C150" s="231" t="inlineStr">
        <is>
          <t>是</t>
        </is>
      </c>
      <c r="D150" s="231" t="n">
        <v>8</v>
      </c>
      <c r="E150" s="231" t="inlineStr"/>
      <c r="F150" s="231" t="inlineStr">
        <is>
          <t>是</t>
        </is>
      </c>
      <c r="G150" s="231" t="inlineStr"/>
      <c r="H150" s="231" t="inlineStr"/>
      <c r="I150" s="231" t="inlineStr">
        <is>
          <t>是</t>
        </is>
      </c>
      <c r="J150" s="27" t="inlineStr"/>
      <c r="K150" s="27" t="inlineStr"/>
      <c r="L150" s="231" t="n">
        <v>100</v>
      </c>
      <c r="M150" s="19" t="inlineStr">
        <is>
          <t>Product-C42233E0</t>
        </is>
      </c>
      <c r="N150" s="231" t="n">
        <v>1</v>
      </c>
      <c r="O150" s="181">
        <f>SUM(P150:AB150)</f>
        <v/>
      </c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31" t="inlineStr">
        <is>
          <t>C</t>
        </is>
      </c>
    </row>
    <row r="151" customFormat="1" s="1">
      <c r="A151" s="235" t="n"/>
      <c r="B151" s="80" t="n"/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40" t="n"/>
    </row>
    <row r="152" customFormat="1" s="1">
      <c r="A152" s="54" t="inlineStr">
        <is>
          <t>山东</t>
        </is>
      </c>
      <c r="B152" s="231" t="inlineStr">
        <is>
          <t>SKU-85EB87C2</t>
        </is>
      </c>
      <c r="C152" s="231" t="inlineStr"/>
      <c r="D152" s="231" t="n">
        <v>10</v>
      </c>
      <c r="E152" s="231" t="inlineStr"/>
      <c r="F152" s="231" t="inlineStr"/>
      <c r="G152" s="231" t="inlineStr"/>
      <c r="H152" s="231" t="inlineStr"/>
      <c r="I152" s="231" t="inlineStr"/>
      <c r="J152" s="27" t="inlineStr"/>
      <c r="K152" s="27" t="inlineStr"/>
      <c r="L152" s="231" t="n">
        <v>100</v>
      </c>
      <c r="M152" s="43" t="inlineStr">
        <is>
          <t>Product-21719E56</t>
        </is>
      </c>
      <c r="N152" s="231" t="n">
        <v>3</v>
      </c>
      <c r="O152" s="181">
        <f>SUM(P152:AB152)</f>
        <v/>
      </c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31" t="n"/>
    </row>
    <row r="153" customFormat="1" s="1">
      <c r="A153" s="234" t="n"/>
      <c r="B153" s="231" t="inlineStr">
        <is>
          <t>SKU-D52742FC</t>
        </is>
      </c>
      <c r="C153" s="231" t="inlineStr">
        <is>
          <t>是</t>
        </is>
      </c>
      <c r="D153" s="231" t="n">
        <v>8</v>
      </c>
      <c r="E153" s="231" t="inlineStr"/>
      <c r="F153" s="231" t="inlineStr"/>
      <c r="G153" s="231" t="inlineStr"/>
      <c r="H153" s="231" t="inlineStr"/>
      <c r="I153" s="231" t="inlineStr"/>
      <c r="J153" s="27" t="inlineStr"/>
      <c r="K153" s="27" t="inlineStr"/>
      <c r="L153" s="231" t="n">
        <v>100</v>
      </c>
      <c r="M153" s="19" t="inlineStr">
        <is>
          <t>Product-651736B9</t>
        </is>
      </c>
      <c r="N153" s="231" t="n">
        <v>1</v>
      </c>
      <c r="O153" s="181">
        <f>SUM(P153:AB153)</f>
        <v/>
      </c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31" t="n"/>
    </row>
    <row r="154" customFormat="1" s="1">
      <c r="A154" s="234" t="n"/>
      <c r="B154" s="231" t="inlineStr">
        <is>
          <t>SKU-D4326C5A</t>
        </is>
      </c>
      <c r="C154" s="231" t="inlineStr">
        <is>
          <t>是</t>
        </is>
      </c>
      <c r="D154" s="231" t="n">
        <v>11</v>
      </c>
      <c r="E154" s="231" t="inlineStr"/>
      <c r="F154" s="231" t="inlineStr"/>
      <c r="G154" s="231" t="inlineStr"/>
      <c r="H154" s="231" t="inlineStr"/>
      <c r="I154" s="231" t="inlineStr"/>
      <c r="J154" s="27" t="inlineStr"/>
      <c r="K154" s="27" t="inlineStr"/>
      <c r="L154" s="231" t="n">
        <v>100</v>
      </c>
      <c r="M154" s="19" t="inlineStr">
        <is>
          <t>Product-E1F8C543</t>
        </is>
      </c>
      <c r="N154" s="231" t="n">
        <v>3</v>
      </c>
      <c r="O154" s="181">
        <f>SUM(P154:AB154)</f>
        <v/>
      </c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31" t="n"/>
    </row>
    <row r="155" customFormat="1" s="1">
      <c r="A155" s="234" t="n"/>
      <c r="B155" s="231" t="inlineStr">
        <is>
          <t>SKU-7882C790</t>
        </is>
      </c>
      <c r="C155" s="231" t="inlineStr">
        <is>
          <t>是</t>
        </is>
      </c>
      <c r="D155" s="231" t="n">
        <v>11</v>
      </c>
      <c r="E155" s="231" t="inlineStr"/>
      <c r="F155" s="231" t="inlineStr"/>
      <c r="G155" s="231" t="inlineStr"/>
      <c r="H155" s="231" t="inlineStr"/>
      <c r="I155" s="231" t="inlineStr"/>
      <c r="J155" s="27" t="inlineStr"/>
      <c r="K155" s="27" t="inlineStr"/>
      <c r="L155" s="231" t="n">
        <v>100</v>
      </c>
      <c r="M155" s="43" t="inlineStr">
        <is>
          <t>Product-F864C796</t>
        </is>
      </c>
      <c r="N155" s="231" t="n">
        <v>3</v>
      </c>
      <c r="O155" s="181">
        <f>SUM(P155:AB155)</f>
        <v/>
      </c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31" t="n"/>
    </row>
    <row r="156" customFormat="1" s="1">
      <c r="A156" s="234" t="n"/>
      <c r="B156" s="231" t="inlineStr">
        <is>
          <t>SKU-9A453BC6</t>
        </is>
      </c>
      <c r="C156" s="231" t="inlineStr">
        <is>
          <t>是</t>
        </is>
      </c>
      <c r="D156" s="231" t="n">
        <v>8</v>
      </c>
      <c r="E156" s="231" t="inlineStr"/>
      <c r="F156" s="231" t="inlineStr"/>
      <c r="G156" s="231" t="inlineStr"/>
      <c r="H156" s="231" t="inlineStr"/>
      <c r="I156" s="231" t="inlineStr"/>
      <c r="J156" s="27" t="inlineStr"/>
      <c r="K156" s="27" t="inlineStr"/>
      <c r="L156" s="231" t="n">
        <v>100</v>
      </c>
      <c r="M156" s="19" t="inlineStr">
        <is>
          <t>Product-C344580B</t>
        </is>
      </c>
      <c r="N156" s="231" t="n">
        <v>2</v>
      </c>
      <c r="O156" s="181">
        <f>SUM(P156:AB156)</f>
        <v/>
      </c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31" t="n"/>
    </row>
    <row r="157" customFormat="1" s="1">
      <c r="A157" s="234" t="n"/>
      <c r="B157" s="231" t="inlineStr">
        <is>
          <t>SKU-EE07E257</t>
        </is>
      </c>
      <c r="C157" s="231" t="inlineStr">
        <is>
          <t>是</t>
        </is>
      </c>
      <c r="D157" s="231" t="n">
        <v>6</v>
      </c>
      <c r="E157" s="231" t="inlineStr">
        <is>
          <t>是</t>
        </is>
      </c>
      <c r="F157" s="231" t="inlineStr"/>
      <c r="G157" s="231" t="inlineStr"/>
      <c r="H157" s="231" t="inlineStr"/>
      <c r="I157" s="231" t="inlineStr">
        <is>
          <t>是</t>
        </is>
      </c>
      <c r="J157" s="27" t="inlineStr">
        <is>
          <t>共</t>
        </is>
      </c>
      <c r="K157" s="27" t="inlineStr"/>
      <c r="L157" s="231" t="n">
        <v>100</v>
      </c>
      <c r="M157" s="19" t="inlineStr">
        <is>
          <t>Product-1F0D9429</t>
        </is>
      </c>
      <c r="N157" s="231" t="n">
        <v>2</v>
      </c>
      <c r="O157" s="181">
        <f>SUM(P157:AB157)</f>
        <v/>
      </c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31" t="inlineStr">
        <is>
          <t>C</t>
        </is>
      </c>
    </row>
    <row r="158" customFormat="1" s="1">
      <c r="A158" s="234" t="n"/>
      <c r="B158" s="55" t="inlineStr">
        <is>
          <t>SKU-49DCD58C</t>
        </is>
      </c>
      <c r="C158" s="231" t="inlineStr">
        <is>
          <t>是</t>
        </is>
      </c>
      <c r="D158" s="55" t="n">
        <v>10</v>
      </c>
      <c r="E158" s="231" t="inlineStr"/>
      <c r="F158" s="231" t="inlineStr">
        <is>
          <t>是</t>
        </is>
      </c>
      <c r="G158" s="231" t="inlineStr"/>
      <c r="H158" s="231" t="inlineStr"/>
      <c r="I158" s="231" t="inlineStr">
        <is>
          <t>是</t>
        </is>
      </c>
      <c r="J158" s="56" t="inlineStr"/>
      <c r="K158" s="56" t="inlineStr"/>
      <c r="L158" s="231" t="n">
        <v>100</v>
      </c>
      <c r="M158" s="33" t="inlineStr">
        <is>
          <t>Product-BF9865D9</t>
        </is>
      </c>
      <c r="N158" s="231" t="n">
        <v>1</v>
      </c>
      <c r="O158" s="181">
        <f>SUM(P158:AB158)</f>
        <v/>
      </c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57" t="inlineStr">
        <is>
          <t>C</t>
        </is>
      </c>
    </row>
    <row r="159" customFormat="1" s="1">
      <c r="A159" s="234" t="n"/>
      <c r="B159" s="231" t="inlineStr">
        <is>
          <t>SKU-5D621FD4</t>
        </is>
      </c>
      <c r="C159" s="231" t="inlineStr">
        <is>
          <t>是</t>
        </is>
      </c>
      <c r="D159" s="231" t="n">
        <v>6</v>
      </c>
      <c r="E159" s="231" t="inlineStr">
        <is>
          <t>是</t>
        </is>
      </c>
      <c r="F159" s="231" t="inlineStr"/>
      <c r="G159" s="231" t="inlineStr"/>
      <c r="H159" s="231" t="inlineStr">
        <is>
          <t>是</t>
        </is>
      </c>
      <c r="I159" s="231" t="inlineStr">
        <is>
          <t>是</t>
        </is>
      </c>
      <c r="J159" s="56" t="inlineStr">
        <is>
          <t>共</t>
        </is>
      </c>
      <c r="K159" s="56" t="inlineStr"/>
      <c r="L159" s="231" t="n">
        <v>100</v>
      </c>
      <c r="M159" s="19" t="inlineStr">
        <is>
          <t>Product-26631748</t>
        </is>
      </c>
      <c r="N159" s="231" t="n">
        <v>1</v>
      </c>
      <c r="O159" s="181">
        <f>SUM(P159:AB159)</f>
        <v/>
      </c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57" t="inlineStr">
        <is>
          <t>C</t>
        </is>
      </c>
    </row>
    <row r="160" customFormat="1" s="1">
      <c r="A160" s="234" t="n"/>
      <c r="B160" s="231" t="inlineStr">
        <is>
          <t>SKU-CA16AEB9</t>
        </is>
      </c>
      <c r="C160" s="231" t="inlineStr">
        <is>
          <t>是</t>
        </is>
      </c>
      <c r="D160" s="231" t="n">
        <v>7</v>
      </c>
      <c r="E160" s="231" t="inlineStr">
        <is>
          <t>是</t>
        </is>
      </c>
      <c r="F160" s="231" t="inlineStr"/>
      <c r="G160" s="231" t="inlineStr"/>
      <c r="H160" s="231" t="inlineStr"/>
      <c r="I160" s="231" t="inlineStr">
        <is>
          <t>是</t>
        </is>
      </c>
      <c r="J160" s="27" t="inlineStr"/>
      <c r="K160" s="27" t="inlineStr"/>
      <c r="L160" s="231" t="n">
        <v>100</v>
      </c>
      <c r="M160" s="19" t="inlineStr">
        <is>
          <t>Product-4B7D4BD1</t>
        </is>
      </c>
      <c r="N160" s="231" t="n">
        <v>1</v>
      </c>
      <c r="O160" s="181">
        <f>SUM(P160:AB160)</f>
        <v/>
      </c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31" t="inlineStr">
        <is>
          <t>C</t>
        </is>
      </c>
    </row>
    <row r="161" customFormat="1" s="1">
      <c r="A161" s="234" t="n"/>
      <c r="B161" s="231" t="inlineStr">
        <is>
          <t>SKU-8ED723E3</t>
        </is>
      </c>
      <c r="C161" s="231" t="inlineStr">
        <is>
          <t>是</t>
        </is>
      </c>
      <c r="D161" s="231" t="n">
        <v>8</v>
      </c>
      <c r="E161" s="231" t="inlineStr">
        <is>
          <t>是</t>
        </is>
      </c>
      <c r="F161" s="231" t="inlineStr"/>
      <c r="G161" s="231" t="inlineStr"/>
      <c r="H161" s="231" t="inlineStr"/>
      <c r="I161" s="231" t="inlineStr">
        <is>
          <t>是</t>
        </is>
      </c>
      <c r="J161" s="27" t="inlineStr"/>
      <c r="K161" s="27" t="inlineStr"/>
      <c r="L161" s="231" t="n">
        <v>100</v>
      </c>
      <c r="M161" s="19" t="inlineStr">
        <is>
          <t>Product-E8BD5CCF</t>
        </is>
      </c>
      <c r="N161" s="231" t="n">
        <v>1</v>
      </c>
      <c r="O161" s="181">
        <f>SUM(P161:AB161)</f>
        <v/>
      </c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31" t="inlineStr">
        <is>
          <t>C</t>
        </is>
      </c>
    </row>
    <row r="162" customFormat="1" s="1">
      <c r="A162" s="234" t="n"/>
      <c r="B162" s="231" t="inlineStr">
        <is>
          <t>SKU-DBA86E65</t>
        </is>
      </c>
      <c r="C162" s="231" t="inlineStr">
        <is>
          <t>是</t>
        </is>
      </c>
      <c r="D162" s="231" t="n">
        <v>6</v>
      </c>
      <c r="E162" s="231" t="inlineStr">
        <is>
          <t>是</t>
        </is>
      </c>
      <c r="F162" s="231" t="inlineStr"/>
      <c r="G162" s="231" t="inlineStr"/>
      <c r="H162" s="231" t="inlineStr">
        <is>
          <t>是</t>
        </is>
      </c>
      <c r="I162" s="231" t="inlineStr">
        <is>
          <t>是</t>
        </is>
      </c>
      <c r="J162" s="27" t="inlineStr"/>
      <c r="K162" s="27" t="inlineStr"/>
      <c r="L162" s="231" t="n">
        <v>100</v>
      </c>
      <c r="M162" s="45" t="inlineStr">
        <is>
          <t>Product-621BB3A5</t>
        </is>
      </c>
      <c r="N162" s="231" t="n">
        <v>1</v>
      </c>
      <c r="O162" s="181">
        <f>SUM(P162:AB162)</f>
        <v/>
      </c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31" t="n"/>
    </row>
    <row r="163" customFormat="1" s="1">
      <c r="A163" s="234" t="n"/>
      <c r="B163" s="231" t="inlineStr">
        <is>
          <t>SKU-B757BD73</t>
        </is>
      </c>
      <c r="C163" s="231" t="inlineStr">
        <is>
          <t>是</t>
        </is>
      </c>
      <c r="D163" s="231" t="n">
        <v>8</v>
      </c>
      <c r="E163" s="231" t="inlineStr"/>
      <c r="F163" s="231" t="inlineStr"/>
      <c r="G163" s="231" t="inlineStr"/>
      <c r="H163" s="231" t="inlineStr"/>
      <c r="I163" s="231" t="inlineStr"/>
      <c r="J163" s="27" t="inlineStr"/>
      <c r="K163" s="27" t="inlineStr"/>
      <c r="L163" s="231" t="n">
        <v>100</v>
      </c>
      <c r="M163" s="45" t="inlineStr">
        <is>
          <t>Product-3A2FFD27</t>
        </is>
      </c>
      <c r="N163" s="231" t="n">
        <v>3</v>
      </c>
      <c r="O163" s="181">
        <f>SUM(P163:AB163)</f>
        <v/>
      </c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31" t="n"/>
    </row>
    <row r="164" customFormat="1" s="1">
      <c r="A164" s="235" t="n"/>
      <c r="B164" s="80" t="n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40" t="n"/>
    </row>
    <row r="165" customFormat="1" s="1">
      <c r="A165" s="54" t="inlineStr">
        <is>
          <t>河南</t>
        </is>
      </c>
      <c r="B165" s="231" t="inlineStr">
        <is>
          <t>SKU-73F9B5D4</t>
        </is>
      </c>
      <c r="C165" s="231" t="inlineStr">
        <is>
          <t>是</t>
        </is>
      </c>
      <c r="D165" s="231" t="n">
        <v>10</v>
      </c>
      <c r="E165" s="231" t="inlineStr"/>
      <c r="F165" s="231" t="inlineStr"/>
      <c r="G165" s="231" t="inlineStr"/>
      <c r="H165" s="231" t="inlineStr"/>
      <c r="I165" s="231" t="inlineStr"/>
      <c r="J165" s="27" t="inlineStr"/>
      <c r="K165" s="27" t="inlineStr"/>
      <c r="L165" s="231" t="n">
        <v>100</v>
      </c>
      <c r="M165" s="43" t="inlineStr">
        <is>
          <t>Product-E50899B3</t>
        </is>
      </c>
      <c r="N165" s="231" t="n">
        <v>2</v>
      </c>
      <c r="O165" s="181">
        <f>SUM(P165:AB165)</f>
        <v/>
      </c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31" t="n"/>
    </row>
    <row r="166" customFormat="1" s="1">
      <c r="A166" s="234" t="n"/>
      <c r="B166" s="231" t="inlineStr">
        <is>
          <t>SKU-7C4AE0E1</t>
        </is>
      </c>
      <c r="C166" s="231" t="inlineStr">
        <is>
          <t>是</t>
        </is>
      </c>
      <c r="D166" s="231" t="n">
        <v>11</v>
      </c>
      <c r="E166" s="231" t="inlineStr"/>
      <c r="F166" s="231" t="inlineStr"/>
      <c r="G166" s="231" t="inlineStr"/>
      <c r="H166" s="231" t="inlineStr"/>
      <c r="I166" s="231" t="inlineStr"/>
      <c r="J166" s="27" t="inlineStr">
        <is>
          <t>共</t>
        </is>
      </c>
      <c r="K166" s="27" t="inlineStr"/>
      <c r="L166" s="231" t="n">
        <v>100</v>
      </c>
      <c r="M166" s="19" t="inlineStr">
        <is>
          <t>Product-69803ED8</t>
        </is>
      </c>
      <c r="N166" s="231" t="n">
        <v>1</v>
      </c>
      <c r="O166" s="181">
        <f>SUM(P166:AB166)</f>
        <v/>
      </c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31" t="inlineStr">
        <is>
          <t>C</t>
        </is>
      </c>
    </row>
    <row r="167" customFormat="1" s="1">
      <c r="A167" s="234" t="n"/>
      <c r="B167" s="231" t="inlineStr">
        <is>
          <t>SKU-38CF6D81</t>
        </is>
      </c>
      <c r="C167" s="231" t="inlineStr">
        <is>
          <t>是</t>
        </is>
      </c>
      <c r="D167" s="231" t="n">
        <v>10</v>
      </c>
      <c r="E167" s="231" t="inlineStr"/>
      <c r="F167" s="231" t="inlineStr"/>
      <c r="G167" s="231" t="inlineStr"/>
      <c r="H167" s="231" t="inlineStr"/>
      <c r="I167" s="231" t="inlineStr"/>
      <c r="J167" s="27" t="inlineStr"/>
      <c r="K167" s="27" t="inlineStr"/>
      <c r="L167" s="231" t="n">
        <v>100</v>
      </c>
      <c r="M167" s="19" t="inlineStr">
        <is>
          <t>Product-770D085E</t>
        </is>
      </c>
      <c r="N167" s="231" t="n">
        <v>3</v>
      </c>
      <c r="O167" s="181">
        <f>SUM(P167:AB167)</f>
        <v/>
      </c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31" t="n"/>
    </row>
    <row r="168" customFormat="1" s="1">
      <c r="A168" s="234" t="n"/>
      <c r="B168" s="231" t="inlineStr">
        <is>
          <t>SKU-87F8B8AB</t>
        </is>
      </c>
      <c r="C168" s="231" t="inlineStr">
        <is>
          <t>是</t>
        </is>
      </c>
      <c r="D168" s="231" t="n">
        <v>6</v>
      </c>
      <c r="E168" s="231" t="inlineStr">
        <is>
          <t>是</t>
        </is>
      </c>
      <c r="F168" s="231" t="inlineStr"/>
      <c r="G168" s="231" t="inlineStr"/>
      <c r="H168" s="231" t="inlineStr"/>
      <c r="I168" s="231" t="inlineStr">
        <is>
          <t>是</t>
        </is>
      </c>
      <c r="J168" s="27" t="inlineStr"/>
      <c r="K168" s="27" t="inlineStr"/>
      <c r="L168" s="231" t="n">
        <v>100</v>
      </c>
      <c r="M168" s="19" t="inlineStr">
        <is>
          <t>Product-7BF3E316</t>
        </is>
      </c>
      <c r="N168" s="231" t="n">
        <v>2</v>
      </c>
      <c r="O168" s="181">
        <f>SUM(P168:AB168)</f>
        <v/>
      </c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31" t="inlineStr">
        <is>
          <t>C</t>
        </is>
      </c>
    </row>
    <row r="169" customFormat="1" s="1">
      <c r="A169" s="234" t="n"/>
      <c r="B169" s="231" t="inlineStr">
        <is>
          <t>SKU-2BECE586</t>
        </is>
      </c>
      <c r="C169" s="231" t="inlineStr">
        <is>
          <t>是</t>
        </is>
      </c>
      <c r="D169" s="231" t="n">
        <v>6</v>
      </c>
      <c r="E169" s="231" t="inlineStr">
        <is>
          <t>是</t>
        </is>
      </c>
      <c r="F169" s="231" t="inlineStr"/>
      <c r="G169" s="231" t="inlineStr"/>
      <c r="H169" s="231" t="inlineStr"/>
      <c r="I169" s="231" t="inlineStr">
        <is>
          <t>是</t>
        </is>
      </c>
      <c r="J169" s="27" t="inlineStr">
        <is>
          <t>共</t>
        </is>
      </c>
      <c r="K169" s="27" t="inlineStr"/>
      <c r="L169" s="231" t="n">
        <v>100</v>
      </c>
      <c r="M169" s="19" t="inlineStr">
        <is>
          <t>Product-AECED13C</t>
        </is>
      </c>
      <c r="N169" s="231" t="n">
        <v>1</v>
      </c>
      <c r="O169" s="181">
        <f>SUM(P169:AB169)</f>
        <v/>
      </c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31" t="inlineStr">
        <is>
          <t>C</t>
        </is>
      </c>
    </row>
    <row r="170" customFormat="1" s="1">
      <c r="A170" s="234" t="n"/>
      <c r="B170" s="231" t="inlineStr">
        <is>
          <t>SKU-E2A6D7B2</t>
        </is>
      </c>
      <c r="C170" s="231" t="inlineStr">
        <is>
          <t>是</t>
        </is>
      </c>
      <c r="D170" s="231" t="n">
        <v>10</v>
      </c>
      <c r="E170" s="231" t="inlineStr"/>
      <c r="F170" s="231" t="inlineStr"/>
      <c r="G170" s="231" t="inlineStr"/>
      <c r="H170" s="231" t="inlineStr"/>
      <c r="I170" s="231" t="inlineStr"/>
      <c r="J170" s="27" t="inlineStr"/>
      <c r="K170" s="27" t="inlineStr"/>
      <c r="L170" s="231" t="n">
        <v>100</v>
      </c>
      <c r="M170" s="19" t="inlineStr">
        <is>
          <t>Product-7068DBFE</t>
        </is>
      </c>
      <c r="N170" s="231" t="n">
        <v>3</v>
      </c>
      <c r="O170" s="181">
        <f>SUM(P170:AB170)</f>
        <v/>
      </c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31" t="n"/>
    </row>
    <row r="171" customFormat="1" s="1">
      <c r="A171" s="234" t="n"/>
      <c r="B171" s="231" t="inlineStr">
        <is>
          <t>SKU-DF4C456E</t>
        </is>
      </c>
      <c r="C171" s="231" t="inlineStr">
        <is>
          <t>是</t>
        </is>
      </c>
      <c r="D171" s="231" t="n">
        <v>10</v>
      </c>
      <c r="E171" s="231" t="inlineStr"/>
      <c r="F171" s="231" t="inlineStr"/>
      <c r="G171" s="231" t="inlineStr">
        <is>
          <t>是</t>
        </is>
      </c>
      <c r="H171" s="231" t="inlineStr"/>
      <c r="I171" s="231" t="inlineStr">
        <is>
          <t>是</t>
        </is>
      </c>
      <c r="J171" s="27" t="inlineStr">
        <is>
          <t>共</t>
        </is>
      </c>
      <c r="K171" s="27" t="inlineStr"/>
      <c r="L171" s="231" t="n">
        <v>100</v>
      </c>
      <c r="M171" s="19" t="inlineStr">
        <is>
          <t>Product-2194AF5F</t>
        </is>
      </c>
      <c r="N171" s="231" t="n">
        <v>2</v>
      </c>
      <c r="O171" s="181">
        <f>SUM(P171:AB171)</f>
        <v/>
      </c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31" t="inlineStr">
        <is>
          <t>C</t>
        </is>
      </c>
    </row>
    <row r="172" customFormat="1" s="1">
      <c r="A172" s="234" t="n"/>
      <c r="B172" s="231" t="inlineStr">
        <is>
          <t>SKU-346CCBE7</t>
        </is>
      </c>
      <c r="C172" s="231" t="inlineStr">
        <is>
          <t>是</t>
        </is>
      </c>
      <c r="D172" s="231" t="n">
        <v>8</v>
      </c>
      <c r="E172" s="231" t="inlineStr">
        <is>
          <t>是</t>
        </is>
      </c>
      <c r="F172" s="231" t="inlineStr"/>
      <c r="G172" s="231" t="inlineStr"/>
      <c r="H172" s="231" t="inlineStr"/>
      <c r="I172" s="231" t="inlineStr">
        <is>
          <t>是</t>
        </is>
      </c>
      <c r="J172" s="27" t="inlineStr">
        <is>
          <t>共</t>
        </is>
      </c>
      <c r="K172" s="27" t="inlineStr"/>
      <c r="L172" s="231" t="n">
        <v>100</v>
      </c>
      <c r="M172" s="19" t="inlineStr">
        <is>
          <t>Product-5785945E</t>
        </is>
      </c>
      <c r="N172" s="231" t="n">
        <v>1</v>
      </c>
      <c r="O172" s="181">
        <f>SUM(P172:AB172)</f>
        <v/>
      </c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31" t="inlineStr">
        <is>
          <t>C</t>
        </is>
      </c>
    </row>
    <row r="173" customFormat="1" s="1">
      <c r="A173" s="234" t="n"/>
      <c r="B173" s="231" t="inlineStr">
        <is>
          <t>SKU-DF067F13</t>
        </is>
      </c>
      <c r="C173" s="231" t="inlineStr">
        <is>
          <t>是</t>
        </is>
      </c>
      <c r="D173" s="231" t="n">
        <v>10</v>
      </c>
      <c r="E173" s="231" t="inlineStr"/>
      <c r="F173" s="231" t="inlineStr"/>
      <c r="G173" s="231" t="inlineStr"/>
      <c r="H173" s="231" t="inlineStr"/>
      <c r="I173" s="231" t="inlineStr"/>
      <c r="J173" s="27" t="inlineStr"/>
      <c r="K173" s="27" t="inlineStr"/>
      <c r="L173" s="231" t="n">
        <v>100</v>
      </c>
      <c r="M173" s="19" t="inlineStr">
        <is>
          <t>Product-2FB2C039</t>
        </is>
      </c>
      <c r="N173" s="231" t="n">
        <v>2</v>
      </c>
      <c r="O173" s="181">
        <f>SUM(P173:AB173)</f>
        <v/>
      </c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31" t="n"/>
    </row>
    <row r="174" customFormat="1" s="1">
      <c r="A174" s="234" t="n"/>
      <c r="B174" s="231" t="inlineStr">
        <is>
          <t>SKU-B6FC5230</t>
        </is>
      </c>
      <c r="C174" s="231" t="inlineStr">
        <is>
          <t>是</t>
        </is>
      </c>
      <c r="D174" s="231" t="n">
        <v>10</v>
      </c>
      <c r="E174" s="231" t="inlineStr"/>
      <c r="F174" s="231" t="inlineStr">
        <is>
          <t>是</t>
        </is>
      </c>
      <c r="G174" s="231" t="inlineStr"/>
      <c r="H174" s="231" t="inlineStr"/>
      <c r="I174" s="231" t="inlineStr">
        <is>
          <t>是</t>
        </is>
      </c>
      <c r="J174" s="27" t="inlineStr"/>
      <c r="K174" s="27" t="inlineStr"/>
      <c r="L174" s="231" t="n">
        <v>100</v>
      </c>
      <c r="M174" s="19" t="inlineStr">
        <is>
          <t>Product-A90CE342</t>
        </is>
      </c>
      <c r="N174" s="231" t="n">
        <v>1</v>
      </c>
      <c r="O174" s="181">
        <f>SUM(P174:AB174)</f>
        <v/>
      </c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31" t="inlineStr">
        <is>
          <t>C</t>
        </is>
      </c>
    </row>
    <row r="175" customFormat="1" s="1">
      <c r="A175" s="234" t="n"/>
      <c r="B175" s="231" t="inlineStr">
        <is>
          <t>SKU-AD42A3A6</t>
        </is>
      </c>
      <c r="C175" s="231" t="inlineStr">
        <is>
          <t>是</t>
        </is>
      </c>
      <c r="D175" s="231" t="n">
        <v>10</v>
      </c>
      <c r="E175" s="231" t="inlineStr"/>
      <c r="F175" s="231" t="inlineStr">
        <is>
          <t>是</t>
        </is>
      </c>
      <c r="G175" s="231" t="inlineStr"/>
      <c r="H175" s="231" t="inlineStr"/>
      <c r="I175" s="231" t="inlineStr">
        <is>
          <t>是</t>
        </is>
      </c>
      <c r="J175" s="27" t="inlineStr"/>
      <c r="K175" s="27" t="inlineStr"/>
      <c r="L175" s="231" t="n">
        <v>100</v>
      </c>
      <c r="M175" s="33" t="inlineStr">
        <is>
          <t>Product-1A22EAD1</t>
        </is>
      </c>
      <c r="N175" s="231" t="n">
        <v>1</v>
      </c>
      <c r="O175" s="181">
        <f>SUM(P175:AB175)</f>
        <v/>
      </c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31" t="inlineStr">
        <is>
          <t>C</t>
        </is>
      </c>
    </row>
    <row r="176" customFormat="1" s="1">
      <c r="A176" s="234" t="n"/>
      <c r="B176" s="231" t="inlineStr">
        <is>
          <t>SKU-E1FD63A2</t>
        </is>
      </c>
      <c r="C176" s="231" t="inlineStr">
        <is>
          <t>是</t>
        </is>
      </c>
      <c r="D176" s="231" t="n">
        <v>10</v>
      </c>
      <c r="E176" s="231" t="inlineStr"/>
      <c r="F176" s="231" t="inlineStr">
        <is>
          <t>是</t>
        </is>
      </c>
      <c r="G176" s="231" t="inlineStr"/>
      <c r="H176" s="231" t="inlineStr"/>
      <c r="I176" s="231" t="inlineStr">
        <is>
          <t>是</t>
        </is>
      </c>
      <c r="J176" s="27" t="inlineStr"/>
      <c r="K176" s="27" t="inlineStr"/>
      <c r="L176" s="231" t="n">
        <v>100</v>
      </c>
      <c r="M176" s="19" t="inlineStr">
        <is>
          <t>Product-56A72B94</t>
        </is>
      </c>
      <c r="N176" s="231" t="n">
        <v>1</v>
      </c>
      <c r="O176" s="181">
        <f>SUM(P176:AB176)</f>
        <v/>
      </c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31" t="inlineStr">
        <is>
          <t>C</t>
        </is>
      </c>
    </row>
    <row r="177" customFormat="1" s="1">
      <c r="A177" s="234" t="n"/>
      <c r="B177" s="231" t="inlineStr">
        <is>
          <t>SKU-AE256B22</t>
        </is>
      </c>
      <c r="C177" s="231" t="inlineStr">
        <is>
          <t>是</t>
        </is>
      </c>
      <c r="D177" s="231" t="n">
        <v>5</v>
      </c>
      <c r="E177" s="231" t="inlineStr">
        <is>
          <t>是</t>
        </is>
      </c>
      <c r="F177" s="231" t="inlineStr"/>
      <c r="G177" s="231" t="inlineStr"/>
      <c r="H177" s="231" t="inlineStr"/>
      <c r="I177" s="231" t="inlineStr">
        <is>
          <t>是</t>
        </is>
      </c>
      <c r="J177" s="27" t="inlineStr"/>
      <c r="K177" s="27" t="inlineStr"/>
      <c r="L177" s="231" t="n">
        <v>100</v>
      </c>
      <c r="M177" s="19" t="inlineStr">
        <is>
          <t>Product-7D4E9E50</t>
        </is>
      </c>
      <c r="N177" s="231" t="n">
        <v>1</v>
      </c>
      <c r="O177" s="181">
        <f>SUM(P177:AB177)</f>
        <v/>
      </c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31" t="inlineStr">
        <is>
          <t>C</t>
        </is>
      </c>
    </row>
    <row r="178" customFormat="1" s="1">
      <c r="A178" s="234" t="n"/>
      <c r="B178" s="231" t="inlineStr">
        <is>
          <t>SKU-4824EA3C</t>
        </is>
      </c>
      <c r="C178" s="231" t="inlineStr">
        <is>
          <t>是</t>
        </is>
      </c>
      <c r="D178" s="231" t="n">
        <v>7</v>
      </c>
      <c r="E178" s="231" t="inlineStr">
        <is>
          <t>是</t>
        </is>
      </c>
      <c r="F178" s="231" t="inlineStr"/>
      <c r="G178" s="231" t="inlineStr"/>
      <c r="H178" s="231" t="inlineStr"/>
      <c r="I178" s="231" t="inlineStr">
        <is>
          <t>是</t>
        </is>
      </c>
      <c r="J178" s="27" t="inlineStr"/>
      <c r="K178" s="27" t="inlineStr"/>
      <c r="L178" s="231" t="n">
        <v>100</v>
      </c>
      <c r="M178" s="45" t="inlineStr">
        <is>
          <t>Product-45B4B1EB</t>
        </is>
      </c>
      <c r="N178" s="231" t="n">
        <v>1</v>
      </c>
      <c r="O178" s="181">
        <f>SUM(P178:AB178)</f>
        <v/>
      </c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31" t="n"/>
    </row>
    <row r="179" customFormat="1" s="1">
      <c r="A179" s="235" t="n"/>
      <c r="B179" s="80" t="n"/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40" t="n"/>
    </row>
    <row r="180" customFormat="1" s="1">
      <c r="A180" s="25" t="inlineStr">
        <is>
          <t>湖北</t>
        </is>
      </c>
      <c r="B180" s="231" t="inlineStr">
        <is>
          <t>SKU-5C2451E8</t>
        </is>
      </c>
      <c r="C180" s="231" t="inlineStr">
        <is>
          <t>是</t>
        </is>
      </c>
      <c r="D180" s="231" t="n">
        <v>8</v>
      </c>
      <c r="E180" s="231" t="inlineStr">
        <is>
          <t>是</t>
        </is>
      </c>
      <c r="F180" s="231" t="inlineStr"/>
      <c r="G180" s="231" t="inlineStr"/>
      <c r="H180" s="231" t="inlineStr"/>
      <c r="I180" s="231" t="inlineStr">
        <is>
          <t>是</t>
        </is>
      </c>
      <c r="J180" s="27" t="inlineStr"/>
      <c r="K180" s="27" t="inlineStr"/>
      <c r="L180" s="231" t="n">
        <v>100</v>
      </c>
      <c r="M180" s="44" t="inlineStr">
        <is>
          <t>Product-094CF930</t>
        </is>
      </c>
      <c r="N180" s="231" t="n">
        <v>3</v>
      </c>
      <c r="O180" s="181">
        <f>SUM(P180:AB180)</f>
        <v/>
      </c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31" t="n"/>
    </row>
    <row r="181" customFormat="1" s="1">
      <c r="A181" s="234" t="n"/>
      <c r="B181" s="231" t="inlineStr">
        <is>
          <t>SKU-8456C17F</t>
        </is>
      </c>
      <c r="C181" s="231" t="inlineStr">
        <is>
          <t>是</t>
        </is>
      </c>
      <c r="D181" s="231" t="n">
        <v>11</v>
      </c>
      <c r="E181" s="231" t="inlineStr"/>
      <c r="F181" s="231" t="inlineStr"/>
      <c r="G181" s="231" t="inlineStr"/>
      <c r="H181" s="231" t="inlineStr"/>
      <c r="I181" s="231" t="inlineStr"/>
      <c r="J181" s="27" t="inlineStr">
        <is>
          <t>共</t>
        </is>
      </c>
      <c r="K181" s="27" t="inlineStr"/>
      <c r="L181" s="231" t="n">
        <v>100</v>
      </c>
      <c r="M181" s="19" t="inlineStr">
        <is>
          <t>Product-C5A74F5E</t>
        </is>
      </c>
      <c r="N181" s="231" t="n">
        <v>1</v>
      </c>
      <c r="O181" s="181">
        <f>SUM(P181:AB181)</f>
        <v/>
      </c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31" t="n"/>
    </row>
    <row r="182" customFormat="1" s="1">
      <c r="A182" s="234" t="n"/>
      <c r="B182" s="231" t="inlineStr">
        <is>
          <t>SKU-51089BE2</t>
        </is>
      </c>
      <c r="C182" s="231" t="inlineStr">
        <is>
          <t>是</t>
        </is>
      </c>
      <c r="D182" s="231" t="n">
        <v>8</v>
      </c>
      <c r="E182" s="231" t="inlineStr"/>
      <c r="F182" s="231" t="inlineStr"/>
      <c r="G182" s="231" t="inlineStr"/>
      <c r="H182" s="231" t="inlineStr"/>
      <c r="I182" s="231" t="inlineStr"/>
      <c r="J182" s="27" t="inlineStr"/>
      <c r="K182" s="27" t="inlineStr"/>
      <c r="L182" s="231" t="n">
        <v>100</v>
      </c>
      <c r="M182" s="19" t="inlineStr">
        <is>
          <t>Product-0FD5ABF4</t>
        </is>
      </c>
      <c r="N182" s="231" t="n">
        <v>2</v>
      </c>
      <c r="O182" s="181">
        <f>SUM(P182:AB182)</f>
        <v/>
      </c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31" t="n"/>
    </row>
    <row r="183" customFormat="1" s="1">
      <c r="A183" s="234" t="n"/>
      <c r="B183" s="231" t="inlineStr">
        <is>
          <t>SKU-FFE04C4D</t>
        </is>
      </c>
      <c r="C183" s="231" t="inlineStr">
        <is>
          <t>是</t>
        </is>
      </c>
      <c r="D183" s="231" t="n">
        <v>8</v>
      </c>
      <c r="E183" s="231" t="inlineStr"/>
      <c r="F183" s="231" t="inlineStr"/>
      <c r="G183" s="231" t="inlineStr"/>
      <c r="H183" s="231" t="inlineStr"/>
      <c r="I183" s="231" t="inlineStr"/>
      <c r="J183" s="27" t="inlineStr"/>
      <c r="K183" s="27" t="inlineStr"/>
      <c r="L183" s="231" t="n">
        <v>100</v>
      </c>
      <c r="M183" s="19" t="inlineStr">
        <is>
          <t>Product-B83DCFA4</t>
        </is>
      </c>
      <c r="N183" s="231" t="n">
        <v>1</v>
      </c>
      <c r="O183" s="181">
        <f>SUM(P183:AB183)</f>
        <v/>
      </c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31" t="n"/>
    </row>
    <row r="184" customFormat="1" s="1">
      <c r="A184" s="234" t="n"/>
      <c r="B184" s="231" t="inlineStr">
        <is>
          <t>SKU-97F868AB</t>
        </is>
      </c>
      <c r="C184" s="231" t="inlineStr">
        <is>
          <t>是</t>
        </is>
      </c>
      <c r="D184" s="231" t="n">
        <v>8</v>
      </c>
      <c r="E184" s="231" t="inlineStr">
        <is>
          <t>是</t>
        </is>
      </c>
      <c r="F184" s="231" t="inlineStr"/>
      <c r="G184" s="231" t="inlineStr"/>
      <c r="H184" s="231" t="inlineStr"/>
      <c r="I184" s="231" t="inlineStr">
        <is>
          <t>是</t>
        </is>
      </c>
      <c r="J184" s="27" t="inlineStr"/>
      <c r="K184" s="27" t="inlineStr"/>
      <c r="L184" s="231" t="n">
        <v>100</v>
      </c>
      <c r="M184" s="19" t="inlineStr">
        <is>
          <t>Product-C62E3340</t>
        </is>
      </c>
      <c r="N184" s="231" t="n">
        <v>2</v>
      </c>
      <c r="O184" s="181">
        <f>SUM(P184:AB184)</f>
        <v/>
      </c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31" t="inlineStr">
        <is>
          <t>C</t>
        </is>
      </c>
    </row>
    <row r="185" customFormat="1" s="1">
      <c r="A185" s="234" t="n"/>
      <c r="B185" s="231" t="inlineStr">
        <is>
          <t>SKU-8D644BC3</t>
        </is>
      </c>
      <c r="C185" s="231" t="inlineStr">
        <is>
          <t>是</t>
        </is>
      </c>
      <c r="D185" s="231" t="n">
        <v>10</v>
      </c>
      <c r="E185" s="231" t="inlineStr"/>
      <c r="F185" s="231" t="inlineStr"/>
      <c r="G185" s="231" t="inlineStr"/>
      <c r="H185" s="231" t="inlineStr">
        <is>
          <t>是</t>
        </is>
      </c>
      <c r="I185" s="231" t="inlineStr">
        <is>
          <t>是</t>
        </is>
      </c>
      <c r="J185" s="27" t="inlineStr">
        <is>
          <t>共</t>
        </is>
      </c>
      <c r="K185" s="27" t="inlineStr"/>
      <c r="L185" s="231" t="n">
        <v>100</v>
      </c>
      <c r="M185" s="19" t="inlineStr">
        <is>
          <t>Product-DE90CB9B</t>
        </is>
      </c>
      <c r="N185" s="231" t="n">
        <v>1</v>
      </c>
      <c r="O185" s="181">
        <f>SUM(P185:AB185)</f>
        <v/>
      </c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31" t="inlineStr">
        <is>
          <t>C</t>
        </is>
      </c>
    </row>
    <row r="186" customFormat="1" s="1">
      <c r="A186" s="234" t="n"/>
      <c r="B186" s="231" t="inlineStr">
        <is>
          <t>SKU-51C17194</t>
        </is>
      </c>
      <c r="C186" s="231" t="inlineStr">
        <is>
          <t>是</t>
        </is>
      </c>
      <c r="D186" s="231" t="n">
        <v>10</v>
      </c>
      <c r="E186" s="231" t="inlineStr"/>
      <c r="F186" s="231" t="inlineStr"/>
      <c r="G186" s="231" t="inlineStr"/>
      <c r="H186" s="231" t="inlineStr"/>
      <c r="I186" s="231" t="inlineStr"/>
      <c r="J186" s="27" t="inlineStr"/>
      <c r="K186" s="27" t="inlineStr"/>
      <c r="L186" s="231" t="n">
        <v>100</v>
      </c>
      <c r="M186" s="43" t="inlineStr">
        <is>
          <t>Product-7D9B1112</t>
        </is>
      </c>
      <c r="N186" s="231" t="n">
        <v>2</v>
      </c>
      <c r="O186" s="181">
        <f>SUM(P186:AB186)</f>
        <v/>
      </c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31" t="n"/>
    </row>
    <row r="187" customFormat="1" s="1">
      <c r="A187" s="234" t="n"/>
      <c r="B187" s="231" t="inlineStr">
        <is>
          <t>SKU-318D1B8B</t>
        </is>
      </c>
      <c r="C187" s="231" t="inlineStr">
        <is>
          <t>是</t>
        </is>
      </c>
      <c r="D187" s="231" t="n">
        <v>8</v>
      </c>
      <c r="E187" s="231" t="inlineStr">
        <is>
          <t>是</t>
        </is>
      </c>
      <c r="F187" s="231" t="inlineStr"/>
      <c r="G187" s="231" t="inlineStr"/>
      <c r="H187" s="231" t="inlineStr">
        <is>
          <t>是</t>
        </is>
      </c>
      <c r="I187" s="231" t="inlineStr">
        <is>
          <t>是</t>
        </is>
      </c>
      <c r="J187" s="27" t="inlineStr">
        <is>
          <t>共</t>
        </is>
      </c>
      <c r="K187" s="27" t="inlineStr"/>
      <c r="L187" s="231" t="n">
        <v>100</v>
      </c>
      <c r="M187" s="19" t="inlineStr">
        <is>
          <t>Product-C93E013F</t>
        </is>
      </c>
      <c r="N187" s="231" t="n">
        <v>1</v>
      </c>
      <c r="O187" s="181">
        <f>SUM(P187:AB187)</f>
        <v/>
      </c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31" t="inlineStr">
        <is>
          <t>C</t>
        </is>
      </c>
    </row>
    <row r="188" customFormat="1" s="1">
      <c r="A188" s="234" t="n"/>
      <c r="B188" s="231" t="inlineStr">
        <is>
          <t>SKU-A744A038</t>
        </is>
      </c>
      <c r="C188" s="231" t="inlineStr">
        <is>
          <t>是</t>
        </is>
      </c>
      <c r="D188" s="231" t="n">
        <v>8</v>
      </c>
      <c r="E188" s="231" t="inlineStr">
        <is>
          <t>是</t>
        </is>
      </c>
      <c r="F188" s="231" t="inlineStr"/>
      <c r="G188" s="231" t="inlineStr"/>
      <c r="H188" s="231" t="inlineStr">
        <is>
          <t>是</t>
        </is>
      </c>
      <c r="I188" s="231" t="inlineStr">
        <is>
          <t>是</t>
        </is>
      </c>
      <c r="J188" s="27" t="inlineStr">
        <is>
          <t>共</t>
        </is>
      </c>
      <c r="K188" s="27" t="inlineStr"/>
      <c r="L188" s="231" t="n">
        <v>100</v>
      </c>
      <c r="M188" s="19" t="inlineStr">
        <is>
          <t>Product-DDF99E26</t>
        </is>
      </c>
      <c r="N188" s="231" t="n">
        <v>1</v>
      </c>
      <c r="O188" s="181">
        <f>SUM(P188:AB188)</f>
        <v/>
      </c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31" t="inlineStr">
        <is>
          <t>C</t>
        </is>
      </c>
    </row>
    <row r="189" customFormat="1" s="1">
      <c r="A189" s="234" t="n"/>
      <c r="B189" s="231" t="inlineStr">
        <is>
          <t>SKU-56C78667</t>
        </is>
      </c>
      <c r="C189" s="231" t="inlineStr">
        <is>
          <t>是</t>
        </is>
      </c>
      <c r="D189" s="231" t="n">
        <v>10</v>
      </c>
      <c r="E189" s="231" t="inlineStr"/>
      <c r="F189" s="231" t="inlineStr">
        <is>
          <t>是</t>
        </is>
      </c>
      <c r="G189" s="231" t="inlineStr"/>
      <c r="H189" s="231" t="inlineStr">
        <is>
          <t>是</t>
        </is>
      </c>
      <c r="I189" s="231" t="inlineStr">
        <is>
          <t>是</t>
        </is>
      </c>
      <c r="J189" s="27" t="inlineStr"/>
      <c r="K189" s="27" t="inlineStr"/>
      <c r="L189" s="231" t="n">
        <v>100</v>
      </c>
      <c r="M189" s="19" t="inlineStr">
        <is>
          <t>Product-B81DC6F4</t>
        </is>
      </c>
      <c r="N189" s="231" t="n">
        <v>1</v>
      </c>
      <c r="O189" s="181">
        <f>SUM(P189:AB189)</f>
        <v/>
      </c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31" t="n"/>
    </row>
    <row r="190" customFormat="1" s="1">
      <c r="A190" s="234" t="n"/>
      <c r="B190" s="231" t="inlineStr">
        <is>
          <t>SKU-20ABB28F</t>
        </is>
      </c>
      <c r="C190" s="231" t="inlineStr">
        <is>
          <t>是</t>
        </is>
      </c>
      <c r="D190" s="231" t="n">
        <v>8</v>
      </c>
      <c r="E190" s="231" t="inlineStr"/>
      <c r="F190" s="231" t="inlineStr">
        <is>
          <t>是</t>
        </is>
      </c>
      <c r="G190" s="231" t="inlineStr"/>
      <c r="H190" s="231" t="inlineStr"/>
      <c r="I190" s="231" t="inlineStr">
        <is>
          <t>是</t>
        </is>
      </c>
      <c r="J190" s="27" t="inlineStr"/>
      <c r="K190" s="27" t="inlineStr"/>
      <c r="L190" s="231" t="n">
        <v>100</v>
      </c>
      <c r="M190" s="19" t="inlineStr">
        <is>
          <t>Product-0B2EAF74</t>
        </is>
      </c>
      <c r="N190" s="231" t="n">
        <v>1</v>
      </c>
      <c r="O190" s="181">
        <f>SUM(P190:AB190)</f>
        <v/>
      </c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31" t="inlineStr">
        <is>
          <t>C</t>
        </is>
      </c>
    </row>
    <row r="191" customFormat="1" s="1">
      <c r="A191" s="234" t="n"/>
      <c r="B191" s="231" t="inlineStr">
        <is>
          <t>SKU-19F38467</t>
        </is>
      </c>
      <c r="C191" s="231" t="inlineStr">
        <is>
          <t>是</t>
        </is>
      </c>
      <c r="D191" s="231" t="n">
        <v>10</v>
      </c>
      <c r="E191" s="231" t="inlineStr"/>
      <c r="F191" s="231" t="inlineStr"/>
      <c r="G191" s="231" t="inlineStr"/>
      <c r="H191" s="231" t="inlineStr"/>
      <c r="I191" s="231" t="inlineStr"/>
      <c r="J191" s="27" t="inlineStr">
        <is>
          <t>共</t>
        </is>
      </c>
      <c r="K191" s="27" t="inlineStr"/>
      <c r="L191" s="231" t="n">
        <v>100</v>
      </c>
      <c r="M191" s="19" t="inlineStr">
        <is>
          <t>Product-9435255B</t>
        </is>
      </c>
      <c r="N191" s="231" t="n">
        <v>1</v>
      </c>
      <c r="O191" s="181">
        <f>SUM(P191:AB191)</f>
        <v/>
      </c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31" t="inlineStr">
        <is>
          <t>C</t>
        </is>
      </c>
    </row>
    <row r="192" customFormat="1" s="1">
      <c r="A192" s="234" t="n"/>
      <c r="B192" s="231" t="inlineStr">
        <is>
          <t>SKU-07EAC1B8</t>
        </is>
      </c>
      <c r="C192" s="231" t="inlineStr">
        <is>
          <t>是</t>
        </is>
      </c>
      <c r="D192" s="231" t="n">
        <v>10</v>
      </c>
      <c r="E192" s="231" t="inlineStr"/>
      <c r="F192" s="231" t="inlineStr"/>
      <c r="G192" s="231" t="inlineStr"/>
      <c r="H192" s="231" t="inlineStr">
        <is>
          <t>是</t>
        </is>
      </c>
      <c r="I192" s="231" t="inlineStr">
        <is>
          <t>是</t>
        </is>
      </c>
      <c r="J192" s="27" t="inlineStr">
        <is>
          <t>共</t>
        </is>
      </c>
      <c r="K192" s="27" t="inlineStr"/>
      <c r="L192" s="231" t="n">
        <v>100</v>
      </c>
      <c r="M192" s="19" t="inlineStr">
        <is>
          <t>Product-E14FEADC</t>
        </is>
      </c>
      <c r="N192" s="231" t="n">
        <v>1</v>
      </c>
      <c r="O192" s="181">
        <f>SUM(P192:AB192)</f>
        <v/>
      </c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31" t="inlineStr">
        <is>
          <t>C</t>
        </is>
      </c>
    </row>
    <row r="193" customFormat="1" s="1">
      <c r="A193" s="234" t="n"/>
      <c r="B193" s="231" t="inlineStr">
        <is>
          <t>SKU-35C24552</t>
        </is>
      </c>
      <c r="C193" s="231" t="inlineStr">
        <is>
          <t>是</t>
        </is>
      </c>
      <c r="D193" s="231" t="n">
        <v>8</v>
      </c>
      <c r="E193" s="231" t="inlineStr"/>
      <c r="F193" s="231" t="inlineStr">
        <is>
          <t>是</t>
        </is>
      </c>
      <c r="G193" s="231" t="inlineStr"/>
      <c r="H193" s="231" t="inlineStr"/>
      <c r="I193" s="231" t="inlineStr">
        <is>
          <t>是</t>
        </is>
      </c>
      <c r="J193" s="27" t="inlineStr"/>
      <c r="K193" s="27" t="inlineStr"/>
      <c r="L193" s="231" t="n">
        <v>100</v>
      </c>
      <c r="M193" s="19" t="inlineStr">
        <is>
          <t>Product-37D16B86</t>
        </is>
      </c>
      <c r="N193" s="231" t="n">
        <v>1</v>
      </c>
      <c r="O193" s="181">
        <f>SUM(P193:AB193)</f>
        <v/>
      </c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31" t="inlineStr">
        <is>
          <t>C</t>
        </is>
      </c>
    </row>
    <row r="194" customFormat="1" s="1">
      <c r="A194" s="234" t="n"/>
      <c r="B194" s="231" t="inlineStr">
        <is>
          <t>SKU-2E4B7F7A</t>
        </is>
      </c>
      <c r="C194" s="231" t="inlineStr">
        <is>
          <t>是</t>
        </is>
      </c>
      <c r="D194" s="231" t="n">
        <v>8</v>
      </c>
      <c r="E194" s="231" t="inlineStr"/>
      <c r="F194" s="231" t="inlineStr">
        <is>
          <t>是</t>
        </is>
      </c>
      <c r="G194" s="231" t="inlineStr"/>
      <c r="H194" s="231" t="inlineStr"/>
      <c r="I194" s="231" t="inlineStr">
        <is>
          <t>是</t>
        </is>
      </c>
      <c r="J194" s="27" t="inlineStr"/>
      <c r="K194" s="27" t="inlineStr"/>
      <c r="L194" s="231" t="n">
        <v>100</v>
      </c>
      <c r="M194" s="19" t="inlineStr">
        <is>
          <t>Product-114C3CE1</t>
        </is>
      </c>
      <c r="N194" s="231" t="n">
        <v>1</v>
      </c>
      <c r="O194" s="181">
        <f>SUM(P194:AB194)</f>
        <v/>
      </c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31" t="inlineStr">
        <is>
          <t>C</t>
        </is>
      </c>
    </row>
    <row r="195" customFormat="1" s="1">
      <c r="A195" s="234" t="n"/>
      <c r="B195" s="231" t="inlineStr">
        <is>
          <t>SKU-C36EE9D8</t>
        </is>
      </c>
      <c r="C195" s="231" t="inlineStr">
        <is>
          <t>是</t>
        </is>
      </c>
      <c r="D195" s="231" t="n">
        <v>9</v>
      </c>
      <c r="E195" s="231" t="inlineStr"/>
      <c r="F195" s="231" t="inlineStr">
        <is>
          <t>是</t>
        </is>
      </c>
      <c r="G195" s="231" t="inlineStr"/>
      <c r="H195" s="231" t="inlineStr"/>
      <c r="I195" s="231" t="inlineStr">
        <is>
          <t>是</t>
        </is>
      </c>
      <c r="J195" s="27" t="inlineStr"/>
      <c r="K195" s="27" t="inlineStr"/>
      <c r="L195" s="231" t="n">
        <v>100</v>
      </c>
      <c r="M195" s="19" t="inlineStr">
        <is>
          <t>Product-63311DDA</t>
        </is>
      </c>
      <c r="N195" s="231" t="n">
        <v>1</v>
      </c>
      <c r="O195" s="181">
        <f>SUM(P195:AB195)</f>
        <v/>
      </c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31" t="inlineStr">
        <is>
          <t>C</t>
        </is>
      </c>
    </row>
    <row r="196" customFormat="1" s="1">
      <c r="A196" s="234" t="n"/>
      <c r="B196" s="231" t="inlineStr">
        <is>
          <t>SKU-0235E86E</t>
        </is>
      </c>
      <c r="C196" s="231" t="inlineStr">
        <is>
          <t>是</t>
        </is>
      </c>
      <c r="D196" s="231" t="n">
        <v>8</v>
      </c>
      <c r="E196" s="231" t="inlineStr">
        <is>
          <t>是</t>
        </is>
      </c>
      <c r="F196" s="231" t="inlineStr"/>
      <c r="G196" s="231" t="inlineStr"/>
      <c r="H196" s="231" t="inlineStr"/>
      <c r="I196" s="231" t="inlineStr">
        <is>
          <t>是</t>
        </is>
      </c>
      <c r="J196" s="27" t="inlineStr"/>
      <c r="K196" s="27" t="inlineStr"/>
      <c r="L196" s="231" t="n">
        <v>100</v>
      </c>
      <c r="M196" s="45" t="inlineStr">
        <is>
          <t>Product-985CF026</t>
        </is>
      </c>
      <c r="N196" s="231" t="n">
        <v>1</v>
      </c>
      <c r="O196" s="181">
        <f>SUM(P196:AB196)</f>
        <v/>
      </c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31" t="n"/>
    </row>
    <row r="197" customFormat="1" s="1">
      <c r="A197" s="235" t="n"/>
      <c r="B197" s="80" t="n"/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40" t="n"/>
    </row>
    <row r="198" customFormat="1" s="1">
      <c r="A198" s="25" t="inlineStr">
        <is>
          <t>湖南</t>
        </is>
      </c>
      <c r="B198" s="231" t="inlineStr">
        <is>
          <t>SKU-90D85FFD</t>
        </is>
      </c>
      <c r="C198" s="231" t="inlineStr">
        <is>
          <t>是</t>
        </is>
      </c>
      <c r="D198" s="231" t="n">
        <v>10</v>
      </c>
      <c r="E198" s="231" t="inlineStr"/>
      <c r="F198" s="231" t="inlineStr"/>
      <c r="G198" s="231" t="inlineStr"/>
      <c r="H198" s="231" t="inlineStr"/>
      <c r="I198" s="231" t="inlineStr"/>
      <c r="J198" s="27" t="inlineStr"/>
      <c r="K198" s="27" t="inlineStr"/>
      <c r="L198" s="231" t="n">
        <v>100</v>
      </c>
      <c r="M198" s="44" t="inlineStr">
        <is>
          <t>Product-8495CF82</t>
        </is>
      </c>
      <c r="N198" s="231" t="n">
        <v>3</v>
      </c>
      <c r="O198" s="181">
        <f>SUM(P198:AB198)</f>
        <v/>
      </c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31" t="n"/>
    </row>
    <row r="199" customFormat="1" s="1">
      <c r="A199" s="234" t="n"/>
      <c r="B199" s="231" t="inlineStr">
        <is>
          <t>SKU-0CA1EAE0</t>
        </is>
      </c>
      <c r="C199" s="231" t="inlineStr">
        <is>
          <t>是</t>
        </is>
      </c>
      <c r="D199" s="231" t="n">
        <v>10</v>
      </c>
      <c r="E199" s="231" t="inlineStr"/>
      <c r="F199" s="231" t="inlineStr"/>
      <c r="G199" s="231" t="inlineStr"/>
      <c r="H199" s="231" t="inlineStr"/>
      <c r="I199" s="231" t="inlineStr"/>
      <c r="J199" s="27" t="inlineStr"/>
      <c r="K199" s="27" t="inlineStr"/>
      <c r="L199" s="231" t="n">
        <v>100</v>
      </c>
      <c r="M199" s="19" t="inlineStr">
        <is>
          <t>Product-3E742E78</t>
        </is>
      </c>
      <c r="N199" s="231" t="n">
        <v>3</v>
      </c>
      <c r="O199" s="181">
        <f>SUM(P199:AB199)</f>
        <v/>
      </c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31" t="n"/>
    </row>
    <row r="200" customFormat="1" s="1">
      <c r="A200" s="234" t="n"/>
      <c r="B200" s="231" t="inlineStr">
        <is>
          <t>SKU-1A13518F</t>
        </is>
      </c>
      <c r="C200" s="231" t="inlineStr">
        <is>
          <t>是</t>
        </is>
      </c>
      <c r="D200" s="231" t="n">
        <v>8</v>
      </c>
      <c r="E200" s="231" t="inlineStr"/>
      <c r="F200" s="231" t="inlineStr">
        <is>
          <t>是</t>
        </is>
      </c>
      <c r="G200" s="231" t="inlineStr"/>
      <c r="H200" s="231" t="inlineStr"/>
      <c r="I200" s="231" t="inlineStr">
        <is>
          <t>是</t>
        </is>
      </c>
      <c r="J200" s="27" t="inlineStr"/>
      <c r="K200" s="27" t="inlineStr"/>
      <c r="L200" s="231" t="n">
        <v>100</v>
      </c>
      <c r="M200" s="19" t="inlineStr">
        <is>
          <t>Product-8FB93E92</t>
        </is>
      </c>
      <c r="N200" s="231" t="n">
        <v>1</v>
      </c>
      <c r="O200" s="181">
        <f>SUM(P200:AB200)</f>
        <v/>
      </c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31" t="inlineStr">
        <is>
          <t>C</t>
        </is>
      </c>
    </row>
    <row r="201" customFormat="1" s="1">
      <c r="A201" s="234" t="n"/>
      <c r="B201" s="231" t="inlineStr">
        <is>
          <t>SKU-ED5BD0B6</t>
        </is>
      </c>
      <c r="C201" s="231" t="inlineStr">
        <is>
          <t>是</t>
        </is>
      </c>
      <c r="D201" s="231" t="n">
        <v>11</v>
      </c>
      <c r="E201" s="231" t="inlineStr"/>
      <c r="F201" s="231" t="inlineStr"/>
      <c r="G201" s="231" t="inlineStr"/>
      <c r="H201" s="231" t="inlineStr"/>
      <c r="I201" s="231" t="inlineStr"/>
      <c r="J201" s="27" t="inlineStr">
        <is>
          <t>共</t>
        </is>
      </c>
      <c r="K201" s="27" t="inlineStr"/>
      <c r="L201" s="231" t="n">
        <v>100</v>
      </c>
      <c r="M201" s="19" t="inlineStr">
        <is>
          <t>Product-37500256</t>
        </is>
      </c>
      <c r="N201" s="231" t="n">
        <v>1</v>
      </c>
      <c r="O201" s="181">
        <f>SUM(P201:AB201)</f>
        <v/>
      </c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31" t="inlineStr">
        <is>
          <t>C</t>
        </is>
      </c>
    </row>
    <row r="202" customFormat="1" s="1">
      <c r="A202" s="234" t="n"/>
      <c r="B202" s="231" t="inlineStr">
        <is>
          <t>SKU-CC550B39</t>
        </is>
      </c>
      <c r="C202" s="231" t="inlineStr">
        <is>
          <t>是</t>
        </is>
      </c>
      <c r="D202" s="231" t="n">
        <v>8</v>
      </c>
      <c r="E202" s="231" t="inlineStr">
        <is>
          <t>是</t>
        </is>
      </c>
      <c r="F202" s="231" t="inlineStr"/>
      <c r="G202" s="231" t="inlineStr"/>
      <c r="H202" s="231" t="inlineStr"/>
      <c r="I202" s="231" t="inlineStr">
        <is>
          <t>是</t>
        </is>
      </c>
      <c r="J202" s="27" t="inlineStr"/>
      <c r="K202" s="27" t="inlineStr"/>
      <c r="L202" s="231" t="n">
        <v>100</v>
      </c>
      <c r="M202" s="19" t="inlineStr">
        <is>
          <t>Product-A79881AA</t>
        </is>
      </c>
      <c r="N202" s="231" t="n">
        <v>2</v>
      </c>
      <c r="O202" s="181">
        <f>SUM(P202:AB202)</f>
        <v/>
      </c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31" t="inlineStr">
        <is>
          <t>C</t>
        </is>
      </c>
    </row>
    <row r="203" customFormat="1" s="1">
      <c r="A203" s="234" t="n"/>
      <c r="B203" s="231" t="inlineStr">
        <is>
          <t>SKU-B8E6833E</t>
        </is>
      </c>
      <c r="C203" s="231" t="inlineStr">
        <is>
          <t>是</t>
        </is>
      </c>
      <c r="D203" s="231" t="n">
        <v>7</v>
      </c>
      <c r="E203" s="231" t="inlineStr">
        <is>
          <t>是</t>
        </is>
      </c>
      <c r="F203" s="231" t="inlineStr"/>
      <c r="G203" s="231" t="inlineStr"/>
      <c r="H203" s="231" t="inlineStr"/>
      <c r="I203" s="231" t="inlineStr">
        <is>
          <t>是</t>
        </is>
      </c>
      <c r="J203" s="27" t="inlineStr">
        <is>
          <t>共</t>
        </is>
      </c>
      <c r="K203" s="27" t="inlineStr"/>
      <c r="L203" s="231" t="n">
        <v>100</v>
      </c>
      <c r="M203" s="19" t="inlineStr">
        <is>
          <t>Product-54830959</t>
        </is>
      </c>
      <c r="N203" s="231" t="n">
        <v>1</v>
      </c>
      <c r="O203" s="181">
        <f>SUM(P203:AB203)</f>
        <v/>
      </c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31" t="inlineStr">
        <is>
          <t>C</t>
        </is>
      </c>
    </row>
    <row r="204" customFormat="1" s="1">
      <c r="A204" s="234" t="n"/>
      <c r="B204" s="231" t="inlineStr">
        <is>
          <t>SKU-BDBE5AF3</t>
        </is>
      </c>
      <c r="C204" s="231" t="inlineStr">
        <is>
          <t>是</t>
        </is>
      </c>
      <c r="D204" s="231" t="n">
        <v>10</v>
      </c>
      <c r="E204" s="231" t="inlineStr"/>
      <c r="F204" s="231" t="inlineStr"/>
      <c r="G204" s="231" t="inlineStr"/>
      <c r="H204" s="231" t="inlineStr"/>
      <c r="I204" s="231" t="inlineStr"/>
      <c r="J204" s="27" t="inlineStr">
        <is>
          <t>共</t>
        </is>
      </c>
      <c r="K204" s="27" t="inlineStr"/>
      <c r="L204" s="231" t="n">
        <v>100</v>
      </c>
      <c r="M204" s="19" t="inlineStr">
        <is>
          <t>Product-D0D1552E</t>
        </is>
      </c>
      <c r="N204" s="231" t="n">
        <v>1</v>
      </c>
      <c r="O204" s="181">
        <f>SUM(P204:AB204)</f>
        <v/>
      </c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31" t="inlineStr">
        <is>
          <t>C</t>
        </is>
      </c>
    </row>
    <row r="205" customFormat="1" s="1">
      <c r="A205" s="234" t="n"/>
      <c r="B205" s="231" t="inlineStr">
        <is>
          <t>SKU-79826401</t>
        </is>
      </c>
      <c r="C205" s="231" t="inlineStr">
        <is>
          <t>是</t>
        </is>
      </c>
      <c r="D205" s="231" t="n">
        <v>8</v>
      </c>
      <c r="E205" s="231" t="inlineStr"/>
      <c r="F205" s="231" t="inlineStr"/>
      <c r="G205" s="231" t="inlineStr"/>
      <c r="H205" s="231" t="inlineStr"/>
      <c r="I205" s="231" t="inlineStr"/>
      <c r="J205" s="27" t="inlineStr"/>
      <c r="K205" s="27" t="inlineStr"/>
      <c r="L205" s="231" t="n">
        <v>100</v>
      </c>
      <c r="M205" s="19" t="inlineStr">
        <is>
          <t>Product-452F733D</t>
        </is>
      </c>
      <c r="N205" s="231" t="n">
        <v>3</v>
      </c>
      <c r="O205" s="181">
        <f>SUM(P205:AB205)</f>
        <v/>
      </c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31" t="n"/>
    </row>
    <row r="206" customFormat="1" s="1">
      <c r="A206" s="234" t="n"/>
      <c r="B206" s="231" t="inlineStr">
        <is>
          <t>SKU-DB6C02A0</t>
        </is>
      </c>
      <c r="C206" s="231" t="inlineStr">
        <is>
          <t>是</t>
        </is>
      </c>
      <c r="D206" s="231" t="n">
        <v>10</v>
      </c>
      <c r="E206" s="231" t="inlineStr"/>
      <c r="F206" s="231" t="inlineStr"/>
      <c r="G206" s="231" t="inlineStr"/>
      <c r="H206" s="231" t="inlineStr"/>
      <c r="I206" s="231" t="inlineStr"/>
      <c r="J206" s="27" t="inlineStr"/>
      <c r="K206" s="27" t="inlineStr"/>
      <c r="L206" s="231" t="n">
        <v>100</v>
      </c>
      <c r="M206" s="19" t="inlineStr">
        <is>
          <t>Product-18DC03C1</t>
        </is>
      </c>
      <c r="N206" s="231" t="n">
        <v>2</v>
      </c>
      <c r="O206" s="181">
        <f>SUM(P206:AB206)</f>
        <v/>
      </c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31" t="n"/>
    </row>
    <row r="207" customFormat="1" s="1">
      <c r="A207" s="234" t="n"/>
      <c r="B207" s="231" t="inlineStr">
        <is>
          <t>SKU-E14497CA</t>
        </is>
      </c>
      <c r="C207" s="231" t="inlineStr">
        <is>
          <t>是</t>
        </is>
      </c>
      <c r="D207" s="231" t="n">
        <v>11</v>
      </c>
      <c r="E207" s="231" t="inlineStr"/>
      <c r="F207" s="231" t="inlineStr"/>
      <c r="G207" s="231" t="inlineStr"/>
      <c r="H207" s="231" t="inlineStr"/>
      <c r="I207" s="231" t="inlineStr"/>
      <c r="J207" s="27" t="inlineStr">
        <is>
          <t>共</t>
        </is>
      </c>
      <c r="K207" s="27" t="inlineStr"/>
      <c r="L207" s="231" t="n">
        <v>100</v>
      </c>
      <c r="M207" s="19" t="inlineStr">
        <is>
          <t>Product-AC3C224F</t>
        </is>
      </c>
      <c r="N207" s="231" t="n">
        <v>1</v>
      </c>
      <c r="O207" s="181">
        <f>SUM(P207:AB207)</f>
        <v/>
      </c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31" t="n"/>
    </row>
    <row r="208" customFormat="1" s="1">
      <c r="A208" s="234" t="n"/>
      <c r="B208" s="231" t="inlineStr">
        <is>
          <t>SKU-6CCA830B</t>
        </is>
      </c>
      <c r="C208" s="231" t="inlineStr">
        <is>
          <t>是</t>
        </is>
      </c>
      <c r="D208" s="231" t="n">
        <v>10</v>
      </c>
      <c r="E208" s="231" t="inlineStr"/>
      <c r="F208" s="231" t="inlineStr"/>
      <c r="G208" s="231" t="inlineStr"/>
      <c r="H208" s="231" t="inlineStr"/>
      <c r="I208" s="231" t="inlineStr"/>
      <c r="J208" s="27" t="inlineStr"/>
      <c r="K208" s="27" t="inlineStr"/>
      <c r="L208" s="231" t="n">
        <v>100</v>
      </c>
      <c r="M208" s="44" t="inlineStr">
        <is>
          <t>Product-CA7C0C7F</t>
        </is>
      </c>
      <c r="N208" s="231" t="n">
        <v>1</v>
      </c>
      <c r="O208" s="181">
        <f>SUM(P208:AB208)</f>
        <v/>
      </c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31" t="inlineStr">
        <is>
          <t>C</t>
        </is>
      </c>
    </row>
    <row r="209" customFormat="1" s="1">
      <c r="A209" s="234" t="n"/>
      <c r="B209" s="231" t="inlineStr">
        <is>
          <t>SKU-E3215199</t>
        </is>
      </c>
      <c r="C209" s="231" t="inlineStr">
        <is>
          <t>是</t>
        </is>
      </c>
      <c r="D209" s="231" t="n">
        <v>8</v>
      </c>
      <c r="E209" s="231" t="inlineStr">
        <is>
          <t>是</t>
        </is>
      </c>
      <c r="F209" s="231" t="inlineStr"/>
      <c r="G209" s="231" t="inlineStr"/>
      <c r="H209" s="231" t="inlineStr">
        <is>
          <t>是</t>
        </is>
      </c>
      <c r="I209" s="231" t="inlineStr">
        <is>
          <t>是</t>
        </is>
      </c>
      <c r="J209" s="27" t="inlineStr"/>
      <c r="K209" s="27" t="inlineStr"/>
      <c r="L209" s="231" t="n">
        <v>100</v>
      </c>
      <c r="M209" s="19" t="inlineStr">
        <is>
          <t>Product-785E134D</t>
        </is>
      </c>
      <c r="N209" s="231" t="n">
        <v>1</v>
      </c>
      <c r="O209" s="181">
        <f>SUM(P209:AB209)</f>
        <v/>
      </c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31" t="inlineStr">
        <is>
          <t>C</t>
        </is>
      </c>
    </row>
    <row r="210" customFormat="1" s="1">
      <c r="A210" s="234" t="n"/>
      <c r="B210" s="231" t="inlineStr">
        <is>
          <t>SKU-68F79613</t>
        </is>
      </c>
      <c r="C210" s="231" t="inlineStr">
        <is>
          <t>是</t>
        </is>
      </c>
      <c r="D210" s="231" t="n">
        <v>10</v>
      </c>
      <c r="E210" s="231" t="inlineStr"/>
      <c r="F210" s="231" t="inlineStr">
        <is>
          <t>是</t>
        </is>
      </c>
      <c r="G210" s="231" t="inlineStr"/>
      <c r="H210" s="231" t="inlineStr"/>
      <c r="I210" s="231" t="inlineStr">
        <is>
          <t>是</t>
        </is>
      </c>
      <c r="J210" s="27" t="inlineStr">
        <is>
          <t>共</t>
        </is>
      </c>
      <c r="K210" s="27" t="inlineStr"/>
      <c r="L210" s="231" t="n">
        <v>100</v>
      </c>
      <c r="M210" s="19" t="inlineStr">
        <is>
          <t>Product-4107E6DB</t>
        </is>
      </c>
      <c r="N210" s="231" t="n">
        <v>1</v>
      </c>
      <c r="O210" s="181">
        <f>SUM(P210:AB210)</f>
        <v/>
      </c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31" t="inlineStr">
        <is>
          <t>C</t>
        </is>
      </c>
    </row>
    <row r="211" customFormat="1" s="1">
      <c r="A211" s="234" t="n"/>
      <c r="B211" s="231" t="inlineStr">
        <is>
          <t>SKU-6E0FD480</t>
        </is>
      </c>
      <c r="C211" s="231" t="inlineStr">
        <is>
          <t>是</t>
        </is>
      </c>
      <c r="D211" s="231" t="n">
        <v>10</v>
      </c>
      <c r="E211" s="231" t="inlineStr"/>
      <c r="F211" s="231" t="inlineStr"/>
      <c r="G211" s="231" t="inlineStr"/>
      <c r="H211" s="231" t="inlineStr"/>
      <c r="I211" s="231" t="inlineStr"/>
      <c r="J211" s="27" t="inlineStr"/>
      <c r="K211" s="27" t="inlineStr"/>
      <c r="L211" s="231" t="n">
        <v>100</v>
      </c>
      <c r="M211" s="43" t="inlineStr">
        <is>
          <t>Product-0D40CFCC</t>
        </is>
      </c>
      <c r="N211" s="231" t="n">
        <v>1</v>
      </c>
      <c r="O211" s="181">
        <f>SUM(P211:AB211)</f>
        <v/>
      </c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31" t="inlineStr">
        <is>
          <t>C</t>
        </is>
      </c>
    </row>
    <row r="212" customFormat="1" s="1">
      <c r="A212" s="234" t="n"/>
      <c r="B212" s="231" t="inlineStr">
        <is>
          <t>SKU-72F9B4C9</t>
        </is>
      </c>
      <c r="C212" s="231" t="inlineStr">
        <is>
          <t>是</t>
        </is>
      </c>
      <c r="D212" s="231" t="n">
        <v>5</v>
      </c>
      <c r="E212" s="231" t="inlineStr">
        <is>
          <t>是</t>
        </is>
      </c>
      <c r="F212" s="231" t="inlineStr"/>
      <c r="G212" s="231" t="inlineStr"/>
      <c r="H212" s="231" t="inlineStr"/>
      <c r="I212" s="231" t="inlineStr">
        <is>
          <t>是</t>
        </is>
      </c>
      <c r="J212" s="27" t="inlineStr"/>
      <c r="K212" s="27" t="inlineStr"/>
      <c r="L212" s="231" t="n">
        <v>100</v>
      </c>
      <c r="M212" s="45" t="inlineStr">
        <is>
          <t>Product-3E6ACFC9</t>
        </is>
      </c>
      <c r="N212" s="231" t="n">
        <v>1</v>
      </c>
      <c r="O212" s="181">
        <f>SUM(P212:AB212)</f>
        <v/>
      </c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31" t="n"/>
    </row>
    <row r="213" customFormat="1" s="1">
      <c r="A213" s="234" t="n"/>
      <c r="B213" s="231" t="inlineStr">
        <is>
          <t>SKU-1F2C7CE6</t>
        </is>
      </c>
      <c r="C213" s="231" t="inlineStr">
        <is>
          <t>是</t>
        </is>
      </c>
      <c r="D213" s="231" t="n">
        <v>5</v>
      </c>
      <c r="E213" s="231" t="inlineStr">
        <is>
          <t>是</t>
        </is>
      </c>
      <c r="F213" s="231" t="inlineStr"/>
      <c r="G213" s="231" t="inlineStr"/>
      <c r="H213" s="231" t="inlineStr"/>
      <c r="I213" s="231" t="inlineStr">
        <is>
          <t>是</t>
        </is>
      </c>
      <c r="J213" s="27" t="inlineStr"/>
      <c r="K213" s="27" t="inlineStr"/>
      <c r="L213" s="231" t="n">
        <v>100</v>
      </c>
      <c r="M213" s="45" t="inlineStr">
        <is>
          <t>Product-54D1E3E5</t>
        </is>
      </c>
      <c r="N213" s="231" t="n">
        <v>1</v>
      </c>
      <c r="O213" s="181">
        <f>SUM(P213:AB213)</f>
        <v/>
      </c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31" t="n"/>
    </row>
    <row r="214" customFormat="1" s="1">
      <c r="A214" s="234" t="n"/>
      <c r="B214" s="231" t="inlineStr">
        <is>
          <t>SKU-BA48AA06</t>
        </is>
      </c>
      <c r="C214" s="231" t="inlineStr">
        <is>
          <t>是</t>
        </is>
      </c>
      <c r="D214" s="231" t="n">
        <v>8</v>
      </c>
      <c r="E214" s="231" t="inlineStr"/>
      <c r="F214" s="231" t="inlineStr"/>
      <c r="G214" s="231" t="inlineStr"/>
      <c r="H214" s="231" t="inlineStr"/>
      <c r="I214" s="231" t="inlineStr"/>
      <c r="J214" s="27" t="inlineStr"/>
      <c r="K214" s="27" t="inlineStr"/>
      <c r="L214" s="231" t="n">
        <v>100</v>
      </c>
      <c r="M214" s="45" t="inlineStr">
        <is>
          <t>Product-51A3BAAC</t>
        </is>
      </c>
      <c r="N214" s="231" t="n">
        <v>1</v>
      </c>
      <c r="O214" s="181">
        <f>SUM(P214:AB214)</f>
        <v/>
      </c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31" t="n"/>
    </row>
    <row r="215" customFormat="1" s="1">
      <c r="A215" s="235" t="n"/>
      <c r="B215" s="80" t="n"/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40" t="n"/>
    </row>
    <row r="216" customFormat="1" s="1">
      <c r="A216" s="25" t="inlineStr">
        <is>
          <t>广东</t>
        </is>
      </c>
      <c r="B216" s="231" t="inlineStr">
        <is>
          <t>SKU-CD13E71E</t>
        </is>
      </c>
      <c r="C216" s="231" t="inlineStr">
        <is>
          <t>是</t>
        </is>
      </c>
      <c r="D216" s="231" t="n">
        <v>10</v>
      </c>
      <c r="E216" s="231" t="inlineStr"/>
      <c r="F216" s="231" t="inlineStr"/>
      <c r="G216" s="231" t="inlineStr"/>
      <c r="H216" s="231" t="inlineStr"/>
      <c r="I216" s="231" t="inlineStr"/>
      <c r="J216" s="27" t="inlineStr">
        <is>
          <t>共</t>
        </is>
      </c>
      <c r="K216" s="27" t="inlineStr"/>
      <c r="L216" s="231" t="n">
        <v>100</v>
      </c>
      <c r="M216" s="19" t="inlineStr">
        <is>
          <t>Product-EA59DDCC</t>
        </is>
      </c>
      <c r="N216" s="231" t="n">
        <v>2</v>
      </c>
      <c r="O216" s="181">
        <f>SUM(P216:AB216)</f>
        <v/>
      </c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31" t="inlineStr">
        <is>
          <t>C</t>
        </is>
      </c>
    </row>
    <row r="217" customFormat="1" s="1">
      <c r="A217" s="234" t="n"/>
      <c r="B217" s="231" t="inlineStr">
        <is>
          <t>SKU-682BAA5A</t>
        </is>
      </c>
      <c r="C217" s="231" t="inlineStr">
        <is>
          <t>是</t>
        </is>
      </c>
      <c r="D217" s="231" t="n">
        <v>10</v>
      </c>
      <c r="E217" s="231" t="inlineStr"/>
      <c r="F217" s="231" t="inlineStr"/>
      <c r="G217" s="231" t="inlineStr"/>
      <c r="H217" s="231" t="inlineStr"/>
      <c r="I217" s="231" t="inlineStr"/>
      <c r="J217" s="27" t="inlineStr"/>
      <c r="K217" s="27" t="inlineStr"/>
      <c r="L217" s="231" t="n">
        <v>100</v>
      </c>
      <c r="M217" s="19" t="inlineStr">
        <is>
          <t>Product-7E3AF14A</t>
        </is>
      </c>
      <c r="N217" s="231" t="n">
        <v>2</v>
      </c>
      <c r="O217" s="181">
        <f>SUM(P217:AB217)</f>
        <v/>
      </c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31" t="n"/>
    </row>
    <row r="218" customFormat="1" s="1">
      <c r="A218" s="234" t="n"/>
      <c r="B218" s="231" t="inlineStr">
        <is>
          <t>SKU-101252A9</t>
        </is>
      </c>
      <c r="C218" s="231" t="inlineStr">
        <is>
          <t>是</t>
        </is>
      </c>
      <c r="D218" s="231" t="n">
        <v>10</v>
      </c>
      <c r="E218" s="231" t="inlineStr"/>
      <c r="F218" s="231" t="inlineStr"/>
      <c r="G218" s="231" t="inlineStr"/>
      <c r="H218" s="231" t="inlineStr"/>
      <c r="I218" s="231" t="inlineStr"/>
      <c r="J218" s="27" t="inlineStr"/>
      <c r="K218" s="27" t="inlineStr"/>
      <c r="L218" s="231" t="n">
        <v>100</v>
      </c>
      <c r="M218" s="33" t="inlineStr">
        <is>
          <t>Product-7A8380EF</t>
        </is>
      </c>
      <c r="N218" s="231" t="n">
        <v>1</v>
      </c>
      <c r="O218" s="181">
        <f>SUM(P218:AB218)</f>
        <v/>
      </c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31" t="n"/>
    </row>
    <row r="219" customFormat="1" s="1">
      <c r="A219" s="234" t="n"/>
      <c r="B219" s="231" t="inlineStr">
        <is>
          <t>SKU-77C0CC77</t>
        </is>
      </c>
      <c r="C219" s="231" t="inlineStr">
        <is>
          <t>是</t>
        </is>
      </c>
      <c r="D219" s="231" t="n">
        <v>6</v>
      </c>
      <c r="E219" s="231" t="inlineStr">
        <is>
          <t>是</t>
        </is>
      </c>
      <c r="F219" s="231" t="inlineStr"/>
      <c r="G219" s="231" t="inlineStr"/>
      <c r="H219" s="231" t="inlineStr"/>
      <c r="I219" s="231" t="inlineStr">
        <is>
          <t>是</t>
        </is>
      </c>
      <c r="J219" s="27" t="inlineStr"/>
      <c r="K219" s="27" t="inlineStr"/>
      <c r="L219" s="231" t="n">
        <v>100</v>
      </c>
      <c r="M219" s="19" t="inlineStr">
        <is>
          <t>Product-429E8612</t>
        </is>
      </c>
      <c r="N219" s="231" t="n">
        <v>1</v>
      </c>
      <c r="O219" s="181">
        <f>SUM(P219:AB219)</f>
        <v/>
      </c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31" t="inlineStr">
        <is>
          <t>C</t>
        </is>
      </c>
    </row>
    <row r="220" customFormat="1" s="1">
      <c r="A220" s="235" t="n"/>
      <c r="B220" s="80" t="n"/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40" t="n"/>
    </row>
    <row r="221" customFormat="1" s="1">
      <c r="A221" s="25" t="inlineStr">
        <is>
          <t>广西</t>
        </is>
      </c>
      <c r="B221" s="231" t="inlineStr">
        <is>
          <t>SKU-3BA438F1</t>
        </is>
      </c>
      <c r="C221" s="231" t="inlineStr">
        <is>
          <t>是</t>
        </is>
      </c>
      <c r="D221" s="231" t="n">
        <v>8</v>
      </c>
      <c r="E221" s="231" t="inlineStr">
        <is>
          <t>是</t>
        </is>
      </c>
      <c r="F221" s="231" t="inlineStr"/>
      <c r="G221" s="231" t="inlineStr"/>
      <c r="H221" s="231" t="inlineStr"/>
      <c r="I221" s="231" t="inlineStr">
        <is>
          <t>是</t>
        </is>
      </c>
      <c r="J221" s="27" t="inlineStr"/>
      <c r="K221" s="27" t="inlineStr"/>
      <c r="L221" s="231" t="n">
        <v>100</v>
      </c>
      <c r="M221" s="19" t="inlineStr">
        <is>
          <t>Product-775BB8DC</t>
        </is>
      </c>
      <c r="N221" s="231" t="n">
        <v>2</v>
      </c>
      <c r="O221" s="181">
        <f>SUM(P221:AB221)</f>
        <v/>
      </c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31" t="inlineStr">
        <is>
          <t>C</t>
        </is>
      </c>
    </row>
    <row r="222" customFormat="1" s="1">
      <c r="A222" s="234" t="n"/>
      <c r="B222" s="231" t="inlineStr">
        <is>
          <t>SKU-D2E77FA5</t>
        </is>
      </c>
      <c r="C222" s="231" t="inlineStr">
        <is>
          <t>是</t>
        </is>
      </c>
      <c r="D222" s="231" t="n">
        <v>6</v>
      </c>
      <c r="E222" s="231" t="inlineStr">
        <is>
          <t>是</t>
        </is>
      </c>
      <c r="F222" s="231" t="inlineStr"/>
      <c r="G222" s="231" t="inlineStr"/>
      <c r="H222" s="231" t="inlineStr">
        <is>
          <t>是</t>
        </is>
      </c>
      <c r="I222" s="231" t="inlineStr">
        <is>
          <t>是</t>
        </is>
      </c>
      <c r="J222" s="27" t="inlineStr"/>
      <c r="K222" s="27" t="inlineStr"/>
      <c r="L222" s="231" t="n">
        <v>100</v>
      </c>
      <c r="M222" s="19" t="inlineStr">
        <is>
          <t>Product-A722DB58</t>
        </is>
      </c>
      <c r="N222" s="231" t="n">
        <v>1</v>
      </c>
      <c r="O222" s="181">
        <f>SUM(P222:AB222)</f>
        <v/>
      </c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31" t="inlineStr">
        <is>
          <t>C</t>
        </is>
      </c>
    </row>
    <row r="223" customFormat="1" s="1">
      <c r="A223" s="235" t="n"/>
      <c r="B223" s="80" t="n"/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40" t="n"/>
    </row>
    <row r="224" customFormat="1" s="1">
      <c r="A224" s="25" t="inlineStr">
        <is>
          <t>重庆</t>
        </is>
      </c>
      <c r="B224" s="231" t="inlineStr">
        <is>
          <t>SKU-9FDA4198</t>
        </is>
      </c>
      <c r="C224" s="231" t="inlineStr">
        <is>
          <t>是</t>
        </is>
      </c>
      <c r="D224" s="231" t="n">
        <v>11</v>
      </c>
      <c r="E224" s="231" t="inlineStr"/>
      <c r="F224" s="231" t="inlineStr"/>
      <c r="G224" s="231" t="inlineStr"/>
      <c r="H224" s="231" t="inlineStr"/>
      <c r="I224" s="231" t="inlineStr"/>
      <c r="J224" s="27" t="inlineStr"/>
      <c r="K224" s="27" t="inlineStr"/>
      <c r="L224" s="231" t="n">
        <v>100</v>
      </c>
      <c r="M224" s="19" t="inlineStr">
        <is>
          <t>Product-662CAB3A</t>
        </is>
      </c>
      <c r="N224" s="231" t="n">
        <v>1</v>
      </c>
      <c r="O224" s="181">
        <f>SUM(P224:AB224)</f>
        <v/>
      </c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31" t="n"/>
    </row>
    <row r="225" customFormat="1" s="1">
      <c r="A225" s="234" t="n"/>
      <c r="B225" s="231" t="inlineStr">
        <is>
          <t>SKU-7B3ED901</t>
        </is>
      </c>
      <c r="C225" s="231" t="inlineStr">
        <is>
          <t>是</t>
        </is>
      </c>
      <c r="D225" s="231" t="n">
        <v>8</v>
      </c>
      <c r="E225" s="231" t="inlineStr">
        <is>
          <t>是</t>
        </is>
      </c>
      <c r="F225" s="231" t="inlineStr"/>
      <c r="G225" s="231" t="inlineStr"/>
      <c r="H225" s="231" t="inlineStr">
        <is>
          <t>是</t>
        </is>
      </c>
      <c r="I225" s="231" t="inlineStr">
        <is>
          <t>是</t>
        </is>
      </c>
      <c r="J225" s="27" t="inlineStr"/>
      <c r="K225" s="27" t="inlineStr"/>
      <c r="L225" s="231" t="n">
        <v>100</v>
      </c>
      <c r="M225" s="19" t="inlineStr">
        <is>
          <t>Product-98EF7A51</t>
        </is>
      </c>
      <c r="N225" s="231" t="n">
        <v>1</v>
      </c>
      <c r="O225" s="181">
        <f>SUM(P225:AB225)</f>
        <v/>
      </c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31" t="inlineStr">
        <is>
          <t>C</t>
        </is>
      </c>
    </row>
    <row r="226" customFormat="1" s="1">
      <c r="A226" s="234" t="n"/>
      <c r="B226" s="231" t="inlineStr">
        <is>
          <t>SKU-9285E4A0</t>
        </is>
      </c>
      <c r="C226" s="231" t="inlineStr">
        <is>
          <t>是</t>
        </is>
      </c>
      <c r="D226" s="231" t="n">
        <v>10</v>
      </c>
      <c r="E226" s="231" t="inlineStr"/>
      <c r="F226" s="231" t="inlineStr">
        <is>
          <t>是</t>
        </is>
      </c>
      <c r="G226" s="231" t="inlineStr"/>
      <c r="H226" s="231" t="inlineStr"/>
      <c r="I226" s="231" t="inlineStr">
        <is>
          <t>是</t>
        </is>
      </c>
      <c r="J226" s="27" t="inlineStr">
        <is>
          <t>共</t>
        </is>
      </c>
      <c r="K226" s="27" t="inlineStr"/>
      <c r="L226" s="231" t="n">
        <v>100</v>
      </c>
      <c r="M226" s="19" t="inlineStr">
        <is>
          <t>Product-CCB8A5AE</t>
        </is>
      </c>
      <c r="N226" s="231" t="n">
        <v>1</v>
      </c>
      <c r="O226" s="181">
        <f>SUM(P226:AB226)</f>
        <v/>
      </c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31" t="inlineStr">
        <is>
          <t>C</t>
        </is>
      </c>
    </row>
    <row r="227" customFormat="1" s="1">
      <c r="A227" s="235" t="n"/>
      <c r="B227" s="80" t="n"/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40" t="n"/>
    </row>
    <row r="228" customFormat="1" s="1">
      <c r="A228" s="54" t="inlineStr">
        <is>
          <t>四川</t>
        </is>
      </c>
      <c r="B228" s="231" t="inlineStr">
        <is>
          <t>SKU-29633089</t>
        </is>
      </c>
      <c r="C228" s="231" t="inlineStr">
        <is>
          <t>是</t>
        </is>
      </c>
      <c r="D228" s="231" t="n">
        <v>6</v>
      </c>
      <c r="E228" s="231" t="inlineStr"/>
      <c r="F228" s="231" t="inlineStr">
        <is>
          <t>是</t>
        </is>
      </c>
      <c r="G228" s="231" t="inlineStr"/>
      <c r="H228" s="231" t="inlineStr"/>
      <c r="I228" s="231" t="inlineStr">
        <is>
          <t>是</t>
        </is>
      </c>
      <c r="J228" s="27" t="inlineStr"/>
      <c r="K228" s="27" t="inlineStr"/>
      <c r="L228" s="231" t="n">
        <v>100</v>
      </c>
      <c r="M228" s="44" t="inlineStr">
        <is>
          <t>Product-719E196F</t>
        </is>
      </c>
      <c r="N228" s="231" t="n">
        <v>3</v>
      </c>
      <c r="O228" s="181">
        <f>SUM(P228:AB228)</f>
        <v/>
      </c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31" t="inlineStr">
        <is>
          <t>C</t>
        </is>
      </c>
    </row>
    <row r="229" customFormat="1" s="1">
      <c r="A229" s="234" t="n"/>
      <c r="B229" s="231" t="inlineStr">
        <is>
          <t>SKU-5FFC4FAB</t>
        </is>
      </c>
      <c r="C229" s="231" t="inlineStr">
        <is>
          <t>是</t>
        </is>
      </c>
      <c r="D229" s="231" t="n">
        <v>8</v>
      </c>
      <c r="E229" s="231" t="inlineStr">
        <is>
          <t>是</t>
        </is>
      </c>
      <c r="F229" s="231" t="inlineStr"/>
      <c r="G229" s="231" t="inlineStr"/>
      <c r="H229" s="231" t="inlineStr"/>
      <c r="I229" s="231" t="inlineStr">
        <is>
          <t>是</t>
        </is>
      </c>
      <c r="J229" s="27" t="inlineStr"/>
      <c r="K229" s="27" t="inlineStr"/>
      <c r="L229" s="231" t="n">
        <v>100</v>
      </c>
      <c r="M229" s="19" t="inlineStr">
        <is>
          <t>Product-0DACD2F6</t>
        </is>
      </c>
      <c r="N229" s="231" t="n">
        <v>2</v>
      </c>
      <c r="O229" s="181">
        <f>SUM(P229:AB229)</f>
        <v/>
      </c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31" t="inlineStr">
        <is>
          <t>C</t>
        </is>
      </c>
    </row>
    <row r="230" customFormat="1" s="1">
      <c r="A230" s="234" t="n"/>
      <c r="B230" s="231" t="inlineStr">
        <is>
          <t>SKU-B633AD53</t>
        </is>
      </c>
      <c r="C230" s="231" t="inlineStr">
        <is>
          <t>是</t>
        </is>
      </c>
      <c r="D230" s="231" t="n">
        <v>8</v>
      </c>
      <c r="E230" s="231" t="inlineStr">
        <is>
          <t>是</t>
        </is>
      </c>
      <c r="F230" s="231" t="inlineStr"/>
      <c r="G230" s="231" t="inlineStr"/>
      <c r="H230" s="231" t="inlineStr">
        <is>
          <t>是</t>
        </is>
      </c>
      <c r="I230" s="231" t="inlineStr">
        <is>
          <t>是</t>
        </is>
      </c>
      <c r="J230" s="27" t="inlineStr"/>
      <c r="K230" s="27" t="inlineStr"/>
      <c r="L230" s="231" t="n">
        <v>100</v>
      </c>
      <c r="M230" s="19" t="inlineStr">
        <is>
          <t>Product-A5C01E33</t>
        </is>
      </c>
      <c r="N230" s="231" t="n">
        <v>1</v>
      </c>
      <c r="O230" s="181">
        <f>SUM(P230:AB230)</f>
        <v/>
      </c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31" t="inlineStr">
        <is>
          <t>C</t>
        </is>
      </c>
    </row>
    <row r="231" customFormat="1" s="1">
      <c r="A231" s="234" t="n"/>
      <c r="B231" s="231" t="inlineStr">
        <is>
          <t>SKU-F5C809B2</t>
        </is>
      </c>
      <c r="C231" s="231" t="inlineStr">
        <is>
          <t>是</t>
        </is>
      </c>
      <c r="D231" s="231" t="n">
        <v>10</v>
      </c>
      <c r="E231" s="231" t="inlineStr"/>
      <c r="F231" s="231" t="inlineStr">
        <is>
          <t>是</t>
        </is>
      </c>
      <c r="G231" s="231" t="inlineStr"/>
      <c r="H231" s="231" t="inlineStr"/>
      <c r="I231" s="231" t="inlineStr">
        <is>
          <t>是</t>
        </is>
      </c>
      <c r="J231" s="27" t="inlineStr"/>
      <c r="K231" s="27" t="inlineStr"/>
      <c r="L231" s="231" t="n">
        <v>100</v>
      </c>
      <c r="M231" s="19" t="inlineStr">
        <is>
          <t>Product-5A7B99C4</t>
        </is>
      </c>
      <c r="N231" s="231" t="n">
        <v>1</v>
      </c>
      <c r="O231" s="181">
        <f>SUM(P231:AB231)</f>
        <v/>
      </c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31" t="inlineStr">
        <is>
          <t>C</t>
        </is>
      </c>
    </row>
    <row r="232" customFormat="1" s="1">
      <c r="A232" s="234" t="n"/>
      <c r="B232" s="231" t="inlineStr">
        <is>
          <t>SKU-85450BFD</t>
        </is>
      </c>
      <c r="C232" s="231" t="inlineStr">
        <is>
          <t>是</t>
        </is>
      </c>
      <c r="D232" s="231" t="n">
        <v>10</v>
      </c>
      <c r="E232" s="231" t="inlineStr"/>
      <c r="F232" s="231" t="inlineStr">
        <is>
          <t>是</t>
        </is>
      </c>
      <c r="G232" s="231" t="inlineStr"/>
      <c r="H232" s="231" t="inlineStr">
        <is>
          <t>是</t>
        </is>
      </c>
      <c r="I232" s="231" t="inlineStr">
        <is>
          <t>是</t>
        </is>
      </c>
      <c r="J232" s="27" t="inlineStr"/>
      <c r="K232" s="27" t="inlineStr"/>
      <c r="L232" s="231" t="n">
        <v>100</v>
      </c>
      <c r="M232" s="59" t="inlineStr">
        <is>
          <t>Product-91F0DC53</t>
        </is>
      </c>
      <c r="N232" s="231" t="n">
        <v>1</v>
      </c>
      <c r="O232" s="181">
        <f>SUM(P232:AB232)</f>
        <v/>
      </c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31" t="inlineStr">
        <is>
          <t>C</t>
        </is>
      </c>
    </row>
    <row r="233" customFormat="1" s="1">
      <c r="A233" s="234" t="n"/>
      <c r="B233" s="231" t="inlineStr">
        <is>
          <t>SKU-EDF7920D</t>
        </is>
      </c>
      <c r="C233" s="231" t="inlineStr">
        <is>
          <t>是</t>
        </is>
      </c>
      <c r="D233" s="231" t="n">
        <v>10</v>
      </c>
      <c r="E233" s="231" t="inlineStr"/>
      <c r="F233" s="231" t="inlineStr">
        <is>
          <t>是</t>
        </is>
      </c>
      <c r="G233" s="231" t="inlineStr"/>
      <c r="H233" s="231" t="inlineStr"/>
      <c r="I233" s="231" t="inlineStr">
        <is>
          <t>是</t>
        </is>
      </c>
      <c r="J233" s="27" t="inlineStr"/>
      <c r="K233" s="27" t="inlineStr"/>
      <c r="L233" s="231" t="n">
        <v>100</v>
      </c>
      <c r="M233" s="59" t="inlineStr">
        <is>
          <t>Product-CE4C0A22</t>
        </is>
      </c>
      <c r="N233" s="231" t="n">
        <v>1</v>
      </c>
      <c r="O233" s="181">
        <f>SUM(P233:AB233)</f>
        <v/>
      </c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31" t="inlineStr">
        <is>
          <t>C</t>
        </is>
      </c>
    </row>
    <row r="234" customFormat="1" s="1">
      <c r="A234" s="234" t="n"/>
      <c r="B234" s="231" t="inlineStr">
        <is>
          <t>SKU-DD4DEF4E</t>
        </is>
      </c>
      <c r="C234" s="231" t="inlineStr">
        <is>
          <t>是</t>
        </is>
      </c>
      <c r="D234" s="231" t="n">
        <v>10</v>
      </c>
      <c r="E234" s="231" t="inlineStr"/>
      <c r="F234" s="231" t="inlineStr"/>
      <c r="G234" s="231" t="inlineStr"/>
      <c r="H234" s="231" t="inlineStr"/>
      <c r="I234" s="231" t="inlineStr"/>
      <c r="J234" s="27" t="inlineStr">
        <is>
          <t>共</t>
        </is>
      </c>
      <c r="K234" s="27" t="inlineStr"/>
      <c r="L234" s="231" t="n">
        <v>100</v>
      </c>
      <c r="M234" s="59" t="inlineStr">
        <is>
          <t>Product-F3C53F7F</t>
        </is>
      </c>
      <c r="N234" s="231" t="n">
        <v>1</v>
      </c>
      <c r="O234" s="181">
        <f>SUM(P234:AB234)</f>
        <v/>
      </c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31" t="n"/>
    </row>
    <row r="235" customFormat="1" s="1">
      <c r="A235" s="234" t="n"/>
      <c r="B235" s="231" t="inlineStr">
        <is>
          <t>SKU-05047315</t>
        </is>
      </c>
      <c r="C235" s="231" t="inlineStr">
        <is>
          <t>是</t>
        </is>
      </c>
      <c r="D235" s="231" t="n">
        <v>11</v>
      </c>
      <c r="E235" s="231" t="inlineStr"/>
      <c r="F235" s="231" t="inlineStr"/>
      <c r="G235" s="231" t="inlineStr"/>
      <c r="H235" s="231" t="inlineStr"/>
      <c r="I235" s="231" t="inlineStr"/>
      <c r="J235" s="27" t="inlineStr"/>
      <c r="K235" s="27" t="inlineStr"/>
      <c r="L235" s="231" t="n">
        <v>100</v>
      </c>
      <c r="M235" s="33" t="inlineStr">
        <is>
          <t>Product-81383D73</t>
        </is>
      </c>
      <c r="N235" s="231" t="n">
        <v>3</v>
      </c>
      <c r="O235" s="181">
        <f>SUM(P235:AB235)</f>
        <v/>
      </c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31" t="n"/>
    </row>
    <row r="236" customFormat="1" s="1">
      <c r="A236" s="234" t="n"/>
      <c r="B236" s="231" t="inlineStr">
        <is>
          <t>SKU-9CAB8B44</t>
        </is>
      </c>
      <c r="C236" s="231" t="inlineStr">
        <is>
          <t>是</t>
        </is>
      </c>
      <c r="D236" s="231" t="n">
        <v>10</v>
      </c>
      <c r="E236" s="231" t="inlineStr"/>
      <c r="F236" s="231" t="inlineStr">
        <is>
          <t>是</t>
        </is>
      </c>
      <c r="G236" s="231" t="inlineStr"/>
      <c r="H236" s="231" t="inlineStr"/>
      <c r="I236" s="231" t="inlineStr">
        <is>
          <t>是</t>
        </is>
      </c>
      <c r="J236" s="27" t="inlineStr"/>
      <c r="K236" s="27" t="inlineStr"/>
      <c r="L236" s="231" t="n">
        <v>100</v>
      </c>
      <c r="M236" s="43" t="inlineStr">
        <is>
          <t>Product-410E9D24</t>
        </is>
      </c>
      <c r="N236" s="231" t="n">
        <v>1</v>
      </c>
      <c r="O236" s="181">
        <f>SUM(P236:AB236)</f>
        <v/>
      </c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31" t="inlineStr">
        <is>
          <t>C</t>
        </is>
      </c>
    </row>
    <row r="237" customFormat="1" s="1">
      <c r="A237" s="234" t="n"/>
      <c r="B237" s="231" t="inlineStr">
        <is>
          <t>SKU-2AAB30A8</t>
        </is>
      </c>
      <c r="C237" s="231" t="inlineStr">
        <is>
          <t>是</t>
        </is>
      </c>
      <c r="D237" s="231" t="n">
        <v>10</v>
      </c>
      <c r="E237" s="231" t="inlineStr"/>
      <c r="F237" s="231" t="inlineStr"/>
      <c r="G237" s="231" t="inlineStr"/>
      <c r="H237" s="231" t="inlineStr"/>
      <c r="I237" s="231" t="inlineStr"/>
      <c r="J237" s="27" t="inlineStr"/>
      <c r="K237" s="27" t="inlineStr"/>
      <c r="L237" s="231" t="n">
        <v>100</v>
      </c>
      <c r="M237" s="19" t="inlineStr">
        <is>
          <t>Product-81383D73</t>
        </is>
      </c>
      <c r="N237" s="231" t="n">
        <v>3</v>
      </c>
      <c r="O237" s="181">
        <f>SUM(P237:AB237)</f>
        <v/>
      </c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31" t="n"/>
    </row>
    <row r="238" customFormat="1" s="1">
      <c r="A238" s="234" t="n"/>
      <c r="B238" s="231" t="inlineStr">
        <is>
          <t>SKU-56549691</t>
        </is>
      </c>
      <c r="C238" s="231" t="inlineStr">
        <is>
          <t>是</t>
        </is>
      </c>
      <c r="D238" s="231" t="n">
        <v>7</v>
      </c>
      <c r="E238" s="231" t="inlineStr">
        <is>
          <t>是</t>
        </is>
      </c>
      <c r="F238" s="231" t="inlineStr"/>
      <c r="G238" s="231" t="inlineStr"/>
      <c r="H238" s="231" t="inlineStr">
        <is>
          <t>是</t>
        </is>
      </c>
      <c r="I238" s="231" t="inlineStr">
        <is>
          <t>是</t>
        </is>
      </c>
      <c r="J238" s="27" t="inlineStr"/>
      <c r="K238" s="27" t="inlineStr"/>
      <c r="L238" s="231" t="n">
        <v>100</v>
      </c>
      <c r="M238" s="45" t="inlineStr">
        <is>
          <t>Product-A2BB61CB</t>
        </is>
      </c>
      <c r="N238" s="231" t="n">
        <v>1</v>
      </c>
      <c r="O238" s="181">
        <f>SUM(P238:AB238)</f>
        <v/>
      </c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31" t="n"/>
    </row>
    <row r="239" customFormat="1" s="1">
      <c r="A239" s="235" t="n"/>
      <c r="B239" s="80" t="n"/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40" t="n"/>
    </row>
    <row r="240" customFormat="1" s="1">
      <c r="A240" s="25" t="inlineStr">
        <is>
          <t>贵州</t>
        </is>
      </c>
      <c r="B240" s="231" t="inlineStr">
        <is>
          <t>SKU-96A04697</t>
        </is>
      </c>
      <c r="C240" s="231" t="inlineStr">
        <is>
          <t>是</t>
        </is>
      </c>
      <c r="D240" s="231" t="n">
        <v>10</v>
      </c>
      <c r="E240" s="231" t="inlineStr"/>
      <c r="F240" s="231" t="inlineStr"/>
      <c r="G240" s="231" t="inlineStr"/>
      <c r="H240" s="231" t="inlineStr">
        <is>
          <t>是</t>
        </is>
      </c>
      <c r="I240" s="231" t="inlineStr">
        <is>
          <t>是</t>
        </is>
      </c>
      <c r="J240" s="27" t="inlineStr"/>
      <c r="K240" s="27" t="inlineStr"/>
      <c r="L240" s="231" t="n">
        <v>100</v>
      </c>
      <c r="M240" s="19" t="inlineStr">
        <is>
          <t>Product-28EE2E14</t>
        </is>
      </c>
      <c r="N240" s="231" t="n">
        <v>1</v>
      </c>
      <c r="O240" s="181">
        <f>SUM(P240:AB240)</f>
        <v/>
      </c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31" t="inlineStr">
        <is>
          <t>C</t>
        </is>
      </c>
    </row>
    <row r="241" customFormat="1" s="1">
      <c r="A241" s="234" t="n"/>
      <c r="B241" s="231" t="inlineStr">
        <is>
          <t>SKU-D5EF4CB5</t>
        </is>
      </c>
      <c r="C241" s="231" t="inlineStr">
        <is>
          <t>是</t>
        </is>
      </c>
      <c r="D241" s="231" t="n">
        <v>11</v>
      </c>
      <c r="E241" s="231" t="inlineStr"/>
      <c r="F241" s="231" t="inlineStr"/>
      <c r="G241" s="231" t="inlineStr"/>
      <c r="H241" s="231" t="inlineStr"/>
      <c r="I241" s="231" t="inlineStr"/>
      <c r="J241" s="27" t="inlineStr"/>
      <c r="K241" s="27" t="inlineStr"/>
      <c r="L241" s="231" t="n">
        <v>100</v>
      </c>
      <c r="M241" s="19" t="inlineStr">
        <is>
          <t>Product-37275E77</t>
        </is>
      </c>
      <c r="N241" s="231" t="n">
        <v>3</v>
      </c>
      <c r="O241" s="181">
        <f>SUM(P241:AB241)</f>
        <v/>
      </c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31" t="n"/>
    </row>
    <row r="242" customFormat="1" s="1">
      <c r="A242" s="234" t="n"/>
      <c r="B242" s="231" t="inlineStr">
        <is>
          <t>SKU-74022443</t>
        </is>
      </c>
      <c r="C242" s="231" t="inlineStr">
        <is>
          <t>是</t>
        </is>
      </c>
      <c r="D242" s="231" t="n">
        <v>7</v>
      </c>
      <c r="E242" s="231" t="inlineStr">
        <is>
          <t>是</t>
        </is>
      </c>
      <c r="F242" s="231" t="inlineStr"/>
      <c r="G242" s="231" t="inlineStr"/>
      <c r="H242" s="231" t="inlineStr">
        <is>
          <t>是</t>
        </is>
      </c>
      <c r="I242" s="231" t="inlineStr">
        <is>
          <t>是</t>
        </is>
      </c>
      <c r="J242" s="27" t="inlineStr">
        <is>
          <t>共</t>
        </is>
      </c>
      <c r="K242" s="27" t="inlineStr"/>
      <c r="L242" s="231" t="n">
        <v>100</v>
      </c>
      <c r="M242" s="19" t="inlineStr">
        <is>
          <t>Product-FC598C42</t>
        </is>
      </c>
      <c r="N242" s="231" t="n">
        <v>1</v>
      </c>
      <c r="O242" s="181">
        <f>SUM(P242:AB242)</f>
        <v/>
      </c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31" t="inlineStr">
        <is>
          <t>C</t>
        </is>
      </c>
    </row>
    <row r="243" customFormat="1" s="1">
      <c r="A243" s="234" t="n"/>
      <c r="B243" s="231" t="inlineStr">
        <is>
          <t>SKU-6F1556A7</t>
        </is>
      </c>
      <c r="C243" s="231" t="inlineStr">
        <is>
          <t>是</t>
        </is>
      </c>
      <c r="D243" s="231" t="n">
        <v>6</v>
      </c>
      <c r="E243" s="231" t="inlineStr">
        <is>
          <t>是</t>
        </is>
      </c>
      <c r="F243" s="231" t="inlineStr"/>
      <c r="G243" s="231" t="inlineStr"/>
      <c r="H243" s="231" t="inlineStr">
        <is>
          <t>是</t>
        </is>
      </c>
      <c r="I243" s="231" t="inlineStr">
        <is>
          <t>是</t>
        </is>
      </c>
      <c r="J243" s="27" t="inlineStr"/>
      <c r="K243" s="27" t="inlineStr"/>
      <c r="L243" s="231" t="n">
        <v>100</v>
      </c>
      <c r="M243" s="19" t="inlineStr">
        <is>
          <t>Product-76A9C072</t>
        </is>
      </c>
      <c r="N243" s="231" t="n">
        <v>1</v>
      </c>
      <c r="O243" s="181">
        <f>SUM(P243:AB243)</f>
        <v/>
      </c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31" t="inlineStr">
        <is>
          <t>C</t>
        </is>
      </c>
    </row>
    <row r="244" customFormat="1" s="1">
      <c r="A244" s="234" t="n"/>
      <c r="B244" s="231" t="inlineStr">
        <is>
          <t>SKU-D9263F39</t>
        </is>
      </c>
      <c r="C244" s="231" t="inlineStr">
        <is>
          <t>是</t>
        </is>
      </c>
      <c r="D244" s="231" t="n">
        <v>8</v>
      </c>
      <c r="E244" s="231" t="inlineStr">
        <is>
          <t>是</t>
        </is>
      </c>
      <c r="F244" s="231" t="inlineStr"/>
      <c r="G244" s="231" t="inlineStr"/>
      <c r="H244" s="231" t="inlineStr">
        <is>
          <t>是</t>
        </is>
      </c>
      <c r="I244" s="231" t="inlineStr">
        <is>
          <t>是</t>
        </is>
      </c>
      <c r="J244" s="27" t="inlineStr"/>
      <c r="K244" s="27" t="inlineStr"/>
      <c r="L244" s="231" t="n">
        <v>100</v>
      </c>
      <c r="M244" s="19" t="inlineStr">
        <is>
          <t>Product-D1698B4E</t>
        </is>
      </c>
      <c r="N244" s="231" t="n">
        <v>1</v>
      </c>
      <c r="O244" s="181">
        <f>SUM(P244:AB244)</f>
        <v/>
      </c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31" t="inlineStr">
        <is>
          <t>C</t>
        </is>
      </c>
    </row>
    <row r="245" customFormat="1" s="1">
      <c r="A245" s="234" t="n"/>
      <c r="B245" s="231" t="inlineStr">
        <is>
          <t>SKU-A2042F81</t>
        </is>
      </c>
      <c r="C245" s="231" t="inlineStr">
        <is>
          <t>是</t>
        </is>
      </c>
      <c r="D245" s="231" t="n">
        <v>8</v>
      </c>
      <c r="E245" s="231" t="inlineStr"/>
      <c r="F245" s="231" t="inlineStr">
        <is>
          <t>是</t>
        </is>
      </c>
      <c r="G245" s="231" t="inlineStr"/>
      <c r="H245" s="231" t="inlineStr"/>
      <c r="I245" s="231" t="inlineStr">
        <is>
          <t>是</t>
        </is>
      </c>
      <c r="J245" s="27" t="inlineStr"/>
      <c r="K245" s="27" t="inlineStr"/>
      <c r="L245" s="231" t="n">
        <v>100</v>
      </c>
      <c r="M245" s="19" t="inlineStr">
        <is>
          <t>Product-1E515825</t>
        </is>
      </c>
      <c r="N245" s="231" t="n">
        <v>1</v>
      </c>
      <c r="O245" s="181">
        <f>SUM(P245:AB245)</f>
        <v/>
      </c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31" t="inlineStr">
        <is>
          <t>C</t>
        </is>
      </c>
    </row>
    <row r="246" customFormat="1" s="1">
      <c r="A246" s="234" t="n"/>
      <c r="B246" s="231" t="inlineStr">
        <is>
          <t>SKU-0A2F7001</t>
        </is>
      </c>
      <c r="C246" s="231" t="inlineStr"/>
      <c r="D246" s="231" t="n">
        <v>10</v>
      </c>
      <c r="E246" s="231" t="inlineStr"/>
      <c r="F246" s="231" t="inlineStr"/>
      <c r="G246" s="231" t="inlineStr"/>
      <c r="H246" s="231" t="inlineStr"/>
      <c r="I246" s="231" t="inlineStr"/>
      <c r="J246" s="27" t="inlineStr"/>
      <c r="K246" s="27" t="inlineStr"/>
      <c r="L246" s="231" t="n">
        <v>100</v>
      </c>
      <c r="M246" s="19" t="inlineStr">
        <is>
          <t>Product-FCAC2E38</t>
        </is>
      </c>
      <c r="N246" s="231" t="n">
        <v>3</v>
      </c>
      <c r="O246" s="181">
        <f>SUM(P246:AB246)</f>
        <v/>
      </c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31" t="n"/>
    </row>
    <row r="247" customFormat="1" s="1">
      <c r="A247" s="235" t="n"/>
      <c r="B247" s="80" t="n"/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40" t="n"/>
    </row>
    <row r="248" customFormat="1" s="1">
      <c r="A248" s="25" t="n"/>
      <c r="B248" s="231" t="inlineStr">
        <is>
          <t>SKU-ED222C1F</t>
        </is>
      </c>
      <c r="C248" s="231" t="inlineStr">
        <is>
          <t>是</t>
        </is>
      </c>
      <c r="D248" s="231" t="n">
        <v>11</v>
      </c>
      <c r="E248" s="231" t="inlineStr"/>
      <c r="F248" s="231" t="inlineStr"/>
      <c r="G248" s="231" t="inlineStr"/>
      <c r="H248" s="231" t="inlineStr"/>
      <c r="I248" s="231" t="inlineStr"/>
      <c r="J248" s="27" t="inlineStr">
        <is>
          <t>共</t>
        </is>
      </c>
      <c r="K248" s="27" t="inlineStr"/>
      <c r="L248" s="231" t="n">
        <v>100</v>
      </c>
      <c r="M248" s="19" t="inlineStr">
        <is>
          <t>Product-7064CA4A</t>
        </is>
      </c>
      <c r="N248" s="231" t="n">
        <v>1</v>
      </c>
      <c r="O248" s="181">
        <f>SUM(P248:AB248)</f>
        <v/>
      </c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31" t="n"/>
    </row>
    <row r="249" customFormat="1" s="1">
      <c r="A249" s="234" t="n"/>
      <c r="B249" s="231" t="inlineStr">
        <is>
          <t>SKU-0B9EE4CD</t>
        </is>
      </c>
      <c r="C249" s="231" t="inlineStr">
        <is>
          <t>是</t>
        </is>
      </c>
      <c r="D249" s="231" t="n">
        <v>10</v>
      </c>
      <c r="E249" s="231" t="inlineStr"/>
      <c r="F249" s="231" t="inlineStr"/>
      <c r="G249" s="231" t="inlineStr"/>
      <c r="H249" s="231" t="inlineStr"/>
      <c r="I249" s="231" t="inlineStr"/>
      <c r="J249" s="27" t="inlineStr"/>
      <c r="K249" s="27" t="inlineStr"/>
      <c r="L249" s="231" t="n">
        <v>100</v>
      </c>
      <c r="M249" s="19" t="inlineStr">
        <is>
          <t>Product-326C7E91</t>
        </is>
      </c>
      <c r="N249" s="231" t="n">
        <v>2</v>
      </c>
      <c r="O249" s="181">
        <f>SUM(P249:AB249)</f>
        <v/>
      </c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31" t="n"/>
    </row>
    <row r="250" customFormat="1" s="1">
      <c r="A250" s="234" t="n"/>
      <c r="B250" s="231" t="inlineStr">
        <is>
          <t>SKU-92F9812B</t>
        </is>
      </c>
      <c r="C250" s="231" t="inlineStr">
        <is>
          <t>是</t>
        </is>
      </c>
      <c r="D250" s="231" t="n">
        <v>8</v>
      </c>
      <c r="E250" s="231" t="inlineStr"/>
      <c r="F250" s="231" t="inlineStr"/>
      <c r="G250" s="231" t="inlineStr"/>
      <c r="H250" s="231" t="inlineStr"/>
      <c r="I250" s="231" t="inlineStr"/>
      <c r="J250" s="27" t="inlineStr"/>
      <c r="K250" s="27" t="inlineStr"/>
      <c r="L250" s="231" t="n">
        <v>100</v>
      </c>
      <c r="M250" s="19" t="inlineStr">
        <is>
          <t>Product-68B82AAE</t>
        </is>
      </c>
      <c r="N250" s="231" t="n">
        <v>3</v>
      </c>
      <c r="O250" s="181">
        <f>SUM(P250:AB250)</f>
        <v/>
      </c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31" t="n"/>
    </row>
    <row r="251" customFormat="1" s="1">
      <c r="A251" s="234" t="n"/>
      <c r="B251" s="231" t="inlineStr">
        <is>
          <t>SKU-6D767F9B</t>
        </is>
      </c>
      <c r="C251" s="231" t="inlineStr">
        <is>
          <t>是</t>
        </is>
      </c>
      <c r="D251" s="231" t="n">
        <v>8</v>
      </c>
      <c r="E251" s="231" t="inlineStr"/>
      <c r="F251" s="231" t="inlineStr"/>
      <c r="G251" s="231" t="inlineStr"/>
      <c r="H251" s="231" t="inlineStr"/>
      <c r="I251" s="231" t="inlineStr"/>
      <c r="J251" s="27" t="inlineStr">
        <is>
          <t>共</t>
        </is>
      </c>
      <c r="K251" s="27" t="inlineStr"/>
      <c r="L251" s="231" t="n">
        <v>100</v>
      </c>
      <c r="M251" s="19" t="inlineStr">
        <is>
          <t>Product-1D13312B</t>
        </is>
      </c>
      <c r="N251" s="231" t="n">
        <v>1</v>
      </c>
      <c r="O251" s="181">
        <f>SUM(P251:AB251)</f>
        <v/>
      </c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31" t="inlineStr">
        <is>
          <t>C</t>
        </is>
      </c>
    </row>
    <row r="252" customFormat="1" s="1">
      <c r="A252" s="234" t="n"/>
      <c r="B252" s="231" t="inlineStr">
        <is>
          <t>SKU-863FBBD8</t>
        </is>
      </c>
      <c r="C252" s="231" t="inlineStr">
        <is>
          <t>是</t>
        </is>
      </c>
      <c r="D252" s="231" t="n">
        <v>8</v>
      </c>
      <c r="E252" s="231" t="inlineStr">
        <is>
          <t>是</t>
        </is>
      </c>
      <c r="F252" s="231" t="inlineStr"/>
      <c r="G252" s="231" t="inlineStr"/>
      <c r="H252" s="231" t="inlineStr"/>
      <c r="I252" s="231" t="inlineStr">
        <is>
          <t>是</t>
        </is>
      </c>
      <c r="J252" s="27" t="inlineStr"/>
      <c r="K252" s="27" t="inlineStr"/>
      <c r="L252" s="231" t="n">
        <v>100</v>
      </c>
      <c r="M252" s="19" t="inlineStr">
        <is>
          <t>Product-377B2B0D</t>
        </is>
      </c>
      <c r="N252" s="231" t="n">
        <v>1</v>
      </c>
      <c r="O252" s="181">
        <f>SUM(P252:AB252)</f>
        <v/>
      </c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31" t="inlineStr">
        <is>
          <t>C</t>
        </is>
      </c>
    </row>
    <row r="253" customFormat="1" s="1">
      <c r="A253" s="234" t="n"/>
      <c r="B253" s="231" t="inlineStr">
        <is>
          <t>SKU-FFD87C9A</t>
        </is>
      </c>
      <c r="C253" s="231" t="inlineStr">
        <is>
          <t>是</t>
        </is>
      </c>
      <c r="D253" s="231" t="n">
        <v>8</v>
      </c>
      <c r="E253" s="231" t="inlineStr">
        <is>
          <t>是</t>
        </is>
      </c>
      <c r="F253" s="231" t="inlineStr"/>
      <c r="G253" s="231" t="inlineStr"/>
      <c r="H253" s="231" t="inlineStr"/>
      <c r="I253" s="231" t="inlineStr">
        <is>
          <t>是</t>
        </is>
      </c>
      <c r="J253" s="27" t="inlineStr">
        <is>
          <t>共</t>
        </is>
      </c>
      <c r="K253" s="27" t="inlineStr"/>
      <c r="L253" s="231" t="n">
        <v>100</v>
      </c>
      <c r="M253" s="19" t="inlineStr">
        <is>
          <t>Product-5C6F883D</t>
        </is>
      </c>
      <c r="N253" s="231" t="n">
        <v>1</v>
      </c>
      <c r="O253" s="181">
        <f>SUM(P253:AB253)</f>
        <v/>
      </c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31" t="inlineStr">
        <is>
          <t>C</t>
        </is>
      </c>
    </row>
    <row r="254" customFormat="1" s="1">
      <c r="A254" s="234" t="n"/>
      <c r="B254" s="231" t="inlineStr">
        <is>
          <t>SKU-16F93B6E</t>
        </is>
      </c>
      <c r="C254" s="231" t="inlineStr">
        <is>
          <t>是</t>
        </is>
      </c>
      <c r="D254" s="231" t="n">
        <v>10</v>
      </c>
      <c r="E254" s="231" t="inlineStr"/>
      <c r="F254" s="231" t="inlineStr">
        <is>
          <t>是</t>
        </is>
      </c>
      <c r="G254" s="231" t="inlineStr"/>
      <c r="H254" s="231" t="inlineStr"/>
      <c r="I254" s="231" t="inlineStr">
        <is>
          <t>是</t>
        </is>
      </c>
      <c r="J254" s="27" t="inlineStr"/>
      <c r="K254" s="27" t="inlineStr"/>
      <c r="L254" s="231" t="n">
        <v>100</v>
      </c>
      <c r="M254" s="19" t="inlineStr">
        <is>
          <t>Product-BB81D184</t>
        </is>
      </c>
      <c r="N254" s="231" t="n">
        <v>1</v>
      </c>
      <c r="O254" s="181">
        <f>SUM(P254:AB254)</f>
        <v/>
      </c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31" t="inlineStr">
        <is>
          <t>C</t>
        </is>
      </c>
    </row>
    <row r="255" customFormat="1" s="1">
      <c r="A255" s="234" t="n"/>
      <c r="B255" s="231" t="inlineStr">
        <is>
          <t>SKU-0C7C3AA6</t>
        </is>
      </c>
      <c r="C255" s="231" t="inlineStr">
        <is>
          <t>是</t>
        </is>
      </c>
      <c r="D255" s="231" t="n">
        <v>8</v>
      </c>
      <c r="E255" s="231" t="inlineStr">
        <is>
          <t>是</t>
        </is>
      </c>
      <c r="F255" s="231" t="inlineStr"/>
      <c r="G255" s="231" t="inlineStr"/>
      <c r="H255" s="231" t="inlineStr"/>
      <c r="I255" s="231" t="inlineStr">
        <is>
          <t>是</t>
        </is>
      </c>
      <c r="J255" s="27" t="inlineStr"/>
      <c r="K255" s="27" t="inlineStr"/>
      <c r="L255" s="231" t="n">
        <v>100</v>
      </c>
      <c r="M255" s="44" t="inlineStr">
        <is>
          <t>Product-723A3C46</t>
        </is>
      </c>
      <c r="N255" s="231" t="n">
        <v>1</v>
      </c>
      <c r="O255" s="181">
        <f>SUM(P255:AB255)</f>
        <v/>
      </c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31" t="inlineStr">
        <is>
          <t>C</t>
        </is>
      </c>
    </row>
    <row r="256" customFormat="1" s="1">
      <c r="A256" s="234" t="n"/>
      <c r="B256" s="231" t="inlineStr">
        <is>
          <t>SKU-CCF1AA57</t>
        </is>
      </c>
      <c r="C256" s="231" t="inlineStr">
        <is>
          <t>是</t>
        </is>
      </c>
      <c r="D256" s="231" t="n">
        <v>8</v>
      </c>
      <c r="E256" s="231" t="inlineStr">
        <is>
          <t>是</t>
        </is>
      </c>
      <c r="F256" s="231" t="inlineStr"/>
      <c r="G256" s="231" t="inlineStr"/>
      <c r="H256" s="231" t="inlineStr"/>
      <c r="I256" s="231" t="inlineStr">
        <is>
          <t>是</t>
        </is>
      </c>
      <c r="J256" s="27" t="inlineStr">
        <is>
          <t>共</t>
        </is>
      </c>
      <c r="K256" s="27" t="inlineStr"/>
      <c r="L256" s="231" t="n">
        <v>100</v>
      </c>
      <c r="M256" s="19" t="inlineStr">
        <is>
          <t>Product-AA885DE6</t>
        </is>
      </c>
      <c r="N256" s="231" t="n">
        <v>2</v>
      </c>
      <c r="O256" s="181">
        <f>SUM(P256:AB256)</f>
        <v/>
      </c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31" t="inlineStr">
        <is>
          <t>C</t>
        </is>
      </c>
    </row>
    <row r="257" customFormat="1" s="1">
      <c r="A257" s="234" t="n"/>
      <c r="B257" s="231" t="inlineStr">
        <is>
          <t>SKU-C608A627</t>
        </is>
      </c>
      <c r="C257" s="231" t="inlineStr">
        <is>
          <t>是</t>
        </is>
      </c>
      <c r="D257" s="231" t="n">
        <v>10</v>
      </c>
      <c r="E257" s="231" t="inlineStr"/>
      <c r="F257" s="231" t="inlineStr">
        <is>
          <t>是</t>
        </is>
      </c>
      <c r="G257" s="231" t="inlineStr"/>
      <c r="H257" s="231" t="inlineStr">
        <is>
          <t>是</t>
        </is>
      </c>
      <c r="I257" s="231" t="inlineStr">
        <is>
          <t>是</t>
        </is>
      </c>
      <c r="J257" s="27" t="inlineStr"/>
      <c r="K257" s="27" t="inlineStr"/>
      <c r="L257" s="231" t="n">
        <v>100</v>
      </c>
      <c r="M257" s="43" t="inlineStr">
        <is>
          <t>Product-58C688E6</t>
        </is>
      </c>
      <c r="N257" s="231" t="n">
        <v>1</v>
      </c>
      <c r="O257" s="181">
        <f>SUM(P257:AB257)</f>
        <v/>
      </c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31" t="inlineStr">
        <is>
          <t>C</t>
        </is>
      </c>
    </row>
    <row r="258" customFormat="1" s="1">
      <c r="A258" s="234" t="n"/>
      <c r="B258" s="231" t="inlineStr">
        <is>
          <t>SKU-4CE8EF8A</t>
        </is>
      </c>
      <c r="C258" s="231" t="inlineStr">
        <is>
          <t>是</t>
        </is>
      </c>
      <c r="D258" s="231" t="n">
        <v>10</v>
      </c>
      <c r="E258" s="231" t="inlineStr"/>
      <c r="F258" s="231" t="inlineStr">
        <is>
          <t>是</t>
        </is>
      </c>
      <c r="G258" s="231" t="inlineStr"/>
      <c r="H258" s="231" t="inlineStr"/>
      <c r="I258" s="231" t="inlineStr">
        <is>
          <t>是</t>
        </is>
      </c>
      <c r="J258" s="27" t="inlineStr"/>
      <c r="K258" s="27" t="inlineStr"/>
      <c r="L258" s="231" t="n">
        <v>100</v>
      </c>
      <c r="M258" s="43" t="inlineStr">
        <is>
          <t>Product-B62DC373</t>
        </is>
      </c>
      <c r="N258" s="231" t="n">
        <v>1</v>
      </c>
      <c r="O258" s="181">
        <f>SUM(P258:AB258)</f>
        <v/>
      </c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31" t="inlineStr">
        <is>
          <t>C</t>
        </is>
      </c>
    </row>
    <row r="259" customFormat="1" s="1">
      <c r="A259" s="234" t="n"/>
      <c r="B259" s="231" t="inlineStr">
        <is>
          <t>SKU-99337284</t>
        </is>
      </c>
      <c r="C259" s="231" t="inlineStr">
        <is>
          <t>是</t>
        </is>
      </c>
      <c r="D259" s="231" t="n">
        <v>10</v>
      </c>
      <c r="E259" s="231" t="inlineStr"/>
      <c r="F259" s="231" t="inlineStr"/>
      <c r="G259" s="231" t="inlineStr"/>
      <c r="H259" s="231" t="inlineStr"/>
      <c r="I259" s="231" t="inlineStr"/>
      <c r="J259" s="27" t="inlineStr"/>
      <c r="K259" s="27" t="inlineStr"/>
      <c r="L259" s="231" t="n">
        <v>100</v>
      </c>
      <c r="M259" s="19" t="inlineStr">
        <is>
          <t>Product-0A287481</t>
        </is>
      </c>
      <c r="N259" s="231" t="n">
        <v>2</v>
      </c>
      <c r="O259" s="181">
        <f>SUM(P259:AB259)</f>
        <v/>
      </c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31" t="n"/>
    </row>
    <row r="260" customFormat="1" s="1">
      <c r="A260" s="234" t="n"/>
      <c r="B260" s="231" t="inlineStr">
        <is>
          <t>SKU-BD3F8D74</t>
        </is>
      </c>
      <c r="C260" s="231" t="inlineStr">
        <is>
          <t>是</t>
        </is>
      </c>
      <c r="D260" s="231" t="n">
        <v>8</v>
      </c>
      <c r="E260" s="231" t="inlineStr"/>
      <c r="F260" s="231" t="inlineStr">
        <is>
          <t>是</t>
        </is>
      </c>
      <c r="G260" s="231" t="inlineStr"/>
      <c r="H260" s="231" t="inlineStr"/>
      <c r="I260" s="231" t="inlineStr">
        <is>
          <t>是</t>
        </is>
      </c>
      <c r="J260" s="27" t="inlineStr"/>
      <c r="K260" s="27" t="inlineStr"/>
      <c r="L260" s="231" t="n">
        <v>100</v>
      </c>
      <c r="M260" s="19" t="inlineStr">
        <is>
          <t>Product-102ED313</t>
        </is>
      </c>
      <c r="N260" s="231" t="n">
        <v>1</v>
      </c>
      <c r="O260" s="181">
        <f>SUM(P260:AB260)</f>
        <v/>
      </c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31" t="inlineStr">
        <is>
          <t>C</t>
        </is>
      </c>
    </row>
    <row r="261" customFormat="1" s="1">
      <c r="A261" s="234" t="n"/>
      <c r="B261" s="231" t="inlineStr">
        <is>
          <t>SKU-B9F94FF9</t>
        </is>
      </c>
      <c r="C261" s="231" t="inlineStr">
        <is>
          <t>是</t>
        </is>
      </c>
      <c r="D261" s="231" t="n">
        <v>6</v>
      </c>
      <c r="E261" s="231" t="inlineStr">
        <is>
          <t>是</t>
        </is>
      </c>
      <c r="F261" s="231" t="inlineStr"/>
      <c r="G261" s="231" t="inlineStr"/>
      <c r="H261" s="231" t="inlineStr"/>
      <c r="I261" s="231" t="inlineStr">
        <is>
          <t>是</t>
        </is>
      </c>
      <c r="J261" s="27" t="inlineStr"/>
      <c r="K261" s="27" t="inlineStr"/>
      <c r="L261" s="231" t="n">
        <v>100</v>
      </c>
      <c r="M261" s="19" t="inlineStr">
        <is>
          <t>Product-7CC4665A</t>
        </is>
      </c>
      <c r="N261" s="231" t="n">
        <v>1</v>
      </c>
      <c r="O261" s="181">
        <f>SUM(P261:AB261)</f>
        <v/>
      </c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31" t="inlineStr">
        <is>
          <t>C</t>
        </is>
      </c>
    </row>
    <row r="262" customFormat="1" s="1">
      <c r="A262" s="234" t="n"/>
      <c r="B262" s="231" t="inlineStr">
        <is>
          <t>SKU-5AB8D10B</t>
        </is>
      </c>
      <c r="C262" s="231" t="inlineStr">
        <is>
          <t>是</t>
        </is>
      </c>
      <c r="D262" s="231" t="n">
        <v>8</v>
      </c>
      <c r="E262" s="231" t="inlineStr"/>
      <c r="F262" s="231" t="inlineStr">
        <is>
          <t>是</t>
        </is>
      </c>
      <c r="G262" s="231" t="inlineStr"/>
      <c r="H262" s="231" t="inlineStr"/>
      <c r="I262" s="231" t="inlineStr">
        <is>
          <t>是</t>
        </is>
      </c>
      <c r="J262" s="27" t="inlineStr"/>
      <c r="K262" s="27" t="inlineStr"/>
      <c r="L262" s="231" t="n">
        <v>100</v>
      </c>
      <c r="M262" s="19" t="inlineStr">
        <is>
          <t>Product-F8810BC1</t>
        </is>
      </c>
      <c r="N262" s="231" t="n">
        <v>1</v>
      </c>
      <c r="O262" s="181">
        <f>SUM(P262:AB262)</f>
        <v/>
      </c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31" t="inlineStr">
        <is>
          <t>C</t>
        </is>
      </c>
    </row>
    <row r="263" customFormat="1" s="1">
      <c r="A263" s="234" t="n"/>
      <c r="B263" s="231" t="inlineStr">
        <is>
          <t>SKU-0844DF49</t>
        </is>
      </c>
      <c r="C263" s="231" t="inlineStr">
        <is>
          <t>是</t>
        </is>
      </c>
      <c r="D263" s="231" t="n">
        <v>8</v>
      </c>
      <c r="E263" s="231" t="inlineStr"/>
      <c r="F263" s="231" t="inlineStr">
        <is>
          <t>是</t>
        </is>
      </c>
      <c r="G263" s="231" t="inlineStr"/>
      <c r="H263" s="231" t="inlineStr"/>
      <c r="I263" s="231" t="inlineStr">
        <is>
          <t>是</t>
        </is>
      </c>
      <c r="J263" s="27" t="inlineStr"/>
      <c r="K263" s="27" t="inlineStr"/>
      <c r="L263" s="231" t="n">
        <v>100</v>
      </c>
      <c r="M263" s="45" t="inlineStr">
        <is>
          <t>Product-FD260469</t>
        </is>
      </c>
      <c r="N263" s="231" t="n">
        <v>1</v>
      </c>
      <c r="O263" s="181">
        <f>SUM(P263:AB263)</f>
        <v/>
      </c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31" t="n"/>
    </row>
    <row r="264" customFormat="1" s="1">
      <c r="A264" s="234" t="n"/>
      <c r="B264" s="231" t="inlineStr">
        <is>
          <t>SKU-FA2AEC54</t>
        </is>
      </c>
      <c r="C264" s="231" t="inlineStr">
        <is>
          <t>是</t>
        </is>
      </c>
      <c r="D264" s="231" t="n">
        <v>10</v>
      </c>
      <c r="E264" s="231" t="inlineStr"/>
      <c r="F264" s="231" t="inlineStr">
        <is>
          <t>是</t>
        </is>
      </c>
      <c r="G264" s="231" t="inlineStr"/>
      <c r="H264" s="231" t="inlineStr">
        <is>
          <t>是</t>
        </is>
      </c>
      <c r="I264" s="231" t="inlineStr">
        <is>
          <t>是</t>
        </is>
      </c>
      <c r="J264" s="27" t="inlineStr"/>
      <c r="K264" s="27" t="inlineStr"/>
      <c r="L264" s="231" t="n">
        <v>100</v>
      </c>
      <c r="M264" s="45" t="inlineStr">
        <is>
          <t>Product-58C688E6</t>
        </is>
      </c>
      <c r="N264" s="231" t="n">
        <v>1</v>
      </c>
      <c r="O264" s="181">
        <f>SUM(P264:AB264)</f>
        <v/>
      </c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31" t="n"/>
    </row>
    <row r="265" customFormat="1" s="1">
      <c r="A265" s="234" t="n"/>
      <c r="B265" s="231" t="inlineStr">
        <is>
          <t>SKU-CE79E55C</t>
        </is>
      </c>
      <c r="C265" s="231" t="inlineStr">
        <is>
          <t>是</t>
        </is>
      </c>
      <c r="D265" s="231" t="n">
        <v>11</v>
      </c>
      <c r="E265" s="231" t="inlineStr"/>
      <c r="F265" s="231" t="inlineStr"/>
      <c r="G265" s="231" t="inlineStr"/>
      <c r="H265" s="231" t="inlineStr"/>
      <c r="I265" s="231" t="inlineStr"/>
      <c r="J265" s="27" t="inlineStr"/>
      <c r="K265" s="27" t="inlineStr"/>
      <c r="L265" s="231" t="n">
        <v>100</v>
      </c>
      <c r="M265" s="19" t="inlineStr">
        <is>
          <t>Product-7BC6A9A2</t>
        </is>
      </c>
      <c r="N265" s="231" t="n">
        <v>3</v>
      </c>
      <c r="O265" s="181">
        <f>SUM(P265:AB265)</f>
        <v/>
      </c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31" t="n"/>
    </row>
    <row r="266" customFormat="1" s="1">
      <c r="A266" s="234" t="n"/>
      <c r="B266" s="231" t="inlineStr">
        <is>
          <t>SKU-D2BFADDA</t>
        </is>
      </c>
      <c r="C266" s="231" t="inlineStr">
        <is>
          <t>是</t>
        </is>
      </c>
      <c r="D266" s="231" t="n">
        <v>10</v>
      </c>
      <c r="E266" s="231" t="inlineStr"/>
      <c r="F266" s="231" t="inlineStr"/>
      <c r="G266" s="231" t="inlineStr"/>
      <c r="H266" s="231" t="inlineStr"/>
      <c r="I266" s="231" t="inlineStr"/>
      <c r="J266" s="27" t="inlineStr"/>
      <c r="K266" s="27" t="inlineStr"/>
      <c r="L266" s="231" t="n">
        <v>100</v>
      </c>
      <c r="M266" s="45" t="inlineStr">
        <is>
          <t>Product-ED8E1657</t>
        </is>
      </c>
      <c r="N266" s="231" t="n">
        <v>3</v>
      </c>
      <c r="O266" s="181">
        <f>SUM(P266:AB266)</f>
        <v/>
      </c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31" t="n"/>
    </row>
    <row r="267" customFormat="1" s="1">
      <c r="A267" s="234" t="n"/>
      <c r="B267" s="231" t="inlineStr">
        <is>
          <t>SKU-F85BCB9C</t>
        </is>
      </c>
      <c r="C267" s="231" t="inlineStr">
        <is>
          <t>是</t>
        </is>
      </c>
      <c r="D267" s="231" t="n">
        <v>10</v>
      </c>
      <c r="E267" s="231" t="inlineStr"/>
      <c r="F267" s="231" t="inlineStr"/>
      <c r="G267" s="231" t="inlineStr"/>
      <c r="H267" s="231" t="inlineStr"/>
      <c r="I267" s="231" t="inlineStr"/>
      <c r="J267" s="27" t="inlineStr"/>
      <c r="K267" s="27" t="inlineStr"/>
      <c r="L267" s="231" t="n">
        <v>100</v>
      </c>
      <c r="M267" s="19" t="inlineStr">
        <is>
          <t>Product-67B87425</t>
        </is>
      </c>
      <c r="N267" s="231" t="n">
        <v>3</v>
      </c>
      <c r="O267" s="181">
        <f>SUM(P267:AB267)</f>
        <v/>
      </c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31" t="n"/>
    </row>
    <row r="268" customFormat="1" s="1">
      <c r="A268" s="234" t="n"/>
      <c r="B268" s="231" t="inlineStr">
        <is>
          <t>SKU-6050A986</t>
        </is>
      </c>
      <c r="C268" s="231" t="inlineStr">
        <is>
          <t>是</t>
        </is>
      </c>
      <c r="D268" s="231" t="n">
        <v>10</v>
      </c>
      <c r="E268" s="231" t="inlineStr"/>
      <c r="F268" s="231" t="inlineStr"/>
      <c r="G268" s="231" t="inlineStr"/>
      <c r="H268" s="231" t="inlineStr"/>
      <c r="I268" s="231" t="inlineStr"/>
      <c r="J268" s="27" t="inlineStr"/>
      <c r="K268" s="27" t="inlineStr"/>
      <c r="L268" s="231" t="n">
        <v>100</v>
      </c>
      <c r="M268" s="44" t="inlineStr">
        <is>
          <t>Product-63107D32</t>
        </is>
      </c>
      <c r="N268" s="231" t="n">
        <v>3</v>
      </c>
      <c r="O268" s="181">
        <f>SUM(P268:AB268)</f>
        <v/>
      </c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31" t="n"/>
    </row>
    <row r="269" customFormat="1" s="1">
      <c r="A269" s="234" t="n"/>
      <c r="B269" s="231" t="inlineStr">
        <is>
          <t>SKU-B07AA582</t>
        </is>
      </c>
      <c r="C269" s="231" t="inlineStr">
        <is>
          <t>是</t>
        </is>
      </c>
      <c r="D269" s="231" t="n">
        <v>8</v>
      </c>
      <c r="E269" s="231" t="inlineStr">
        <is>
          <t>是</t>
        </is>
      </c>
      <c r="F269" s="231" t="inlineStr"/>
      <c r="G269" s="231" t="inlineStr"/>
      <c r="H269" s="231" t="inlineStr"/>
      <c r="I269" s="231" t="inlineStr">
        <is>
          <t>是</t>
        </is>
      </c>
      <c r="J269" s="27" t="inlineStr"/>
      <c r="K269" s="27" t="inlineStr"/>
      <c r="L269" s="231" t="n">
        <v>100</v>
      </c>
      <c r="M269" s="44" t="inlineStr">
        <is>
          <t>Product-D6058228</t>
        </is>
      </c>
      <c r="N269" s="231" t="n">
        <v>2</v>
      </c>
      <c r="O269" s="181">
        <f>SUM(P269:AB269)</f>
        <v/>
      </c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31" t="inlineStr">
        <is>
          <t>C</t>
        </is>
      </c>
    </row>
    <row r="270" customFormat="1" s="1">
      <c r="A270" s="234" t="n"/>
      <c r="B270" s="231" t="inlineStr">
        <is>
          <t>SKU-39C37C74</t>
        </is>
      </c>
      <c r="C270" s="231" t="inlineStr">
        <is>
          <t>是</t>
        </is>
      </c>
      <c r="D270" s="231" t="n">
        <v>10</v>
      </c>
      <c r="E270" s="231" t="inlineStr"/>
      <c r="F270" s="231" t="inlineStr"/>
      <c r="G270" s="231" t="inlineStr"/>
      <c r="H270" s="231" t="inlineStr"/>
      <c r="I270" s="231" t="inlineStr"/>
      <c r="J270" s="27" t="inlineStr"/>
      <c r="K270" s="27" t="inlineStr"/>
      <c r="L270" s="231" t="n">
        <v>100</v>
      </c>
      <c r="M270" s="19" t="inlineStr">
        <is>
          <t>Product-BF80D349</t>
        </is>
      </c>
      <c r="N270" s="231" t="n">
        <v>3</v>
      </c>
      <c r="O270" s="181">
        <f>SUM(P270:AB270)</f>
        <v/>
      </c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31" t="n"/>
    </row>
    <row r="271" customFormat="1" s="1">
      <c r="A271" s="234" t="n"/>
      <c r="B271" s="231" t="inlineStr">
        <is>
          <t>SKU-5D83BF57</t>
        </is>
      </c>
      <c r="C271" s="231" t="inlineStr">
        <is>
          <t>是</t>
        </is>
      </c>
      <c r="D271" s="231" t="n">
        <v>7</v>
      </c>
      <c r="E271" s="231" t="inlineStr">
        <is>
          <t>是</t>
        </is>
      </c>
      <c r="F271" s="231" t="inlineStr"/>
      <c r="G271" s="231" t="inlineStr"/>
      <c r="H271" s="231" t="inlineStr"/>
      <c r="I271" s="231" t="inlineStr">
        <is>
          <t>是</t>
        </is>
      </c>
      <c r="J271" s="27" t="inlineStr"/>
      <c r="K271" s="27" t="inlineStr"/>
      <c r="L271" s="231" t="n">
        <v>100</v>
      </c>
      <c r="M271" s="45" t="inlineStr">
        <is>
          <t>Product-D6058228</t>
        </is>
      </c>
      <c r="N271" s="231" t="n">
        <v>2</v>
      </c>
      <c r="O271" s="181">
        <f>SUM(P271:AB271)</f>
        <v/>
      </c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31" t="n"/>
    </row>
    <row r="272" customFormat="1" s="1">
      <c r="A272" s="234" t="n"/>
      <c r="B272" s="231" t="inlineStr">
        <is>
          <t>SKU-D47538E8</t>
        </is>
      </c>
      <c r="C272" s="231" t="inlineStr">
        <is>
          <t>是</t>
        </is>
      </c>
      <c r="D272" s="231" t="n">
        <v>10</v>
      </c>
      <c r="E272" s="231" t="inlineStr"/>
      <c r="F272" s="231" t="inlineStr"/>
      <c r="G272" s="231" t="inlineStr"/>
      <c r="H272" s="231" t="inlineStr"/>
      <c r="I272" s="231" t="inlineStr"/>
      <c r="J272" s="27" t="inlineStr"/>
      <c r="K272" s="27" t="inlineStr"/>
      <c r="L272" s="231" t="n">
        <v>100</v>
      </c>
      <c r="M272" s="19" t="inlineStr">
        <is>
          <t>Product-3AB43197</t>
        </is>
      </c>
      <c r="N272" s="231" t="n">
        <v>1</v>
      </c>
      <c r="O272" s="181">
        <f>SUM(P272:AB272)</f>
        <v/>
      </c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31" t="n"/>
    </row>
    <row r="273" customFormat="1" s="1">
      <c r="A273" s="234" t="n"/>
      <c r="B273" s="231" t="inlineStr">
        <is>
          <t>SKU-242CDE35</t>
        </is>
      </c>
      <c r="C273" s="231" t="inlineStr">
        <is>
          <t>是</t>
        </is>
      </c>
      <c r="D273" s="231" t="n">
        <v>11</v>
      </c>
      <c r="E273" s="231" t="inlineStr"/>
      <c r="F273" s="231" t="inlineStr"/>
      <c r="G273" s="231" t="inlineStr"/>
      <c r="H273" s="231" t="inlineStr"/>
      <c r="I273" s="231" t="inlineStr"/>
      <c r="J273" s="27" t="inlineStr">
        <is>
          <t>共</t>
        </is>
      </c>
      <c r="K273" s="27" t="inlineStr"/>
      <c r="L273" s="231" t="n">
        <v>100</v>
      </c>
      <c r="M273" s="19" t="inlineStr">
        <is>
          <t>Product-0679DC24</t>
        </is>
      </c>
      <c r="N273" s="231" t="n">
        <v>1</v>
      </c>
      <c r="O273" s="181">
        <f>SUM(P273:AB273)</f>
        <v/>
      </c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31" t="n"/>
    </row>
    <row r="274" customFormat="1" s="1">
      <c r="A274" s="234" t="n"/>
      <c r="B274" s="231" t="inlineStr">
        <is>
          <t>SKU-DE68B12E</t>
        </is>
      </c>
      <c r="C274" s="231" t="inlineStr">
        <is>
          <t>是</t>
        </is>
      </c>
      <c r="D274" s="231" t="n">
        <v>8</v>
      </c>
      <c r="E274" s="231" t="inlineStr">
        <is>
          <t>是</t>
        </is>
      </c>
      <c r="F274" s="231" t="inlineStr"/>
      <c r="G274" s="231" t="inlineStr"/>
      <c r="H274" s="231" t="inlineStr"/>
      <c r="I274" s="231" t="inlineStr">
        <is>
          <t>是</t>
        </is>
      </c>
      <c r="J274" s="27" t="inlineStr"/>
      <c r="K274" s="27" t="inlineStr"/>
      <c r="L274" s="231" t="n">
        <v>100</v>
      </c>
      <c r="M274" s="19" t="inlineStr">
        <is>
          <t>Product-C50F24AE</t>
        </is>
      </c>
      <c r="N274" s="231" t="n">
        <v>1</v>
      </c>
      <c r="O274" s="181">
        <f>SUM(P274:AB274)</f>
        <v/>
      </c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31" t="inlineStr">
        <is>
          <t>C</t>
        </is>
      </c>
    </row>
    <row r="275" customFormat="1" s="1">
      <c r="A275" s="234" t="n"/>
      <c r="B275" s="231" t="inlineStr">
        <is>
          <t>SKU-51DE8DA7</t>
        </is>
      </c>
      <c r="C275" s="231" t="inlineStr">
        <is>
          <t>是</t>
        </is>
      </c>
      <c r="D275" s="231" t="n">
        <v>10</v>
      </c>
      <c r="E275" s="231" t="inlineStr"/>
      <c r="F275" s="231" t="inlineStr"/>
      <c r="G275" s="231" t="inlineStr"/>
      <c r="H275" s="231" t="inlineStr"/>
      <c r="I275" s="231" t="inlineStr"/>
      <c r="J275" s="27" t="inlineStr"/>
      <c r="K275" s="27" t="inlineStr"/>
      <c r="L275" s="231" t="n">
        <v>100</v>
      </c>
      <c r="M275" s="44" t="inlineStr">
        <is>
          <t>Product-A356EADC</t>
        </is>
      </c>
      <c r="N275" s="231" t="n">
        <v>1</v>
      </c>
      <c r="O275" s="181">
        <f>SUM(P275:AB275)</f>
        <v/>
      </c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31" t="n"/>
    </row>
    <row r="276" customFormat="1" s="1">
      <c r="A276" s="234" t="n"/>
      <c r="B276" s="231" t="inlineStr">
        <is>
          <t>SKU-B2655403</t>
        </is>
      </c>
      <c r="C276" s="231" t="inlineStr">
        <is>
          <t>是</t>
        </is>
      </c>
      <c r="D276" s="231" t="n">
        <v>8</v>
      </c>
      <c r="E276" s="231" t="inlineStr">
        <is>
          <t>是</t>
        </is>
      </c>
      <c r="F276" s="231" t="inlineStr"/>
      <c r="G276" s="231" t="inlineStr"/>
      <c r="H276" s="231" t="inlineStr">
        <is>
          <t>是</t>
        </is>
      </c>
      <c r="I276" s="231" t="inlineStr">
        <is>
          <t>是</t>
        </is>
      </c>
      <c r="J276" s="27" t="inlineStr"/>
      <c r="K276" s="27" t="inlineStr"/>
      <c r="L276" s="231" t="n">
        <v>100</v>
      </c>
      <c r="M276" s="43" t="inlineStr">
        <is>
          <t>Product-D9E7BC64</t>
        </is>
      </c>
      <c r="N276" s="231" t="n">
        <v>1</v>
      </c>
      <c r="O276" s="181">
        <f>SUM(P276:AB276)</f>
        <v/>
      </c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31" t="inlineStr">
        <is>
          <t>C</t>
        </is>
      </c>
    </row>
    <row r="277" customFormat="1" s="1">
      <c r="A277" s="234" t="n"/>
      <c r="B277" s="231" t="inlineStr">
        <is>
          <t>SKU-560D7D3A</t>
        </is>
      </c>
      <c r="C277" s="231" t="inlineStr">
        <is>
          <t>是</t>
        </is>
      </c>
      <c r="D277" s="231" t="n">
        <v>9</v>
      </c>
      <c r="E277" s="231" t="inlineStr"/>
      <c r="F277" s="231" t="inlineStr">
        <is>
          <t>是</t>
        </is>
      </c>
      <c r="G277" s="231" t="inlineStr"/>
      <c r="H277" s="231" t="inlineStr"/>
      <c r="I277" s="231" t="inlineStr">
        <is>
          <t>是</t>
        </is>
      </c>
      <c r="J277" s="27" t="inlineStr"/>
      <c r="K277" s="27" t="inlineStr"/>
      <c r="L277" s="231" t="n">
        <v>100</v>
      </c>
      <c r="M277" s="19" t="inlineStr">
        <is>
          <t>Product-1ACD7A4E</t>
        </is>
      </c>
      <c r="N277" s="231" t="n">
        <v>1</v>
      </c>
      <c r="O277" s="181">
        <f>SUM(P277:AB277)</f>
        <v/>
      </c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31" t="inlineStr">
        <is>
          <t>C</t>
        </is>
      </c>
    </row>
    <row r="278" customFormat="1" s="1">
      <c r="A278" s="234" t="n"/>
      <c r="B278" s="231" t="inlineStr">
        <is>
          <t>SKU-58CC7CB1</t>
        </is>
      </c>
      <c r="C278" s="231" t="inlineStr">
        <is>
          <t>是</t>
        </is>
      </c>
      <c r="D278" s="231" t="n">
        <v>8</v>
      </c>
      <c r="E278" s="231" t="inlineStr"/>
      <c r="F278" s="231" t="inlineStr">
        <is>
          <t>是</t>
        </is>
      </c>
      <c r="G278" s="231" t="inlineStr"/>
      <c r="H278" s="231" t="inlineStr"/>
      <c r="I278" s="231" t="inlineStr">
        <is>
          <t>是</t>
        </is>
      </c>
      <c r="J278" s="27" t="inlineStr"/>
      <c r="K278" s="27" t="inlineStr"/>
      <c r="L278" s="231" t="n">
        <v>100</v>
      </c>
      <c r="M278" s="19" t="inlineStr">
        <is>
          <t>Product-9C70330A</t>
        </is>
      </c>
      <c r="N278" s="231" t="n">
        <v>1</v>
      </c>
      <c r="O278" s="181">
        <f>SUM(P278:AB278)</f>
        <v/>
      </c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31" t="inlineStr">
        <is>
          <t>C</t>
        </is>
      </c>
    </row>
    <row r="279" customFormat="1" s="1">
      <c r="A279" s="234" t="n"/>
      <c r="B279" s="231" t="inlineStr">
        <is>
          <t>SKU-3267BBE9</t>
        </is>
      </c>
      <c r="C279" s="231" t="inlineStr">
        <is>
          <t>是</t>
        </is>
      </c>
      <c r="D279" s="231" t="n">
        <v>8</v>
      </c>
      <c r="E279" s="231" t="inlineStr">
        <is>
          <t>是</t>
        </is>
      </c>
      <c r="F279" s="231" t="inlineStr"/>
      <c r="G279" s="231" t="inlineStr"/>
      <c r="H279" s="231" t="inlineStr"/>
      <c r="I279" s="231" t="inlineStr">
        <is>
          <t>是</t>
        </is>
      </c>
      <c r="J279" s="27" t="inlineStr">
        <is>
          <t>共</t>
        </is>
      </c>
      <c r="K279" s="27" t="inlineStr"/>
      <c r="L279" s="231" t="n">
        <v>100</v>
      </c>
      <c r="M279" s="19" t="inlineStr">
        <is>
          <t>Product-0D2637FC</t>
        </is>
      </c>
      <c r="N279" s="231" t="n">
        <v>1</v>
      </c>
      <c r="O279" s="181">
        <f>SUM(P279:AB279)</f>
        <v/>
      </c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31" t="inlineStr">
        <is>
          <t>C</t>
        </is>
      </c>
    </row>
    <row r="280" customFormat="1" s="1">
      <c r="A280" s="234" t="n"/>
      <c r="B280" s="231" t="inlineStr">
        <is>
          <t>SKU-AA71A4AF</t>
        </is>
      </c>
      <c r="C280" s="231" t="inlineStr">
        <is>
          <t>是</t>
        </is>
      </c>
      <c r="D280" s="231" t="n">
        <v>10</v>
      </c>
      <c r="E280" s="231" t="inlineStr"/>
      <c r="F280" s="231" t="inlineStr"/>
      <c r="G280" s="231" t="inlineStr"/>
      <c r="H280" s="231" t="inlineStr"/>
      <c r="I280" s="231" t="inlineStr"/>
      <c r="J280" s="27" t="inlineStr"/>
      <c r="K280" s="27" t="inlineStr"/>
      <c r="L280" s="231" t="n">
        <v>100</v>
      </c>
      <c r="M280" s="19" t="inlineStr">
        <is>
          <t>Product-190D85FA</t>
        </is>
      </c>
      <c r="N280" s="231" t="n">
        <v>3</v>
      </c>
      <c r="O280" s="181">
        <f>SUM(P280:AB280)</f>
        <v/>
      </c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31" t="n"/>
    </row>
    <row r="281" customFormat="1" s="1">
      <c r="A281" s="234" t="n"/>
      <c r="B281" s="231" t="inlineStr">
        <is>
          <t>SKU-C9A37CA3</t>
        </is>
      </c>
      <c r="C281" s="231" t="inlineStr">
        <is>
          <t>是</t>
        </is>
      </c>
      <c r="D281" s="231" t="n">
        <v>11</v>
      </c>
      <c r="E281" s="231" t="inlineStr"/>
      <c r="F281" s="231" t="inlineStr"/>
      <c r="G281" s="231" t="inlineStr"/>
      <c r="H281" s="231" t="inlineStr"/>
      <c r="I281" s="231" t="inlineStr"/>
      <c r="J281" s="27" t="inlineStr"/>
      <c r="K281" s="27" t="inlineStr"/>
      <c r="L281" s="231" t="n">
        <v>100</v>
      </c>
      <c r="M281" s="43" t="inlineStr">
        <is>
          <t>Product-8E1B07F9</t>
        </is>
      </c>
      <c r="N281" s="231" t="n">
        <v>3</v>
      </c>
      <c r="O281" s="181">
        <f>SUM(P281:AB281)</f>
        <v/>
      </c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31" t="n"/>
    </row>
    <row r="282" customFormat="1" s="1">
      <c r="A282" s="235" t="n"/>
      <c r="B282" s="80" t="n"/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40" t="n"/>
    </row>
    <row r="283" customFormat="1" s="1">
      <c r="A283" s="25" t="inlineStr">
        <is>
          <t>陕西</t>
        </is>
      </c>
      <c r="B283" s="231" t="inlineStr">
        <is>
          <t>SKU-63BD75F8</t>
        </is>
      </c>
      <c r="C283" s="231" t="inlineStr">
        <is>
          <t>是</t>
        </is>
      </c>
      <c r="D283" s="231" t="n">
        <v>7</v>
      </c>
      <c r="E283" s="231" t="inlineStr">
        <is>
          <t>是</t>
        </is>
      </c>
      <c r="F283" s="231" t="inlineStr"/>
      <c r="G283" s="231" t="inlineStr"/>
      <c r="H283" s="231" t="inlineStr"/>
      <c r="I283" s="231" t="inlineStr">
        <is>
          <t>是</t>
        </is>
      </c>
      <c r="J283" s="27" t="inlineStr"/>
      <c r="K283" s="27" t="inlineStr"/>
      <c r="L283" s="231" t="n">
        <v>100</v>
      </c>
      <c r="M283" s="19" t="inlineStr">
        <is>
          <t>Product-17474100</t>
        </is>
      </c>
      <c r="N283" s="231" t="n">
        <v>2</v>
      </c>
      <c r="O283" s="181">
        <f>SUM(P283:AB283)</f>
        <v/>
      </c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31" t="inlineStr">
        <is>
          <t>C</t>
        </is>
      </c>
    </row>
    <row r="284" customFormat="1" s="1">
      <c r="A284" s="234" t="n"/>
      <c r="B284" s="231" t="inlineStr">
        <is>
          <t>SKU-45A85F68</t>
        </is>
      </c>
      <c r="C284" s="231" t="inlineStr">
        <is>
          <t>是</t>
        </is>
      </c>
      <c r="D284" s="231" t="n">
        <v>10</v>
      </c>
      <c r="E284" s="231" t="inlineStr"/>
      <c r="F284" s="231" t="inlineStr">
        <is>
          <t>是</t>
        </is>
      </c>
      <c r="G284" s="231" t="inlineStr"/>
      <c r="H284" s="231" t="inlineStr"/>
      <c r="I284" s="231" t="inlineStr">
        <is>
          <t>是</t>
        </is>
      </c>
      <c r="J284" s="27" t="inlineStr">
        <is>
          <t>共</t>
        </is>
      </c>
      <c r="K284" s="27" t="inlineStr"/>
      <c r="L284" s="231" t="n">
        <v>100</v>
      </c>
      <c r="M284" s="19" t="inlineStr">
        <is>
          <t>Product-9701A12C</t>
        </is>
      </c>
      <c r="N284" s="231" t="n">
        <v>1</v>
      </c>
      <c r="O284" s="181">
        <f>SUM(P284:AB284)</f>
        <v/>
      </c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31" t="inlineStr">
        <is>
          <t>C</t>
        </is>
      </c>
    </row>
    <row r="285" customFormat="1" s="1">
      <c r="A285" s="234" t="n"/>
      <c r="B285" s="231" t="inlineStr">
        <is>
          <t>SKU-1BB078B2</t>
        </is>
      </c>
      <c r="C285" s="231" t="inlineStr">
        <is>
          <t>是</t>
        </is>
      </c>
      <c r="D285" s="231" t="n">
        <v>10</v>
      </c>
      <c r="E285" s="231" t="inlineStr"/>
      <c r="F285" s="231" t="inlineStr"/>
      <c r="G285" s="231" t="inlineStr"/>
      <c r="H285" s="231" t="inlineStr">
        <is>
          <t>是</t>
        </is>
      </c>
      <c r="I285" s="231" t="inlineStr">
        <is>
          <t>是</t>
        </is>
      </c>
      <c r="J285" s="27" t="inlineStr"/>
      <c r="K285" s="27" t="inlineStr"/>
      <c r="L285" s="231" t="n">
        <v>100</v>
      </c>
      <c r="M285" s="19" t="inlineStr">
        <is>
          <t>Product-1AC91157</t>
        </is>
      </c>
      <c r="N285" s="231" t="n">
        <v>1</v>
      </c>
      <c r="O285" s="181">
        <f>SUM(P285:AB285)</f>
        <v/>
      </c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31" t="inlineStr">
        <is>
          <t>C</t>
        </is>
      </c>
    </row>
    <row r="286" customFormat="1" s="1">
      <c r="A286" s="235" t="n"/>
      <c r="B286" s="80" t="n"/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40" t="n"/>
    </row>
    <row r="287" customFormat="1" s="1">
      <c r="A287" s="60" t="inlineStr">
        <is>
          <t>菲莫</t>
        </is>
      </c>
      <c r="B287" s="231" t="inlineStr">
        <is>
          <t>SKU-8118963E</t>
        </is>
      </c>
      <c r="C287" s="231" t="inlineStr"/>
      <c r="D287" s="231" t="n">
        <v>10</v>
      </c>
      <c r="E287" s="231" t="inlineStr"/>
      <c r="F287" s="231" t="inlineStr"/>
      <c r="G287" s="231" t="inlineStr"/>
      <c r="H287" s="231" t="inlineStr"/>
      <c r="I287" s="231" t="inlineStr"/>
      <c r="J287" s="27" t="inlineStr"/>
      <c r="K287" s="27" t="inlineStr"/>
      <c r="L287" s="231" t="n">
        <v>100</v>
      </c>
      <c r="M287" s="19" t="inlineStr">
        <is>
          <t>Product-8818E616</t>
        </is>
      </c>
      <c r="N287" s="231" t="n">
        <v>2</v>
      </c>
      <c r="O287" s="181">
        <f>SUM(P287:AB287)</f>
        <v/>
      </c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31" t="inlineStr">
        <is>
          <t>C</t>
        </is>
      </c>
    </row>
    <row r="288" customFormat="1" s="1">
      <c r="A288" s="234" t="n"/>
      <c r="B288" s="231" t="inlineStr">
        <is>
          <t>SKU-3A21B87C</t>
        </is>
      </c>
      <c r="C288" s="231" t="inlineStr"/>
      <c r="D288" s="231" t="n">
        <v>10</v>
      </c>
      <c r="E288" s="231" t="inlineStr"/>
      <c r="F288" s="231" t="inlineStr"/>
      <c r="G288" s="231" t="inlineStr"/>
      <c r="H288" s="231" t="inlineStr"/>
      <c r="I288" s="231" t="inlineStr"/>
      <c r="J288" s="27" t="inlineStr"/>
      <c r="K288" s="27" t="inlineStr"/>
      <c r="L288" s="231" t="n">
        <v>100</v>
      </c>
      <c r="M288" s="19" t="inlineStr">
        <is>
          <t>Product-6BF10868</t>
        </is>
      </c>
      <c r="N288" s="231" t="n">
        <v>1</v>
      </c>
      <c r="O288" s="181">
        <f>SUM(P288:AB288)</f>
        <v/>
      </c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31" t="inlineStr">
        <is>
          <t>C</t>
        </is>
      </c>
    </row>
    <row r="289" customFormat="1" s="1">
      <c r="A289" s="234" t="n"/>
      <c r="B289" s="231" t="inlineStr">
        <is>
          <t>SKU-4673CF27</t>
        </is>
      </c>
      <c r="C289" s="231" t="inlineStr"/>
      <c r="D289" s="231" t="n">
        <v>8</v>
      </c>
      <c r="E289" s="231" t="inlineStr"/>
      <c r="F289" s="231" t="inlineStr"/>
      <c r="G289" s="231" t="inlineStr"/>
      <c r="H289" s="231" t="inlineStr">
        <is>
          <t>是</t>
        </is>
      </c>
      <c r="I289" s="231" t="inlineStr">
        <is>
          <t>是</t>
        </is>
      </c>
      <c r="J289" s="27" t="inlineStr"/>
      <c r="K289" s="27" t="inlineStr"/>
      <c r="L289" s="231" t="n">
        <v>100</v>
      </c>
      <c r="M289" s="59" t="inlineStr">
        <is>
          <t>Product-1B473E88</t>
        </is>
      </c>
      <c r="N289" s="231" t="n">
        <v>1</v>
      </c>
      <c r="O289" s="181">
        <f>SUM(P289:AB289)</f>
        <v/>
      </c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31" t="inlineStr">
        <is>
          <t>C</t>
        </is>
      </c>
    </row>
    <row r="290" customFormat="1" s="1">
      <c r="A290" s="235" t="n"/>
      <c r="B290" s="80" t="n"/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40" t="n"/>
    </row>
    <row r="291" ht="14.75" customFormat="1" customHeight="1" s="1">
      <c r="A291" s="61" t="n"/>
      <c r="B291" s="94" t="n"/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68" t="n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4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31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31" t="inlineStr">
        <is>
          <t>C</t>
        </is>
      </c>
    </row>
    <row r="296" customFormat="1" s="1">
      <c r="A296" s="234" t="n"/>
      <c r="B296" s="231" t="inlineStr">
        <is>
          <t>SKU-6F3D6830</t>
        </is>
      </c>
      <c r="C296" s="231" t="inlineStr"/>
      <c r="D296" s="231" t="n">
        <v>11</v>
      </c>
      <c r="E296" s="231" t="inlineStr"/>
      <c r="F296" s="231" t="inlineStr"/>
      <c r="G296" s="231" t="inlineStr"/>
      <c r="H296" s="231" t="inlineStr"/>
      <c r="I296" s="231" t="inlineStr"/>
      <c r="J296" s="27" t="inlineStr"/>
      <c r="K296" s="27" t="inlineStr">
        <is>
          <t>是</t>
        </is>
      </c>
      <c r="L296" s="231" t="n">
        <v>100</v>
      </c>
      <c r="M296" s="44" t="inlineStr">
        <is>
          <t>Product-739BC315</t>
        </is>
      </c>
      <c r="N296" s="231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31" t="inlineStr">
        <is>
          <t>C</t>
        </is>
      </c>
    </row>
    <row r="297" customFormat="1" s="1">
      <c r="A297" s="234" t="n"/>
      <c r="B297" s="231" t="inlineStr">
        <is>
          <t>SKU-5ABCA7A6</t>
        </is>
      </c>
      <c r="C297" s="231" t="inlineStr"/>
      <c r="D297" s="231" t="n">
        <v>5</v>
      </c>
      <c r="E297" s="231" t="inlineStr">
        <is>
          <t>是</t>
        </is>
      </c>
      <c r="F297" s="231" t="inlineStr"/>
      <c r="G297" s="231" t="inlineStr"/>
      <c r="H297" s="231" t="inlineStr">
        <is>
          <t>是</t>
        </is>
      </c>
      <c r="I297" s="231" t="inlineStr"/>
      <c r="J297" s="27" t="inlineStr"/>
      <c r="K297" s="27" t="inlineStr">
        <is>
          <t>是</t>
        </is>
      </c>
      <c r="L297" s="231" t="n">
        <v>100</v>
      </c>
      <c r="M297" s="19" t="inlineStr">
        <is>
          <t>Product-4B89105C</t>
        </is>
      </c>
      <c r="N297" s="231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31" t="inlineStr">
        <is>
          <t>C</t>
        </is>
      </c>
    </row>
    <row r="298" customFormat="1" s="1">
      <c r="A298" s="234" t="n"/>
      <c r="B298" s="231" t="inlineStr">
        <is>
          <t>SKU-11ADC9CE</t>
        </is>
      </c>
      <c r="C298" s="231" t="inlineStr"/>
      <c r="D298" s="231" t="n">
        <v>11</v>
      </c>
      <c r="E298" s="231" t="inlineStr"/>
      <c r="F298" s="231" t="inlineStr"/>
      <c r="G298" s="231" t="inlineStr"/>
      <c r="H298" s="231" t="inlineStr"/>
      <c r="I298" s="231" t="inlineStr"/>
      <c r="J298" s="27" t="inlineStr"/>
      <c r="K298" s="27" t="inlineStr">
        <is>
          <t>是</t>
        </is>
      </c>
      <c r="L298" s="231" t="n">
        <v>100</v>
      </c>
      <c r="M298" s="19" t="inlineStr">
        <is>
          <t>Product-21261DDB</t>
        </is>
      </c>
      <c r="N298" s="231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31" t="n"/>
    </row>
    <row r="299" customFormat="1" s="1">
      <c r="A299" s="234" t="n"/>
      <c r="B299" s="231" t="inlineStr">
        <is>
          <t>SKU-644F171E</t>
        </is>
      </c>
      <c r="C299" s="231" t="inlineStr"/>
      <c r="D299" s="231" t="n">
        <v>9</v>
      </c>
      <c r="E299" s="231" t="inlineStr"/>
      <c r="F299" s="231" t="inlineStr"/>
      <c r="G299" s="231" t="inlineStr"/>
      <c r="H299" s="231" t="inlineStr">
        <is>
          <t>是</t>
        </is>
      </c>
      <c r="I299" s="231" t="inlineStr"/>
      <c r="J299" s="27" t="inlineStr"/>
      <c r="K299" s="27" t="inlineStr">
        <is>
          <t>是</t>
        </is>
      </c>
      <c r="L299" s="231" t="n">
        <v>100</v>
      </c>
      <c r="M299" s="19" t="inlineStr">
        <is>
          <t>Product-1BA50314</t>
        </is>
      </c>
      <c r="N299" s="231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31" t="inlineStr">
        <is>
          <t>C</t>
        </is>
      </c>
    </row>
    <row r="300" customFormat="1" s="1">
      <c r="A300" s="234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40" t="inlineStr">
        <is>
          <t>C</t>
        </is>
      </c>
    </row>
    <row r="301" customFormat="1" s="1">
      <c r="A301" s="234" t="n"/>
      <c r="B301" s="55" t="inlineStr">
        <is>
          <t>SKU-AEC97CC2</t>
        </is>
      </c>
      <c r="C301" s="231" t="inlineStr"/>
      <c r="D301" s="231" t="n">
        <v>4</v>
      </c>
      <c r="E301" s="231" t="inlineStr">
        <is>
          <t>是</t>
        </is>
      </c>
      <c r="F301" s="231" t="inlineStr"/>
      <c r="G301" s="231" t="inlineStr"/>
      <c r="H301" s="231" t="inlineStr"/>
      <c r="I301" s="231" t="inlineStr"/>
      <c r="J301" s="56" t="inlineStr"/>
      <c r="K301" s="56" t="inlineStr">
        <is>
          <t>是</t>
        </is>
      </c>
      <c r="L301" s="231" t="n">
        <v>100</v>
      </c>
      <c r="M301" s="77" t="inlineStr">
        <is>
          <t>Product-B78F5436</t>
        </is>
      </c>
      <c r="N301" s="231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57" t="inlineStr">
        <is>
          <t>C</t>
        </is>
      </c>
    </row>
    <row r="302" customFormat="1" s="1">
      <c r="A302" s="234" t="n"/>
      <c r="B302" s="55" t="inlineStr">
        <is>
          <t>SKU-472FCFCF</t>
        </is>
      </c>
      <c r="C302" s="231" t="inlineStr"/>
      <c r="D302" s="231" t="n">
        <v>1</v>
      </c>
      <c r="E302" s="231" t="inlineStr">
        <is>
          <t>是</t>
        </is>
      </c>
      <c r="F302" s="231" t="inlineStr"/>
      <c r="G302" s="231" t="inlineStr"/>
      <c r="H302" s="231" t="inlineStr">
        <is>
          <t>是</t>
        </is>
      </c>
      <c r="I302" s="231" t="inlineStr"/>
      <c r="J302" s="56" t="inlineStr"/>
      <c r="K302" s="56" t="inlineStr">
        <is>
          <t>是</t>
        </is>
      </c>
      <c r="L302" s="231" t="n">
        <v>100</v>
      </c>
      <c r="M302" s="77" t="inlineStr">
        <is>
          <t>Product-5367E8C9</t>
        </is>
      </c>
      <c r="N302" s="231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57" t="inlineStr">
        <is>
          <t>C</t>
        </is>
      </c>
    </row>
    <row r="303" customFormat="1" s="1">
      <c r="A303" s="234" t="n"/>
      <c r="B303" s="231" t="inlineStr">
        <is>
          <t>SKU-74226566</t>
        </is>
      </c>
      <c r="C303" s="231" t="inlineStr"/>
      <c r="D303" s="231" t="n">
        <v>1</v>
      </c>
      <c r="E303" s="231" t="inlineStr">
        <is>
          <t>是</t>
        </is>
      </c>
      <c r="F303" s="231" t="inlineStr"/>
      <c r="G303" s="231" t="inlineStr"/>
      <c r="H303" s="231" t="inlineStr"/>
      <c r="I303" s="231" t="inlineStr"/>
      <c r="J303" s="27" t="inlineStr"/>
      <c r="K303" s="27" t="inlineStr">
        <is>
          <t>是</t>
        </is>
      </c>
      <c r="L303" s="231" t="n">
        <v>100</v>
      </c>
      <c r="M303" s="19" t="inlineStr">
        <is>
          <t>Product-5CBC2173</t>
        </is>
      </c>
      <c r="N303" s="231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31" t="n"/>
    </row>
    <row r="304" customFormat="1" s="1">
      <c r="A304" s="234" t="n"/>
      <c r="B304" s="231" t="inlineStr">
        <is>
          <t>SKU-C8F1C563</t>
        </is>
      </c>
      <c r="C304" s="231" t="inlineStr"/>
      <c r="D304" s="231" t="n">
        <v>4</v>
      </c>
      <c r="E304" s="231" t="inlineStr">
        <is>
          <t>是</t>
        </is>
      </c>
      <c r="F304" s="231" t="inlineStr"/>
      <c r="G304" s="231" t="inlineStr"/>
      <c r="H304" s="231" t="inlineStr"/>
      <c r="I304" s="231" t="inlineStr"/>
      <c r="J304" s="27" t="inlineStr"/>
      <c r="K304" s="27" t="inlineStr">
        <is>
          <t>是</t>
        </is>
      </c>
      <c r="L304" s="231" t="n">
        <v>100</v>
      </c>
      <c r="M304" s="19" t="inlineStr">
        <is>
          <t>Product-CB94403F</t>
        </is>
      </c>
      <c r="N304" s="231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31" t="n"/>
    </row>
    <row r="305" customFormat="1" s="1">
      <c r="A305" s="234" t="n"/>
      <c r="B305" s="55" t="inlineStr">
        <is>
          <t>SKU-3612A067</t>
        </is>
      </c>
      <c r="C305" s="231" t="inlineStr"/>
      <c r="D305" s="231" t="n">
        <v>4</v>
      </c>
      <c r="E305" s="231" t="inlineStr"/>
      <c r="F305" s="231" t="inlineStr"/>
      <c r="G305" s="231" t="inlineStr"/>
      <c r="H305" s="231" t="inlineStr"/>
      <c r="I305" s="231" t="inlineStr"/>
      <c r="J305" s="56" t="inlineStr"/>
      <c r="K305" s="56" t="inlineStr">
        <is>
          <t>是</t>
        </is>
      </c>
      <c r="L305" s="231" t="n">
        <v>100</v>
      </c>
      <c r="M305" s="59" t="inlineStr">
        <is>
          <t>Product-00361644</t>
        </is>
      </c>
      <c r="N305" s="231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57" t="inlineStr">
        <is>
          <t>C</t>
        </is>
      </c>
    </row>
    <row r="306" customFormat="1" s="1">
      <c r="A306" s="234" t="n"/>
      <c r="B306" s="55" t="inlineStr">
        <is>
          <t>SKU-CBB84AFA</t>
        </is>
      </c>
      <c r="C306" s="231" t="inlineStr"/>
      <c r="D306" s="231" t="n">
        <v>7</v>
      </c>
      <c r="E306" s="231" t="inlineStr"/>
      <c r="F306" s="231" t="inlineStr"/>
      <c r="G306" s="231" t="inlineStr"/>
      <c r="H306" s="231" t="inlineStr"/>
      <c r="I306" s="231" t="inlineStr"/>
      <c r="J306" s="56" t="inlineStr"/>
      <c r="K306" s="56" t="inlineStr">
        <is>
          <t>是</t>
        </is>
      </c>
      <c r="L306" s="231" t="n">
        <v>100</v>
      </c>
      <c r="M306" s="44" t="inlineStr">
        <is>
          <t>Product-9FF98A5E</t>
        </is>
      </c>
      <c r="N306" s="231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57" t="inlineStr">
        <is>
          <t>C</t>
        </is>
      </c>
    </row>
    <row r="307" customFormat="1" s="1">
      <c r="A307" s="234" t="n"/>
      <c r="B307" s="231" t="inlineStr">
        <is>
          <t>SKU-64173031</t>
        </is>
      </c>
      <c r="C307" s="231" t="inlineStr"/>
      <c r="D307" s="231" t="n">
        <v>5</v>
      </c>
      <c r="E307" s="231" t="inlineStr"/>
      <c r="F307" s="231" t="inlineStr"/>
      <c r="G307" s="231" t="inlineStr"/>
      <c r="H307" s="231" t="inlineStr"/>
      <c r="I307" s="231" t="inlineStr"/>
      <c r="J307" s="56" t="inlineStr"/>
      <c r="K307" s="56" t="inlineStr">
        <is>
          <t>是</t>
        </is>
      </c>
      <c r="L307" s="231" t="n">
        <v>100</v>
      </c>
      <c r="M307" s="19" t="inlineStr">
        <is>
          <t>Product-CE4A3DBB</t>
        </is>
      </c>
      <c r="N307" s="231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57" t="inlineStr">
        <is>
          <t>C</t>
        </is>
      </c>
    </row>
    <row r="308" customFormat="1" s="1">
      <c r="A308" s="234" t="n"/>
      <c r="B308" s="55" t="inlineStr">
        <is>
          <t>SKU-79156780</t>
        </is>
      </c>
      <c r="C308" s="231" t="inlineStr"/>
      <c r="D308" s="231" t="n">
        <v>11</v>
      </c>
      <c r="E308" s="231" t="inlineStr"/>
      <c r="F308" s="231" t="inlineStr"/>
      <c r="G308" s="231" t="inlineStr"/>
      <c r="H308" s="231" t="inlineStr"/>
      <c r="I308" s="231" t="inlineStr"/>
      <c r="J308" s="56" t="inlineStr"/>
      <c r="K308" s="56" t="inlineStr">
        <is>
          <t>是</t>
        </is>
      </c>
      <c r="L308" s="231" t="n">
        <v>100</v>
      </c>
      <c r="M308" s="59" t="inlineStr">
        <is>
          <t>Product-D8310139</t>
        </is>
      </c>
      <c r="N308" s="231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57" t="inlineStr">
        <is>
          <t>C</t>
        </is>
      </c>
    </row>
    <row r="309" customFormat="1" s="1">
      <c r="A309" s="234" t="n"/>
      <c r="B309" s="55" t="inlineStr">
        <is>
          <t>SKU-5E2193C8</t>
        </is>
      </c>
      <c r="C309" s="231" t="inlineStr"/>
      <c r="D309" s="231" t="n">
        <v>11</v>
      </c>
      <c r="E309" s="231" t="inlineStr"/>
      <c r="F309" s="231" t="inlineStr"/>
      <c r="G309" s="231" t="inlineStr"/>
      <c r="H309" s="231" t="inlineStr"/>
      <c r="I309" s="231" t="inlineStr"/>
      <c r="J309" s="56" t="inlineStr"/>
      <c r="K309" s="56" t="inlineStr">
        <is>
          <t>是</t>
        </is>
      </c>
      <c r="L309" s="231" t="n">
        <v>100</v>
      </c>
      <c r="M309" s="59" t="inlineStr">
        <is>
          <t>Product-B1BCBBF1</t>
        </is>
      </c>
      <c r="N309" s="231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57" t="inlineStr">
        <is>
          <t>C</t>
        </is>
      </c>
    </row>
    <row r="310" customFormat="1" s="1">
      <c r="A310" s="234" t="n"/>
      <c r="B310" s="55" t="inlineStr">
        <is>
          <t>SKU-E0B7650A</t>
        </is>
      </c>
      <c r="C310" s="231" t="inlineStr"/>
      <c r="D310" s="231" t="n">
        <v>9</v>
      </c>
      <c r="E310" s="231" t="inlineStr"/>
      <c r="F310" s="231" t="inlineStr">
        <is>
          <t>是</t>
        </is>
      </c>
      <c r="G310" s="231" t="inlineStr"/>
      <c r="H310" s="231" t="inlineStr"/>
      <c r="I310" s="231" t="inlineStr"/>
      <c r="J310" s="56" t="inlineStr"/>
      <c r="K310" s="56" t="inlineStr">
        <is>
          <t>是</t>
        </is>
      </c>
      <c r="L310" s="231" t="n">
        <v>100</v>
      </c>
      <c r="M310" s="59" t="inlineStr">
        <is>
          <t>Product-6CE7F780</t>
        </is>
      </c>
      <c r="N310" s="231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57" t="n"/>
    </row>
    <row r="311" customFormat="1" s="1">
      <c r="A311" s="234" t="n"/>
      <c r="B311" s="55" t="inlineStr">
        <is>
          <t>SKU-843C0510</t>
        </is>
      </c>
      <c r="C311" s="231" t="inlineStr"/>
      <c r="D311" s="231" t="n">
        <v>5</v>
      </c>
      <c r="E311" s="231" t="inlineStr"/>
      <c r="F311" s="231" t="inlineStr"/>
      <c r="G311" s="231" t="inlineStr"/>
      <c r="H311" s="231" t="inlineStr"/>
      <c r="I311" s="231" t="inlineStr"/>
      <c r="J311" s="27" t="inlineStr"/>
      <c r="K311" s="27" t="inlineStr">
        <is>
          <t>是</t>
        </is>
      </c>
      <c r="L311" s="231" t="n">
        <v>100</v>
      </c>
      <c r="M311" s="77" t="inlineStr">
        <is>
          <t>Product-8E98715E</t>
        </is>
      </c>
      <c r="N311" s="231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31" t="inlineStr">
        <is>
          <t>C</t>
        </is>
      </c>
    </row>
    <row r="312" customFormat="1" s="1">
      <c r="A312" s="234" t="n"/>
      <c r="B312" s="55" t="inlineStr">
        <is>
          <t>SKU-24B633DE</t>
        </is>
      </c>
      <c r="C312" s="231" t="inlineStr"/>
      <c r="D312" s="55" t="n">
        <v>4</v>
      </c>
      <c r="E312" s="231" t="inlineStr"/>
      <c r="F312" s="231" t="inlineStr"/>
      <c r="G312" s="231" t="inlineStr"/>
      <c r="H312" s="231" t="inlineStr"/>
      <c r="I312" s="231" t="inlineStr"/>
      <c r="J312" s="27" t="inlineStr"/>
      <c r="K312" s="27" t="inlineStr">
        <is>
          <t>是</t>
        </is>
      </c>
      <c r="L312" s="231" t="n">
        <v>100</v>
      </c>
      <c r="M312" s="59" t="inlineStr">
        <is>
          <t>Product-7888AB17</t>
        </is>
      </c>
      <c r="N312" s="231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31" t="inlineStr">
        <is>
          <t>C</t>
        </is>
      </c>
    </row>
    <row r="313" customFormat="1" s="1">
      <c r="A313" s="234" t="n"/>
      <c r="B313" s="231" t="inlineStr">
        <is>
          <t>SKU-0408BC7B</t>
        </is>
      </c>
      <c r="C313" s="231" t="inlineStr"/>
      <c r="D313" s="231" t="n">
        <v>4</v>
      </c>
      <c r="E313" s="231" t="inlineStr">
        <is>
          <t>是</t>
        </is>
      </c>
      <c r="F313" s="231" t="inlineStr"/>
      <c r="G313" s="231" t="inlineStr"/>
      <c r="H313" s="231" t="inlineStr">
        <is>
          <t>是</t>
        </is>
      </c>
      <c r="I313" s="231" t="inlineStr"/>
      <c r="J313" s="27" t="inlineStr"/>
      <c r="K313" s="27" t="inlineStr">
        <is>
          <t>是</t>
        </is>
      </c>
      <c r="L313" s="231" t="n">
        <v>100</v>
      </c>
      <c r="M313" s="19" t="inlineStr">
        <is>
          <t>Product-5A027F0E</t>
        </is>
      </c>
      <c r="N313" s="231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31" t="n"/>
    </row>
    <row r="314" customFormat="1" s="1">
      <c r="A314" s="235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31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31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20" t="n"/>
    </row>
    <row r="332" customFormat="1" s="1">
      <c r="J332" s="220" t="n"/>
      <c r="K332" s="220" t="n"/>
      <c r="M332" s="118" t="inlineStr">
        <is>
          <t>低焦油</t>
        </is>
      </c>
      <c r="N332" s="231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20" t="n"/>
    </row>
    <row r="334" customFormat="1" s="1">
      <c r="J334" s="220" t="n"/>
      <c r="K334" s="220" t="n"/>
      <c r="M334" s="118" t="inlineStr">
        <is>
          <t>细支</t>
        </is>
      </c>
      <c r="N334" s="231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20" t="n"/>
    </row>
    <row r="336" customFormat="1" s="1">
      <c r="J336" s="220" t="n"/>
      <c r="K336" s="220" t="n"/>
      <c r="M336" s="118" t="inlineStr">
        <is>
          <t>短支</t>
        </is>
      </c>
      <c r="N336" s="231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20" t="n"/>
    </row>
    <row r="342" customFormat="1" s="1">
      <c r="J342" s="220" t="n"/>
      <c r="K342" s="220" t="n"/>
      <c r="M342" s="118" t="inlineStr">
        <is>
          <t>三类烟</t>
        </is>
      </c>
      <c r="N342" s="231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20" t="n"/>
    </row>
    <row r="346" customFormat="1" s="1">
      <c r="J346" s="220" t="n"/>
      <c r="K346" s="220" t="n"/>
      <c r="M346" s="160" t="inlineStr">
        <is>
          <t>三类烟比重%</t>
        </is>
      </c>
      <c r="N346" s="231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20" t="n"/>
    </row>
    <row r="353">
      <c r="M353" s="1" t="inlineStr">
        <is>
          <t>总</t>
        </is>
      </c>
      <c r="O353" s="1">
        <f>COUNTIFS(O3:O318,"&gt;0",$B$3:$B$318,"&gt;0")</f>
        <v/>
      </c>
      <c r="P353" s="1">
        <f>COUNTIFS(P3:P318,"&gt;0",$B$3:$B$318,"&gt;0")</f>
        <v/>
      </c>
      <c r="Q353" s="1">
        <f>COUNTIFS(Q3:Q318,"&gt;0",$B$3:$B$318,"&gt;0")</f>
        <v/>
      </c>
      <c r="R353" s="1">
        <f>COUNTIFS(R3:R318,"&gt;0",$B$3:$B$318,"&gt;0")</f>
        <v/>
      </c>
      <c r="S353" s="1">
        <f>COUNTIFS(S3:S318,"&gt;0",$B$3:$B$318,"&gt;0")</f>
        <v/>
      </c>
      <c r="T353" s="1">
        <f>COUNTIFS(T3:T318,"&gt;0",$B$3:$B$318,"&gt;0")</f>
        <v/>
      </c>
      <c r="U353" s="1">
        <f>COUNTIFS(U3:U318,"&gt;0",$B$3:$B$318,"&gt;0")</f>
        <v/>
      </c>
      <c r="V353" s="1">
        <f>COUNTIFS(V3:V318,"&gt;0",$B$3:$B$318,"&gt;0")</f>
        <v/>
      </c>
      <c r="W353" s="1">
        <f>COUNTIFS(W3:W318,"&gt;0",$B$3:$B$318,"&gt;0")</f>
        <v/>
      </c>
      <c r="X353" s="1">
        <f>COUNTIFS(X3:X318,"&gt;0",$B$3:$B$318,"&gt;0")</f>
        <v/>
      </c>
      <c r="Y353" s="1">
        <f>COUNTIFS(Y3:Y318,"&gt;0",$B$3:$B$318,"&gt;0")</f>
        <v/>
      </c>
      <c r="Z353" s="1">
        <f>COUNTIFS(Z3:Z318,"&gt;0",$B$3:$B$318,"&gt;0")</f>
        <v/>
      </c>
      <c r="AA353" s="1">
        <f>COUNTIFS(AA3:AA318,"&gt;0",$B$3:$B$318,"&gt;0")</f>
        <v/>
      </c>
      <c r="AB353" s="1">
        <f>COUNTIFS(AB3:AB318,"&gt;0",$B$3:$B$318,"&gt;0")</f>
        <v/>
      </c>
    </row>
    <row r="354">
      <c r="M354" s="1" t="inlineStr">
        <is>
          <t>C数</t>
        </is>
      </c>
      <c r="O354" s="1">
        <f>COUNTIFS($AG$3:$AG$318,"C",O3:O318,"&gt;0")</f>
        <v/>
      </c>
      <c r="P354" s="1">
        <f>COUNTIFS($AG$3:$AG$318,"C",P3:P318,"&gt;0")</f>
        <v/>
      </c>
      <c r="Q354" s="1">
        <f>COUNTIFS($AG$3:$AG$318,"C",Q3:Q318,"&gt;0")</f>
        <v/>
      </c>
      <c r="R354" s="1">
        <f>COUNTIFS($AG$3:$AG$318,"C",R3:R318,"&gt;0")</f>
        <v/>
      </c>
      <c r="S354" s="1">
        <f>COUNTIFS($AG$3:$AG$318,"C",S3:S318,"&gt;0")</f>
        <v/>
      </c>
      <c r="T354" s="1">
        <f>COUNTIFS($AG$3:$AG$318,"C",T3:T318,"&gt;0")</f>
        <v/>
      </c>
      <c r="U354" s="1">
        <f>COUNTIFS($AG$3:$AG$318,"C",U3:U318,"&gt;0")</f>
        <v/>
      </c>
      <c r="V354" s="1">
        <f>COUNTIFS($AG$3:$AG$318,"C",V3:V318,"&gt;0")</f>
        <v/>
      </c>
      <c r="W354" s="1">
        <f>COUNTIFS($AG$3:$AG$318,"C",W3:W318,"&gt;0")</f>
        <v/>
      </c>
      <c r="X354" s="1">
        <f>COUNTIFS($AG$3:$AG$318,"C",X3:X318,"&gt;0")</f>
        <v/>
      </c>
      <c r="Y354" s="1">
        <f>COUNTIFS($AG$3:$AG$318,"C",Y3:Y318,"&gt;0")</f>
        <v/>
      </c>
      <c r="Z354" s="1">
        <f>COUNTIFS($AG$3:$AG$318,"C",Z3:Z318,"&gt;0")</f>
        <v/>
      </c>
      <c r="AA354" s="1">
        <f>COUNTIFS($AG$3:$AG$318,"C",AA3:AA318,"&gt;0")</f>
        <v/>
      </c>
      <c r="AB354" s="1">
        <f>COUNTIFS($AG$3:$AG$318,"C",AB3:AB318,"&gt;0")</f>
        <v/>
      </c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45" operator="lessThan" dxfId="0">
      <formula>0</formula>
    </cfRule>
  </conditionalFormatting>
  <conditionalFormatting sqref="AG1">
    <cfRule type="cellIs" priority="18" operator="lessThan" dxfId="0">
      <formula>0</formula>
    </cfRule>
  </conditionalFormatting>
  <conditionalFormatting sqref="P2">
    <cfRule type="cellIs" priority="123" operator="lessThan" dxfId="0">
      <formula>0</formula>
    </cfRule>
    <cfRule type="cellIs" priority="124" operator="lessThan" dxfId="0" stopIfTrue="1">
      <formula>0</formula>
    </cfRule>
  </conditionalFormatting>
  <conditionalFormatting sqref="W2">
    <cfRule type="cellIs" priority="308" operator="lessThan" dxfId="0" stopIfTrue="1">
      <formula>0</formula>
    </cfRule>
  </conditionalFormatting>
  <conditionalFormatting sqref="J3:K3">
    <cfRule type="cellIs" priority="307" operator="lessThan" dxfId="0" stopIfTrue="1">
      <formula>0</formula>
    </cfRule>
  </conditionalFormatting>
  <conditionalFormatting sqref="AC34">
    <cfRule type="cellIs" priority="154" operator="lessThan" dxfId="0" stopIfTrue="1">
      <formula>0</formula>
    </cfRule>
  </conditionalFormatting>
  <conditionalFormatting sqref="O37:AC37">
    <cfRule type="cellIs" priority="144" operator="lessThan" dxfId="0" stopIfTrue="1">
      <formula>0</formula>
    </cfRule>
  </conditionalFormatting>
  <conditionalFormatting sqref="AE37:AF37">
    <cfRule type="cellIs" priority="270" operator="lessThan" dxfId="0" stopIfTrue="1">
      <formula>0</formula>
    </cfRule>
  </conditionalFormatting>
  <conditionalFormatting sqref="AG37">
    <cfRule type="cellIs" priority="43" operator="lessThan" dxfId="0" stopIfTrue="1">
      <formula>0</formula>
    </cfRule>
  </conditionalFormatting>
  <conditionalFormatting sqref="AC49">
    <cfRule type="cellIs" priority="159" operator="lessThan" dxfId="0" stopIfTrue="1">
      <formula>0</formula>
    </cfRule>
  </conditionalFormatting>
  <conditionalFormatting sqref="AC51">
    <cfRule type="cellIs" priority="167" operator="lessThan" dxfId="0" stopIfTrue="1">
      <formula>0</formula>
    </cfRule>
  </conditionalFormatting>
  <conditionalFormatting sqref="AC52">
    <cfRule type="cellIs" priority="156" operator="lessThan" dxfId="0" stopIfTrue="1">
      <formula>0</formula>
    </cfRule>
  </conditionalFormatting>
  <conditionalFormatting sqref="AC59">
    <cfRule type="cellIs" priority="177" operator="lessThan" dxfId="0" stopIfTrue="1">
      <formula>0</formula>
    </cfRule>
  </conditionalFormatting>
  <conditionalFormatting sqref="AE59:AF59">
    <cfRule type="cellIs" priority="268" operator="lessThan" dxfId="0" stopIfTrue="1">
      <formula>0</formula>
    </cfRule>
  </conditionalFormatting>
  <conditionalFormatting sqref="AG59">
    <cfRule type="cellIs" priority="41" operator="lessThan" dxfId="0" stopIfTrue="1">
      <formula>0</formula>
    </cfRule>
  </conditionalFormatting>
  <conditionalFormatting sqref="AC60">
    <cfRule type="cellIs" priority="171" operator="lessThan" dxfId="0" stopIfTrue="1">
      <formula>0</formula>
    </cfRule>
  </conditionalFormatting>
  <conditionalFormatting sqref="AC61">
    <cfRule type="cellIs" priority="158" operator="lessThan" dxfId="0" stopIfTrue="1">
      <formula>0</formula>
    </cfRule>
  </conditionalFormatting>
  <conditionalFormatting sqref="AC63">
    <cfRule type="cellIs" priority="176" operator="lessThan" dxfId="0" stopIfTrue="1">
      <formula>0</formula>
    </cfRule>
  </conditionalFormatting>
  <conditionalFormatting sqref="AC69">
    <cfRule type="cellIs" priority="173" operator="lessThan" dxfId="0" stopIfTrue="1">
      <formula>0</formula>
    </cfRule>
  </conditionalFormatting>
  <conditionalFormatting sqref="AE69:AF69">
    <cfRule type="cellIs" priority="266" operator="lessThan" dxfId="0" stopIfTrue="1">
      <formula>0</formula>
    </cfRule>
  </conditionalFormatting>
  <conditionalFormatting sqref="AG69">
    <cfRule type="cellIs" priority="39" operator="lessThan" dxfId="0" stopIfTrue="1">
      <formula>0</formula>
    </cfRule>
  </conditionalFormatting>
  <conditionalFormatting sqref="AC71">
    <cfRule type="cellIs" priority="152" operator="lessThan" dxfId="0" stopIfTrue="1">
      <formula>0</formula>
    </cfRule>
  </conditionalFormatting>
  <conditionalFormatting sqref="AC78">
    <cfRule type="cellIs" priority="157" operator="lessThan" dxfId="0" stopIfTrue="1">
      <formula>0</formula>
    </cfRule>
  </conditionalFormatting>
  <conditionalFormatting sqref="AC81">
    <cfRule type="cellIs" priority="153" operator="lessThan" dxfId="0" stopIfTrue="1">
      <formula>0</formula>
    </cfRule>
  </conditionalFormatting>
  <conditionalFormatting sqref="AE81:AF81">
    <cfRule type="cellIs" priority="264" operator="lessThan" dxfId="0" stopIfTrue="1">
      <formula>0</formula>
    </cfRule>
  </conditionalFormatting>
  <conditionalFormatting sqref="AG81">
    <cfRule type="cellIs" priority="37" operator="lessThan" dxfId="0" stopIfTrue="1">
      <formula>0</formula>
    </cfRule>
  </conditionalFormatting>
  <conditionalFormatting sqref="B82">
    <cfRule type="cellIs" priority="59" operator="lessThan" dxfId="0">
      <formula>0</formula>
    </cfRule>
  </conditionalFormatting>
  <conditionalFormatting sqref="O82:AB82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AE82:AF82">
    <cfRule type="cellIs" priority="239" operator="lessThan" dxfId="0" stopIfTrue="1">
      <formula>0</formula>
    </cfRule>
  </conditionalFormatting>
  <conditionalFormatting sqref="AG82">
    <cfRule type="cellIs" priority="15" operator="lessThan" dxfId="0">
      <formula>0</formula>
    </cfRule>
    <cfRule type="cellIs" priority="16" operator="lessThan" dxfId="0" stopIfTrue="1">
      <formula>0</formula>
    </cfRule>
  </conditionalFormatting>
  <conditionalFormatting sqref="O84:AC84">
    <cfRule type="cellIs" priority="68" operator="lessThan" dxfId="0" stopIfTrue="1">
      <formula>0</formula>
    </cfRule>
  </conditionalFormatting>
  <conditionalFormatting sqref="AC95">
    <cfRule type="cellIs" priority="151" operator="lessThan" dxfId="0" stopIfTrue="1">
      <formula>0</formula>
    </cfRule>
  </conditionalFormatting>
  <conditionalFormatting sqref="B96">
    <cfRule type="cellIs" priority="58" operator="lessThan" dxfId="0">
      <formula>0</formula>
    </cfRule>
  </conditionalFormatting>
  <conditionalFormatting sqref="O96:AB96">
    <cfRule type="cellIs" priority="136" operator="lessThan" dxfId="0">
      <formula>0</formula>
    </cfRule>
    <cfRule type="cellIs" priority="137" operator="lessThan" dxfId="0" stopIfTrue="1">
      <formula>0</formula>
    </cfRule>
  </conditionalFormatting>
  <conditionalFormatting sqref="AE96:AF96">
    <cfRule type="cellIs" priority="236" operator="lessThan" dxfId="0" stopIfTrue="1">
      <formula>0</formula>
    </cfRule>
  </conditionalFormatting>
  <conditionalFormatting sqref="AG96">
    <cfRule type="cellIs" priority="13" operator="lessThan" dxfId="0">
      <formula>0</formula>
    </cfRule>
    <cfRule type="cellIs" priority="14" operator="lessThan" dxfId="0" stopIfTrue="1">
      <formula>0</formula>
    </cfRule>
  </conditionalFormatting>
  <conditionalFormatting sqref="B97">
    <cfRule type="cellIs" priority="57" operator="lessThan" dxfId="0">
      <formula>0</formula>
    </cfRule>
  </conditionalFormatting>
  <conditionalFormatting sqref="O97:AB97">
    <cfRule type="cellIs" priority="134" operator="lessThan" dxfId="0">
      <formula>0</formula>
    </cfRule>
    <cfRule type="cellIs" priority="135" operator="lessThan" dxfId="0" stopIfTrue="1">
      <formula>0</formula>
    </cfRule>
  </conditionalFormatting>
  <conditionalFormatting sqref="AE97:AF97">
    <cfRule type="cellIs" priority="233" operator="lessThan" dxfId="0" stopIfTrue="1">
      <formula>0</formula>
    </cfRule>
  </conditionalFormatting>
  <conditionalFormatting sqref="AG97">
    <cfRule type="cellIs" priority="11" operator="lessThan" dxfId="0">
      <formula>0</formula>
    </cfRule>
    <cfRule type="cellIs" priority="12" operator="lessThan" dxfId="0" stopIfTrue="1">
      <formula>0</formula>
    </cfRule>
  </conditionalFormatting>
  <conditionalFormatting sqref="M100">
    <cfRule type="cellIs" priority="65" operator="lessThan" dxfId="0">
      <formula>0</formula>
    </cfRule>
  </conditionalFormatting>
  <conditionalFormatting sqref="M101">
    <cfRule type="cellIs" priority="66" operator="lessThan" dxfId="0">
      <formula>0</formula>
    </cfRule>
  </conditionalFormatting>
  <conditionalFormatting sqref="AE101:AF101">
    <cfRule type="cellIs" priority="263" operator="lessThan" dxfId="0" stopIfTrue="1">
      <formula>0</formula>
    </cfRule>
  </conditionalFormatting>
  <conditionalFormatting sqref="AG101">
    <cfRule type="cellIs" priority="36" operator="lessThan" dxfId="0" stopIfTrue="1">
      <formula>0</formula>
    </cfRule>
  </conditionalFormatting>
  <conditionalFormatting sqref="B102">
    <cfRule type="cellIs" priority="56" operator="lessThan" dxfId="0">
      <formula>0</formula>
    </cfRule>
  </conditionalFormatting>
  <conditionalFormatting sqref="O102:AB102">
    <cfRule type="cellIs" priority="132" operator="lessThan" dxfId="0">
      <formula>0</formula>
    </cfRule>
    <cfRule type="cellIs" priority="133" operator="lessThan" dxfId="0" stopIfTrue="1">
      <formula>0</formula>
    </cfRule>
  </conditionalFormatting>
  <conditionalFormatting sqref="AE102:AF102">
    <cfRule type="cellIs" priority="230" operator="lessThan" dxfId="0" stopIfTrue="1">
      <formula>0</formula>
    </cfRule>
  </conditionalFormatting>
  <conditionalFormatting sqref="AG102">
    <cfRule type="cellIs" priority="9" operator="lessThan" dxfId="0">
      <formula>0</formula>
    </cfRule>
    <cfRule type="cellIs" priority="10" operator="lessThan" dxfId="0" stopIfTrue="1">
      <formula>0</formula>
    </cfRule>
  </conditionalFormatting>
  <conditionalFormatting sqref="M112">
    <cfRule type="cellIs" priority="64" operator="lessThan" dxfId="0">
      <formula>0</formula>
    </cfRule>
  </conditionalFormatting>
  <conditionalFormatting sqref="AC113">
    <cfRule type="cellIs" priority="169" operator="lessThan" dxfId="0" stopIfTrue="1">
      <formula>0</formula>
    </cfRule>
  </conditionalFormatting>
  <conditionalFormatting sqref="AE113:AF113">
    <cfRule type="cellIs" priority="262" operator="lessThan" dxfId="0" stopIfTrue="1">
      <formula>0</formula>
    </cfRule>
  </conditionalFormatting>
  <conditionalFormatting sqref="AG113">
    <cfRule type="cellIs" priority="35" operator="lessThan" dxfId="0" stopIfTrue="1">
      <formula>0</formula>
    </cfRule>
  </conditionalFormatting>
  <conditionalFormatting sqref="AC116">
    <cfRule type="cellIs" priority="162" operator="lessThan" dxfId="0" stopIfTrue="1">
      <formula>0</formula>
    </cfRule>
  </conditionalFormatting>
  <conditionalFormatting sqref="AC117">
    <cfRule type="cellIs" priority="161" operator="lessThan" dxfId="0" stopIfTrue="1">
      <formula>0</formula>
    </cfRule>
  </conditionalFormatting>
  <conditionalFormatting sqref="B118">
    <cfRule type="cellIs" priority="55" operator="lessThan" dxfId="0">
      <formula>0</formula>
    </cfRule>
  </conditionalFormatting>
  <conditionalFormatting sqref="O118:AB118">
    <cfRule type="cellIs" priority="130" operator="lessThan" dxfId="0">
      <formula>0</formula>
    </cfRule>
    <cfRule type="cellIs" priority="131" operator="lessThan" dxfId="0" stopIfTrue="1">
      <formula>0</formula>
    </cfRule>
  </conditionalFormatting>
  <conditionalFormatting sqref="AE118:AF118">
    <cfRule type="cellIs" priority="227" operator="lessThan" dxfId="0" stopIfTrue="1">
      <formula>0</formula>
    </cfRule>
  </conditionalFormatting>
  <conditionalFormatting sqref="AG118">
    <cfRule type="cellIs" priority="7" operator="lessThan" dxfId="0">
      <formula>0</formula>
    </cfRule>
    <cfRule type="cellIs" priority="8" operator="lessThan" dxfId="0" stopIfTrue="1">
      <formula>0</formula>
    </cfRule>
  </conditionalFormatting>
  <conditionalFormatting sqref="AC138">
    <cfRule type="cellIs" priority="175" operator="lessThan" dxfId="0" stopIfTrue="1">
      <formula>0</formula>
    </cfRule>
  </conditionalFormatting>
  <conditionalFormatting sqref="AE141:AF141">
    <cfRule type="cellIs" priority="248" operator="lessThan" dxfId="0" stopIfTrue="1">
      <formula>0</formula>
    </cfRule>
  </conditionalFormatting>
  <conditionalFormatting sqref="AG141">
    <cfRule type="cellIs" priority="21" operator="lessThan" dxfId="0" stopIfTrue="1">
      <formula>0</formula>
    </cfRule>
  </conditionalFormatting>
  <conditionalFormatting sqref="M146">
    <cfRule type="cellIs" priority="63" operator="lessThan" dxfId="0">
      <formula>0</formula>
    </cfRule>
  </conditionalFormatting>
  <conditionalFormatting sqref="AC147">
    <cfRule type="cellIs" priority="170" operator="lessThan" dxfId="0" stopIfTrue="1">
      <formula>0</formula>
    </cfRule>
  </conditionalFormatting>
  <conditionalFormatting sqref="AC148">
    <cfRule type="cellIs" priority="160" operator="lessThan" dxfId="0" stopIfTrue="1">
      <formula>0</formula>
    </cfRule>
  </conditionalFormatting>
  <conditionalFormatting sqref="AC149">
    <cfRule type="cellIs" priority="155" operator="lessThan" dxfId="0" stopIfTrue="1">
      <formula>0</formula>
    </cfRule>
  </conditionalFormatting>
  <conditionalFormatting sqref="M175">
    <cfRule type="cellIs" priority="62" operator="lessThan" dxfId="0">
      <formula>0</formula>
    </cfRule>
  </conditionalFormatting>
  <conditionalFormatting sqref="AC216">
    <cfRule type="cellIs" priority="146" operator="lessThan" dxfId="0" stopIfTrue="1">
      <formula>0</formula>
    </cfRule>
  </conditionalFormatting>
  <conditionalFormatting sqref="AE216:AF216">
    <cfRule type="cellIs" priority="271" operator="lessThan" dxfId="0" stopIfTrue="1">
      <formula>0</formula>
    </cfRule>
  </conditionalFormatting>
  <conditionalFormatting sqref="AG216">
    <cfRule type="cellIs" priority="44" operator="lessThan" dxfId="0" stopIfTrue="1">
      <formula>0</formula>
    </cfRule>
  </conditionalFormatting>
  <conditionalFormatting sqref="M218">
    <cfRule type="cellIs" priority="61" operator="lessThan" dxfId="0">
      <formula>0</formula>
    </cfRule>
  </conditionalFormatting>
  <conditionalFormatting sqref="AE218:AF218">
    <cfRule type="cellIs" priority="257" operator="lessThan" dxfId="0" stopIfTrue="1">
      <formula>0</formula>
    </cfRule>
  </conditionalFormatting>
  <conditionalFormatting sqref="AG218">
    <cfRule type="cellIs" priority="30" operator="lessThan" dxfId="0" stopIfTrue="1">
      <formula>0</formula>
    </cfRule>
  </conditionalFormatting>
  <conditionalFormatting sqref="O220:AC220">
    <cfRule type="cellIs" priority="143" operator="lessThan" dxfId="0" stopIfTrue="1">
      <formula>0</formula>
    </cfRule>
  </conditionalFormatting>
  <conditionalFormatting sqref="AE220:AF220">
    <cfRule type="cellIs" priority="247" operator="lessThan" dxfId="0" stopIfTrue="1">
      <formula>0</formula>
    </cfRule>
  </conditionalFormatting>
  <conditionalFormatting sqref="AG220">
    <cfRule type="cellIs" priority="20" operator="lessThan" dxfId="0" stopIfTrue="1">
      <formula>0</formula>
    </cfRule>
  </conditionalFormatting>
  <conditionalFormatting sqref="AC222">
    <cfRule type="cellIs" priority="174" operator="lessThan" dxfId="0" stopIfTrue="1">
      <formula>0</formula>
    </cfRule>
  </conditionalFormatting>
  <conditionalFormatting sqref="AE222:AF222">
    <cfRule type="cellIs" priority="256" operator="lessThan" dxfId="0" stopIfTrue="1">
      <formula>0</formula>
    </cfRule>
  </conditionalFormatting>
  <conditionalFormatting sqref="AG222">
    <cfRule type="cellIs" priority="29" operator="lessThan" dxfId="0" stopIfTrue="1">
      <formula>0</formula>
    </cfRule>
  </conditionalFormatting>
  <conditionalFormatting sqref="AE226:AF226">
    <cfRule type="cellIs" priority="255" operator="lessThan" dxfId="0" stopIfTrue="1">
      <formula>0</formula>
    </cfRule>
  </conditionalFormatting>
  <conditionalFormatting sqref="AG226">
    <cfRule type="cellIs" priority="28" operator="lessThan" dxfId="0" stopIfTrue="1">
      <formula>0</formula>
    </cfRule>
  </conditionalFormatting>
  <conditionalFormatting sqref="AC235">
    <cfRule type="cellIs" priority="149" operator="lessThan" dxfId="0" stopIfTrue="1">
      <formula>0</formula>
    </cfRule>
  </conditionalFormatting>
  <conditionalFormatting sqref="AC236">
    <cfRule type="cellIs" priority="166" operator="lessThan" dxfId="0" stopIfTrue="1">
      <formula>0</formula>
    </cfRule>
  </conditionalFormatting>
  <conditionalFormatting sqref="AC237">
    <cfRule type="cellIs" priority="150" operator="lessThan" dxfId="0" stopIfTrue="1">
      <formula>0</formula>
    </cfRule>
  </conditionalFormatting>
  <conditionalFormatting sqref="AC238">
    <cfRule type="cellIs" priority="148" operator="lessThan" dxfId="0" stopIfTrue="1">
      <formula>0</formula>
    </cfRule>
  </conditionalFormatting>
  <conditionalFormatting sqref="AC271">
    <cfRule type="cellIs" priority="147" operator="lessThan" dxfId="0" stopIfTrue="1">
      <formula>0</formula>
    </cfRule>
  </conditionalFormatting>
  <conditionalFormatting sqref="AC279">
    <cfRule type="cellIs" priority="163" operator="lessThan" dxfId="0" stopIfTrue="1">
      <formula>0</formula>
    </cfRule>
  </conditionalFormatting>
  <conditionalFormatting sqref="AC280">
    <cfRule type="cellIs" priority="172" operator="lessThan" dxfId="0" stopIfTrue="1">
      <formula>0</formula>
    </cfRule>
  </conditionalFormatting>
  <conditionalFormatting sqref="AE285:AF285">
    <cfRule type="cellIs" priority="254" operator="lessThan" dxfId="0" stopIfTrue="1">
      <formula>0</formula>
    </cfRule>
  </conditionalFormatting>
  <conditionalFormatting sqref="AG285">
    <cfRule type="cellIs" priority="27" operator="lessThan" dxfId="0" stopIfTrue="1">
      <formula>0</formula>
    </cfRule>
  </conditionalFormatting>
  <conditionalFormatting sqref="O290:AC290">
    <cfRule type="cellIs" priority="142" operator="lessThan" dxfId="0" stopIfTrue="1">
      <formula>0</formula>
    </cfRule>
  </conditionalFormatting>
  <conditionalFormatting sqref="AE290:AF290">
    <cfRule type="cellIs" priority="246" operator="lessThan" dxfId="0" stopIfTrue="1">
      <formula>0</formula>
    </cfRule>
  </conditionalFormatting>
  <conditionalFormatting sqref="AG290">
    <cfRule type="cellIs" priority="19" operator="lessThan" dxfId="0" stopIfTrue="1">
      <formula>0</formula>
    </cfRule>
  </conditionalFormatting>
  <conditionalFormatting sqref="O291:AC291">
    <cfRule type="cellIs" priority="125" operator="lessThan" dxfId="0" stopIfTrue="1">
      <formula>0</formula>
    </cfRule>
  </conditionalFormatting>
  <conditionalFormatting sqref="J294:K294">
    <cfRule type="cellIs" priority="121" operator="lessThan" dxfId="0">
      <formula>0</formula>
    </cfRule>
    <cfRule type="cellIs" priority="122" operator="lessThan" dxfId="0" stopIfTrue="1">
      <formula>0</formula>
    </cfRule>
  </conditionalFormatting>
  <conditionalFormatting sqref="O294:AB294">
    <cfRule type="cellIs" priority="141" operator="lessThan" dxfId="0" stopIfTrue="1">
      <formula>0</formula>
    </cfRule>
  </conditionalFormatting>
  <conditionalFormatting sqref="AD294">
    <cfRule type="cellIs" priority="217" operator="lessThan" dxfId="0" stopIfTrue="1">
      <formula>0</formula>
    </cfRule>
  </conditionalFormatting>
  <conditionalFormatting sqref="AE294">
    <cfRule type="cellIs" priority="244" operator="lessThan" dxfId="0" stopIfTrue="1">
      <formula>0</formula>
    </cfRule>
  </conditionalFormatting>
  <conditionalFormatting sqref="AF294">
    <cfRule type="cellIs" priority="218" operator="lessThan" dxfId="0" stopIfTrue="1">
      <formula>0</formula>
    </cfRule>
  </conditionalFormatting>
  <conditionalFormatting sqref="AG294">
    <cfRule type="cellIs" priority="2" operator="lessThan" dxfId="0" stopIfTrue="1">
      <formula>0</formula>
    </cfRule>
  </conditionalFormatting>
  <conditionalFormatting sqref="B316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B318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O319">
    <cfRule type="cellIs" priority="313" operator="lessThan" dxfId="0" stopIfTrue="1">
      <formula>0</formula>
    </cfRule>
  </conditionalFormatting>
  <conditionalFormatting sqref="AE319:AF319">
    <cfRule type="cellIs" priority="275" operator="lessThan" dxfId="0" stopIfTrue="1">
      <formula>0</formula>
    </cfRule>
  </conditionalFormatting>
  <conditionalFormatting sqref="AG319">
    <cfRule type="cellIs" priority="48" operator="lessThan" dxfId="0" stopIfTrue="1">
      <formula>0</formula>
    </cfRule>
  </conditionalFormatting>
  <conditionalFormatting sqref="M320">
    <cfRule type="cellIs" priority="197" operator="lessThan" dxfId="0">
      <formula>0</formula>
    </cfRule>
  </conditionalFormatting>
  <conditionalFormatting sqref="O320">
    <cfRule type="cellIs" priority="198" operator="lessThan" dxfId="0">
      <formula>0</formula>
    </cfRule>
    <cfRule type="cellIs" priority="199" operator="lessThan" dxfId="0" stopIfTrue="1">
      <formula>0</formula>
    </cfRule>
  </conditionalFormatting>
  <conditionalFormatting sqref="P320:AB320">
    <cfRule type="cellIs" priority="214" operator="lessThan" dxfId="0">
      <formula>0</formula>
    </cfRule>
  </conditionalFormatting>
  <conditionalFormatting sqref="W320">
    <cfRule type="cellIs" priority="215" operator="lessThan" dxfId="0" stopIfTrue="1">
      <formula>0</formula>
    </cfRule>
  </conditionalFormatting>
  <conditionalFormatting sqref="O324:AB324">
    <cfRule type="cellIs" priority="119" operator="lessThan" dxfId="0">
      <formula>0</formula>
    </cfRule>
  </conditionalFormatting>
  <conditionalFormatting sqref="O326:AB326">
    <cfRule type="cellIs" priority="116" operator="lessThan" dxfId="0">
      <formula>0</formula>
    </cfRule>
  </conditionalFormatting>
  <conditionalFormatting sqref="M328">
    <cfRule type="cellIs" priority="180" operator="lessThan" dxfId="0">
      <formula>0</formula>
    </cfRule>
  </conditionalFormatting>
  <conditionalFormatting sqref="O328:AB328">
    <cfRule type="cellIs" priority="189" operator="lessThan" dxfId="0">
      <formula>0</formula>
    </cfRule>
  </conditionalFormatting>
  <conditionalFormatting sqref="O329:AB329">
    <cfRule type="cellIs" priority="186" operator="lessThan" dxfId="0">
      <formula>0</formula>
    </cfRule>
  </conditionalFormatting>
  <conditionalFormatting sqref="O330:AB330">
    <cfRule type="cellIs" priority="184" operator="lessThan" dxfId="0">
      <formula>0</formula>
    </cfRule>
  </conditionalFormatting>
  <conditionalFormatting sqref="O331:AB331">
    <cfRule type="cellIs" priority="181" operator="lessThan" dxfId="0">
      <formula>0</formula>
    </cfRule>
  </conditionalFormatting>
  <conditionalFormatting sqref="M332:AB332">
    <cfRule type="cellIs" priority="115" operator="lessThan" dxfId="0">
      <formula>0</formula>
    </cfRule>
  </conditionalFormatting>
  <conditionalFormatting sqref="O332:AB332">
    <cfRule type="cellIs" priority="106" operator="lessThan" dxfId="0">
      <formula>0</formula>
    </cfRule>
  </conditionalFormatting>
  <conditionalFormatting sqref="M333:AB333">
    <cfRule type="cellIs" priority="103" operator="lessThan" dxfId="0">
      <formula>0</formula>
    </cfRule>
  </conditionalFormatting>
  <conditionalFormatting sqref="O333:AB333">
    <cfRule type="cellIs" priority="100" operator="lessThan" dxfId="0">
      <formula>0</formula>
    </cfRule>
  </conditionalFormatting>
  <conditionalFormatting sqref="M334:AB334">
    <cfRule type="cellIs" priority="114" operator="lessThan" dxfId="0">
      <formula>0</formula>
    </cfRule>
  </conditionalFormatting>
  <conditionalFormatting sqref="O334:AB334">
    <cfRule type="cellIs" priority="105" operator="lessThan" dxfId="0">
      <formula>0</formula>
    </cfRule>
  </conditionalFormatting>
  <conditionalFormatting sqref="M335:AB335">
    <cfRule type="cellIs" priority="102" operator="lessThan" dxfId="0">
      <formula>0</formula>
    </cfRule>
  </conditionalFormatting>
  <conditionalFormatting sqref="O335:AB335">
    <cfRule type="cellIs" priority="99" operator="lessThan" dxfId="0">
      <formula>0</formula>
    </cfRule>
  </conditionalFormatting>
  <conditionalFormatting sqref="M336:AB336">
    <cfRule type="cellIs" priority="113" operator="lessThan" dxfId="0">
      <formula>0</formula>
    </cfRule>
  </conditionalFormatting>
  <conditionalFormatting sqref="O336:AB336">
    <cfRule type="cellIs" priority="104" operator="lessThan" dxfId="0">
      <formula>0</formula>
    </cfRule>
  </conditionalFormatting>
  <conditionalFormatting sqref="M337:AB337">
    <cfRule type="cellIs" priority="101" operator="lessThan" dxfId="0">
      <formula>0</formula>
    </cfRule>
  </conditionalFormatting>
  <conditionalFormatting sqref="O337:AB337">
    <cfRule type="cellIs" priority="98" operator="lessThan" dxfId="0">
      <formula>0</formula>
    </cfRule>
  </conditionalFormatting>
  <conditionalFormatting sqref="M338:AB338">
    <cfRule type="cellIs" priority="96" operator="lessThan" dxfId="0">
      <formula>0</formula>
    </cfRule>
  </conditionalFormatting>
  <conditionalFormatting sqref="O338:AB338">
    <cfRule type="cellIs" priority="95" operator="lessThan" dxfId="0">
      <formula>0</formula>
    </cfRule>
  </conditionalFormatting>
  <conditionalFormatting sqref="M339:N339">
    <cfRule type="cellIs" priority="97" operator="lessThan" dxfId="0">
      <formula>0</formula>
    </cfRule>
  </conditionalFormatting>
  <conditionalFormatting sqref="O339:AB339">
    <cfRule type="cellIs" priority="69" operator="lessThan" dxfId="0">
      <formula>0</formula>
    </cfRule>
  </conditionalFormatting>
  <conditionalFormatting sqref="M340:AB340">
    <cfRule type="cellIs" priority="94" operator="lessThan" dxfId="0">
      <formula>0</formula>
    </cfRule>
  </conditionalFormatting>
  <conditionalFormatting sqref="O340:AB340">
    <cfRule type="cellIs" priority="88" operator="lessThan" dxfId="0">
      <formula>0</formula>
    </cfRule>
  </conditionalFormatting>
  <conditionalFormatting sqref="M341:AB341">
    <cfRule type="cellIs" priority="86" operator="lessThan" dxfId="0">
      <formula>0</formula>
    </cfRule>
  </conditionalFormatting>
  <conditionalFormatting sqref="O341:AB341">
    <cfRule type="cellIs" priority="84" operator="lessThan" dxfId="0">
      <formula>0</formula>
    </cfRule>
  </conditionalFormatting>
  <conditionalFormatting sqref="M342:AB342">
    <cfRule type="cellIs" priority="93" operator="lessThan" dxfId="0">
      <formula>0</formula>
    </cfRule>
  </conditionalFormatting>
  <conditionalFormatting sqref="O342:AB342">
    <cfRule type="cellIs" priority="87" operator="lessThan" dxfId="0">
      <formula>0</formula>
    </cfRule>
  </conditionalFormatting>
  <conditionalFormatting sqref="M343:AB343">
    <cfRule type="cellIs" priority="85" operator="lessThan" dxfId="0">
      <formula>0</formula>
    </cfRule>
  </conditionalFormatting>
  <conditionalFormatting sqref="O343:AB343">
    <cfRule type="cellIs" priority="83" operator="lessThan" dxfId="0">
      <formula>0</formula>
    </cfRule>
  </conditionalFormatting>
  <conditionalFormatting sqref="M348:AB348">
    <cfRule type="cellIs" priority="82" operator="lessThan" dxfId="0">
      <formula>0</formula>
    </cfRule>
  </conditionalFormatting>
  <conditionalFormatting sqref="O348:AB348">
    <cfRule type="cellIs" priority="76" operator="lessThan" dxfId="0">
      <formula>0</formula>
    </cfRule>
  </conditionalFormatting>
  <conditionalFormatting sqref="M349:AB349">
    <cfRule type="cellIs" priority="74" operator="lessThan" dxfId="0">
      <formula>0</formula>
    </cfRule>
  </conditionalFormatting>
  <conditionalFormatting sqref="O349:AB349">
    <cfRule type="cellIs" priority="72" operator="lessThan" dxfId="0">
      <formula>0</formula>
    </cfRule>
  </conditionalFormatting>
  <conditionalFormatting sqref="M350:AB350">
    <cfRule type="cellIs" priority="81" operator="lessThan" dxfId="0">
      <formula>0</formula>
    </cfRule>
  </conditionalFormatting>
  <conditionalFormatting sqref="O350:AB350">
    <cfRule type="cellIs" priority="75" operator="lessThan" dxfId="0">
      <formula>0</formula>
    </cfRule>
  </conditionalFormatting>
  <conditionalFormatting sqref="M351:AB351">
    <cfRule type="cellIs" priority="73" operator="lessThan" dxfId="0">
      <formula>0</formula>
    </cfRule>
  </conditionalFormatting>
  <conditionalFormatting sqref="O351:AB351">
    <cfRule type="cellIs" priority="71" operator="lessThan" dxfId="0">
      <formula>0</formula>
    </cfRule>
  </conditionalFormatting>
  <conditionalFormatting sqref="M352">
    <cfRule type="cellIs" priority="209" operator="lessThan" dxfId="0">
      <formula>0</formula>
    </cfRule>
  </conditionalFormatting>
  <conditionalFormatting sqref="M352:AB352">
    <cfRule type="cellIs" priority="206" operator="lessThan" dxfId="0">
      <formula>0</formula>
    </cfRule>
  </conditionalFormatting>
  <conditionalFormatting sqref="N352">
    <cfRule type="cellIs" priority="208" operator="lessThan" dxfId="0">
      <formula>0</formula>
    </cfRule>
  </conditionalFormatting>
  <conditionalFormatting sqref="O352:AB352">
    <cfRule type="cellIs" priority="205" operator="lessThan" dxfId="0">
      <formula>0</formula>
    </cfRule>
  </conditionalFormatting>
  <conditionalFormatting sqref="N314:N318">
    <cfRule type="cellIs" priority="196" operator="lessThan" dxfId="0">
      <formula>0</formula>
    </cfRule>
  </conditionalFormatting>
  <conditionalFormatting sqref="O2:O8">
    <cfRule type="cellIs" priority="310" operator="lessThan" dxfId="0" stopIfTrue="1">
      <formula>0</formula>
    </cfRule>
  </conditionalFormatting>
  <conditionalFormatting sqref="W3:W8">
    <cfRule type="cellIs" priority="309" operator="lessThan" dxfId="0" stopIfTrue="1">
      <formula>0</formula>
    </cfRule>
  </conditionalFormatting>
  <conditionalFormatting sqref="AC43:AC44">
    <cfRule type="cellIs" priority="178" operator="lessThan" dxfId="0" stopIfTrue="1">
      <formula>0</formula>
    </cfRule>
  </conditionalFormatting>
  <conditionalFormatting sqref="AC129:AC130">
    <cfRule type="cellIs" priority="168" operator="lessThan" dxfId="0" stopIfTrue="1">
      <formula>0</formula>
    </cfRule>
  </conditionalFormatting>
  <conditionalFormatting sqref="AC195:AC196">
    <cfRule type="cellIs" priority="165" operator="lessThan" dxfId="0" stopIfTrue="1">
      <formula>0</formula>
    </cfRule>
  </conditionalFormatting>
  <conditionalFormatting sqref="AC260:AC265">
    <cfRule type="cellIs" priority="164" operator="lessThan" dxfId="0" stopIfTrue="1">
      <formula>0</formula>
    </cfRule>
  </conditionalFormatting>
  <conditionalFormatting sqref="AC295:AC299">
    <cfRule type="cellIs" priority="242" operator="lessThan" dxfId="0" stopIfTrue="1">
      <formula>0</formula>
    </cfRule>
  </conditionalFormatting>
  <conditionalFormatting sqref="AG43:AG44">
    <cfRule type="cellIs" priority="42" operator="lessThan" dxfId="0" stopIfTrue="1">
      <formula>0</formula>
    </cfRule>
  </conditionalFormatting>
  <conditionalFormatting sqref="AG45:AG46">
    <cfRule type="cellIs" priority="26" operator="lessThan" dxfId="0" stopIfTrue="1">
      <formula>0</formula>
    </cfRule>
  </conditionalFormatting>
  <conditionalFormatting sqref="AG60:AG61">
    <cfRule type="cellIs" priority="25" operator="lessThan" dxfId="0" stopIfTrue="1">
      <formula>0</formula>
    </cfRule>
  </conditionalFormatting>
  <conditionalFormatting sqref="AG63:AG64">
    <cfRule type="cellIs" priority="40" operator="lessThan" dxfId="0" stopIfTrue="1">
      <formula>0</formula>
    </cfRule>
  </conditionalFormatting>
  <conditionalFormatting sqref="AG71:AG73">
    <cfRule type="cellIs" priority="38" operator="lessThan" dxfId="0" stopIfTrue="1">
      <formula>0</formula>
    </cfRule>
  </conditionalFormatting>
  <conditionalFormatting sqref="AG114:AG117">
    <cfRule type="cellIs" priority="22" operator="lessThan" dxfId="0" stopIfTrue="1">
      <formula>0</formula>
    </cfRule>
  </conditionalFormatting>
  <conditionalFormatting sqref="AG138:AG140">
    <cfRule type="cellIs" priority="34" operator="lessThan" dxfId="0" stopIfTrue="1">
      <formula>0</formula>
    </cfRule>
  </conditionalFormatting>
  <conditionalFormatting sqref="AG147:AG149">
    <cfRule type="cellIs" priority="24" operator="lessThan" dxfId="0" stopIfTrue="1">
      <formula>0</formula>
    </cfRule>
  </conditionalFormatting>
  <conditionalFormatting sqref="AG160:AG163">
    <cfRule type="cellIs" priority="33" operator="lessThan" dxfId="0" stopIfTrue="1">
      <formula>0</formula>
    </cfRule>
  </conditionalFormatting>
  <conditionalFormatting sqref="AG175:AG176">
    <cfRule type="cellIs" priority="32" operator="lessThan" dxfId="0" stopIfTrue="1">
      <formula>0</formula>
    </cfRule>
  </conditionalFormatting>
  <conditionalFormatting sqref="AG193:AG196">
    <cfRule type="cellIs" priority="23" operator="lessThan" dxfId="0" stopIfTrue="1">
      <formula>0</formula>
    </cfRule>
  </conditionalFormatting>
  <conditionalFormatting sqref="AG210:AG214">
    <cfRule type="cellIs" priority="31" operator="lessThan" dxfId="0" stopIfTrue="1">
      <formula>0</formula>
    </cfRule>
  </conditionalFormatting>
  <conditionalFormatting sqref="A1:A71 A75:A65536 C1:J81 C83:L95 C98:L101 C103:L117 C119:L149 C151:L176 C179:L199 C201:L203 C205:L218 C220:L293 C294:I294 C295:L302 C305:L312 C314:K337 C338:L339 C340:K65536 K1:AC1 K2:L81 L294 L314:L318 L319:AC319 L320:L337 L340:L354 L355:AC65536 N2:O8 N9:N81 N83:N95 N98:N101 N103:N117 N119:N149 N151:N176 N179:N199 N201:N203 N205:N218 N220:N302 N305:N312 Q2:AB8 AC292:AC299 AC301:AC302 AC305:AF312 AC320:AC337 AC338:AF339 AC340:AC354 AD1:AF81 AD83:AF95 AD98:AF101 AD103:AF117 AD119:AF149 AD151:AF176 AD179:AF199 AD201:AF203 AD205:AF218 AD220:AF302 AD314:AF337 AD340:AF65536 AH1:IV65536">
    <cfRule type="cellIs" priority="241" operator="lessThan" dxfId="0">
      <formula>0</formula>
    </cfRule>
  </conditionalFormatting>
  <conditionalFormatting sqref="B1:B71 B72:B74 B75:B81 B83:B95 B98:B100 B101 B103:B117 B119:B149 B151:B176 B179:B199 B201:B203 B205:B218 B220:B293 B294 B295:B302 B305:B312 B314:B315 B317 B319:B323 B324:B337 B338:B339 B340:B65536">
    <cfRule type="cellIs" priority="60" operator="lessThan" dxfId="0">
      <formula>0</formula>
    </cfRule>
  </conditionalFormatting>
  <conditionalFormatting sqref="J1:K1 AD1">
    <cfRule type="cellIs" priority="276" operator="lessThan" dxfId="0">
      <formula>0</formula>
    </cfRule>
  </conditionalFormatting>
  <conditionalFormatting sqref="AG1:AG81 AG83:AG95 AG98:AG101 AG103:AG117 AG119:AG149 AG151:AG176 AG179:AG199 AG201:AG203 AG205:AG218 AG220:AG302 AG305:AG312 AG314:AG337 AG338:AG339 AG340:AG65536">
    <cfRule type="cellIs" priority="17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03" operator="lessThan" dxfId="0" stopIfTrue="1">
      <formula>0</formula>
    </cfRule>
  </conditionalFormatting>
  <conditionalFormatting sqref="M2 M4:M87 M96:M97 M102 M118 M150 M177:M178 M200 M204 M219">
    <cfRule type="cellIs" priority="67" operator="lessThan" dxfId="0">
      <formula>0</formula>
    </cfRule>
  </conditionalFormatting>
  <conditionalFormatting sqref="Q2:V2 X2:AB2">
    <cfRule type="cellIs" priority="31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7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72" operator="lessThan" dxfId="0" stopIfTrue="1">
      <formula>0</formula>
    </cfRule>
  </conditionalFormatting>
  <conditionalFormatting sqref="AG2:AG36 AG38:AG42 AG47:AG58 AG62 AG65:AG68 AG70 AG75:AG80 AG83:AG95 AG98:AG100 AG103:AG112 AG119:AG137 AG142:AG146 AG151:AG159 AG164:AG174 AG179:AG192 AG198:AG199 AG201:AG203 AG205:AG209 AG217 AG221 AG223:AG225 AG227:AG284 AG286:AG289 AG291 AG295:AG300">
    <cfRule type="cellIs" priority="45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14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140" operator="lessThan" dxfId="0">
      <formula>0</formula>
    </cfRule>
  </conditionalFormatting>
  <conditionalFormatting sqref="Q3:V8 X3:AB8">
    <cfRule type="cellIs" priority="312" operator="lessThan" dxfId="0" stopIfTrue="1">
      <formula>0</formula>
    </cfRule>
  </conditionalFormatting>
  <conditionalFormatting sqref="J37:K37 AD37">
    <cfRule type="cellIs" priority="301" operator="lessThan" dxfId="0" stopIfTrue="1">
      <formula>0</formula>
    </cfRule>
  </conditionalFormatting>
  <conditionalFormatting sqref="J43:K44 AD43:AD44">
    <cfRule type="cellIs" priority="300" operator="lessThan" dxfId="0" stopIfTrue="1">
      <formula>0</formula>
    </cfRule>
  </conditionalFormatting>
  <conditionalFormatting sqref="AE43:AF44">
    <cfRule type="cellIs" priority="269" operator="lessThan" dxfId="0" stopIfTrue="1">
      <formula>0</formula>
    </cfRule>
  </conditionalFormatting>
  <conditionalFormatting sqref="J45:K46 AD45:AD46">
    <cfRule type="cellIs" priority="284" operator="lessThan" dxfId="0" stopIfTrue="1">
      <formula>0</formula>
    </cfRule>
  </conditionalFormatting>
  <conditionalFormatting sqref="AE45:AF46">
    <cfRule type="cellIs" priority="253" operator="lessThan" dxfId="0" stopIfTrue="1">
      <formula>0</formula>
    </cfRule>
  </conditionalFormatting>
  <conditionalFormatting sqref="J59:K59 AD59">
    <cfRule type="cellIs" priority="299" operator="lessThan" dxfId="0" stopIfTrue="1">
      <formula>0</formula>
    </cfRule>
  </conditionalFormatting>
  <conditionalFormatting sqref="J60:K61 AD60:AD61">
    <cfRule type="cellIs" priority="283" operator="lessThan" dxfId="0" stopIfTrue="1">
      <formula>0</formula>
    </cfRule>
  </conditionalFormatting>
  <conditionalFormatting sqref="AE60:AF61">
    <cfRule type="cellIs" priority="252" operator="lessThan" dxfId="0" stopIfTrue="1">
      <formula>0</formula>
    </cfRule>
  </conditionalFormatting>
  <conditionalFormatting sqref="J63:K64 AD63:AD64">
    <cfRule type="cellIs" priority="298" operator="lessThan" dxfId="0" stopIfTrue="1">
      <formula>0</formula>
    </cfRule>
  </conditionalFormatting>
  <conditionalFormatting sqref="AE63:AF64">
    <cfRule type="cellIs" priority="267" operator="lessThan" dxfId="0" stopIfTrue="1">
      <formula>0</formula>
    </cfRule>
  </conditionalFormatting>
  <conditionalFormatting sqref="J69:K69 AD69">
    <cfRule type="cellIs" priority="297" operator="lessThan" dxfId="0" stopIfTrue="1">
      <formula>0</formula>
    </cfRule>
  </conditionalFormatting>
  <conditionalFormatting sqref="J71:K73 AD71:AD73">
    <cfRule type="cellIs" priority="296" operator="lessThan" dxfId="0" stopIfTrue="1">
      <formula>0</formula>
    </cfRule>
  </conditionalFormatting>
  <conditionalFormatting sqref="AE71:AF73">
    <cfRule type="cellIs" priority="265" operator="lessThan" dxfId="0" stopIfTrue="1">
      <formula>0</formula>
    </cfRule>
  </conditionalFormatting>
  <conditionalFormatting sqref="J74:K74 J197:K197 J215:K215 AD74 AD197 AD215">
    <cfRule type="cellIs" priority="304" operator="lessThan" dxfId="0" stopIfTrue="1">
      <formula>0</formula>
    </cfRule>
  </conditionalFormatting>
  <conditionalFormatting sqref="AE74:AF74 AE197:AF197 AE215:AF215">
    <cfRule type="cellIs" priority="273" operator="lessThan" dxfId="0" stopIfTrue="1">
      <formula>0</formula>
    </cfRule>
  </conditionalFormatting>
  <conditionalFormatting sqref="AG74 AG197 AG215">
    <cfRule type="cellIs" priority="46" operator="lessThan" dxfId="0" stopIfTrue="1">
      <formula>0</formula>
    </cfRule>
  </conditionalFormatting>
  <conditionalFormatting sqref="J81:K81 AD81">
    <cfRule type="cellIs" priority="295" operator="lessThan" dxfId="0" stopIfTrue="1">
      <formula>0</formula>
    </cfRule>
  </conditionalFormatting>
  <conditionalFormatting sqref="C82:L82 N82 AD82:AF82">
    <cfRule type="cellIs" priority="238" operator="lessThan" dxfId="0">
      <formula>0</formula>
    </cfRule>
  </conditionalFormatting>
  <conditionalFormatting sqref="J82:K82 AD82">
    <cfRule type="cellIs" priority="240" operator="lessThan" dxfId="0" stopIfTrue="1">
      <formula>0</formula>
    </cfRule>
  </conditionalFormatting>
  <conditionalFormatting sqref="C96:L96 N96 AD96:AF96">
    <cfRule type="cellIs" priority="235" operator="lessThan" dxfId="0">
      <formula>0</formula>
    </cfRule>
  </conditionalFormatting>
  <conditionalFormatting sqref="J96:K96 AD96">
    <cfRule type="cellIs" priority="237" operator="lessThan" dxfId="0" stopIfTrue="1">
      <formula>0</formula>
    </cfRule>
  </conditionalFormatting>
  <conditionalFormatting sqref="C97:L97 N97 AD97:AF97">
    <cfRule type="cellIs" priority="232" operator="lessThan" dxfId="0">
      <formula>0</formula>
    </cfRule>
  </conditionalFormatting>
  <conditionalFormatting sqref="J97:K97 AD97">
    <cfRule type="cellIs" priority="234" operator="lessThan" dxfId="0" stopIfTrue="1">
      <formula>0</formula>
    </cfRule>
  </conditionalFormatting>
  <conditionalFormatting sqref="J101:K101 AD101">
    <cfRule type="cellIs" priority="294" operator="lessThan" dxfId="0" stopIfTrue="1">
      <formula>0</formula>
    </cfRule>
  </conditionalFormatting>
  <conditionalFormatting sqref="C102:L102 N102 AD102:AF102">
    <cfRule type="cellIs" priority="229" operator="lessThan" dxfId="0">
      <formula>0</formula>
    </cfRule>
  </conditionalFormatting>
  <conditionalFormatting sqref="J102:K102 AD102">
    <cfRule type="cellIs" priority="231" operator="lessThan" dxfId="0" stopIfTrue="1">
      <formula>0</formula>
    </cfRule>
  </conditionalFormatting>
  <conditionalFormatting sqref="J113:K113 AD113">
    <cfRule type="cellIs" priority="293" operator="lessThan" dxfId="0" stopIfTrue="1">
      <formula>0</formula>
    </cfRule>
  </conditionalFormatting>
  <conditionalFormatting sqref="J114:K117 AD114:AD117">
    <cfRule type="cellIs" priority="280" operator="lessThan" dxfId="0" stopIfTrue="1">
      <formula>0</formula>
    </cfRule>
  </conditionalFormatting>
  <conditionalFormatting sqref="AE114:AF117">
    <cfRule type="cellIs" priority="249" operator="lessThan" dxfId="0" stopIfTrue="1">
      <formula>0</formula>
    </cfRule>
  </conditionalFormatting>
  <conditionalFormatting sqref="C118:L118 N118 AD118:AF118">
    <cfRule type="cellIs" priority="226" operator="lessThan" dxfId="0">
      <formula>0</formula>
    </cfRule>
  </conditionalFormatting>
  <conditionalFormatting sqref="J118:K118 AD118">
    <cfRule type="cellIs" priority="228" operator="lessThan" dxfId="0" stopIfTrue="1">
      <formula>0</formula>
    </cfRule>
  </conditionalFormatting>
  <conditionalFormatting sqref="J138:K140 AD138:AD140">
    <cfRule type="cellIs" priority="292" operator="lessThan" dxfId="0" stopIfTrue="1">
      <formula>0</formula>
    </cfRule>
  </conditionalFormatting>
  <conditionalFormatting sqref="AE138:AF140">
    <cfRule type="cellIs" priority="261" operator="lessThan" dxfId="0" stopIfTrue="1">
      <formula>0</formula>
    </cfRule>
  </conditionalFormatting>
  <conditionalFormatting sqref="J141:K141 AD141">
    <cfRule type="cellIs" priority="279" operator="lessThan" dxfId="0" stopIfTrue="1">
      <formula>0</formula>
    </cfRule>
  </conditionalFormatting>
  <conditionalFormatting sqref="J147:K149 AD147:AD149">
    <cfRule type="cellIs" priority="282" operator="lessThan" dxfId="0" stopIfTrue="1">
      <formula>0</formula>
    </cfRule>
  </conditionalFormatting>
  <conditionalFormatting sqref="AE147:AF149">
    <cfRule type="cellIs" priority="251" operator="lessThan" dxfId="0" stopIfTrue="1">
      <formula>0</formula>
    </cfRule>
  </conditionalFormatting>
  <conditionalFormatting sqref="B150 B177:B178 B200 B204 B219">
    <cfRule type="cellIs" priority="54" operator="lessThan" dxfId="0">
      <formula>0</formula>
    </cfRule>
  </conditionalFormatting>
  <conditionalFormatting sqref="C150:L150 C177:L178 C200:L200 C204:L204 C219:L219 N150 N177:N178 N200 N204 N219 AD150:AF150 AD177:AF178 AD200:AF200 AD204:AF204 AD219:AF219">
    <cfRule type="cellIs" priority="223" operator="lessThan" dxfId="0">
      <formula>0</formula>
    </cfRule>
  </conditionalFormatting>
  <conditionalFormatting sqref="J150:K150 J177:K178 J200:K200 J204:K204 J219:K219 AD150 AD177:AD178 AD200 AD204 AD219">
    <cfRule type="cellIs" priority="225" operator="lessThan" dxfId="0" stopIfTrue="1">
      <formula>0</formula>
    </cfRule>
  </conditionalFormatting>
  <conditionalFormatting sqref="O150:AB150 O177:AB178 O200:AB200 O204:AB204 O219:AB219">
    <cfRule type="cellIs" priority="129" operator="lessThan" dxfId="0" stopIfTrue="1">
      <formula>0</formula>
    </cfRule>
    <cfRule type="cellIs" priority="128" operator="lessThan" dxfId="0">
      <formula>0</formula>
    </cfRule>
  </conditionalFormatting>
  <conditionalFormatting sqref="AE150:AF150 AE177:AF178 AE200:AF200 AE204:AF204 AE219:AF219">
    <cfRule type="cellIs" priority="224" operator="lessThan" dxfId="0" stopIfTrue="1">
      <formula>0</formula>
    </cfRule>
  </conditionalFormatting>
  <conditionalFormatting sqref="AG150 AG177:AG178 AG200 AG204 AG219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J160:K163 AD160:AD163">
    <cfRule type="cellIs" priority="291" operator="lessThan" dxfId="0" stopIfTrue="1">
      <formula>0</formula>
    </cfRule>
  </conditionalFormatting>
  <conditionalFormatting sqref="AE160:AF163">
    <cfRule type="cellIs" priority="260" operator="lessThan" dxfId="0" stopIfTrue="1">
      <formula>0</formula>
    </cfRule>
  </conditionalFormatting>
  <conditionalFormatting sqref="J175:K176 AD175:AD176">
    <cfRule type="cellIs" priority="290" operator="lessThan" dxfId="0" stopIfTrue="1">
      <formula>0</formula>
    </cfRule>
  </conditionalFormatting>
  <conditionalFormatting sqref="AE175:AF176">
    <cfRule type="cellIs" priority="259" operator="lessThan" dxfId="0" stopIfTrue="1">
      <formula>0</formula>
    </cfRule>
  </conditionalFormatting>
  <conditionalFormatting sqref="J193:K196 AD193:AD196">
    <cfRule type="cellIs" priority="281" operator="lessThan" dxfId="0" stopIfTrue="1">
      <formula>0</formula>
    </cfRule>
  </conditionalFormatting>
  <conditionalFormatting sqref="AE193:AF196">
    <cfRule type="cellIs" priority="250" operator="lessThan" dxfId="0" stopIfTrue="1">
      <formula>0</formula>
    </cfRule>
  </conditionalFormatting>
  <conditionalFormatting sqref="J210:K214 AD210:AD214">
    <cfRule type="cellIs" priority="289" operator="lessThan" dxfId="0" stopIfTrue="1">
      <formula>0</formula>
    </cfRule>
  </conditionalFormatting>
  <conditionalFormatting sqref="AE210:AF214">
    <cfRule type="cellIs" priority="258" operator="lessThan" dxfId="0" stopIfTrue="1">
      <formula>0</formula>
    </cfRule>
  </conditionalFormatting>
  <conditionalFormatting sqref="J216:K216 AD216">
    <cfRule type="cellIs" priority="302" operator="lessThan" dxfId="0" stopIfTrue="1">
      <formula>0</formula>
    </cfRule>
  </conditionalFormatting>
  <conditionalFormatting sqref="J218:K218 AD218">
    <cfRule type="cellIs" priority="288" operator="lessThan" dxfId="0" stopIfTrue="1">
      <formula>0</formula>
    </cfRule>
  </conditionalFormatting>
  <conditionalFormatting sqref="J220:K220 AD220">
    <cfRule type="cellIs" priority="278" operator="lessThan" dxfId="0" stopIfTrue="1">
      <formula>0</formula>
    </cfRule>
  </conditionalFormatting>
  <conditionalFormatting sqref="J222:K222 AD222">
    <cfRule type="cellIs" priority="287" operator="lessThan" dxfId="0" stopIfTrue="1">
      <formula>0</formula>
    </cfRule>
  </conditionalFormatting>
  <conditionalFormatting sqref="J226:K226 AD226">
    <cfRule type="cellIs" priority="286" operator="lessThan" dxfId="0" stopIfTrue="1">
      <formula>0</formula>
    </cfRule>
  </conditionalFormatting>
  <conditionalFormatting sqref="J285:K285 AD285">
    <cfRule type="cellIs" priority="285" operator="lessThan" dxfId="0" stopIfTrue="1">
      <formula>0</formula>
    </cfRule>
  </conditionalFormatting>
  <conditionalFormatting sqref="J290:K290 AD290">
    <cfRule type="cellIs" priority="277" operator="lessThan" dxfId="0" stopIfTrue="1">
      <formula>0</formula>
    </cfRule>
  </conditionalFormatting>
  <conditionalFormatting sqref="AC294 AC301:AC302 AC305:AC312">
    <cfRule type="cellIs" priority="243" operator="lessThan" dxfId="0" stopIfTrue="1">
      <formula>0</formula>
    </cfRule>
  </conditionalFormatting>
  <conditionalFormatting sqref="J301:K302 J305:K312 J314:K318 AD301:AD302 AD305:AD312 AD314:AD318">
    <cfRule type="cellIs" priority="305" operator="lessThan" dxfId="0" stopIfTrue="1">
      <formula>0</formula>
    </cfRule>
  </conditionalFormatting>
  <conditionalFormatting sqref="AE301:AF302 AE305:AF312 AE314:AF318">
    <cfRule type="cellIs" priority="274" operator="lessThan" dxfId="0" stopIfTrue="1">
      <formula>0</formula>
    </cfRule>
  </conditionalFormatting>
  <conditionalFormatting sqref="AG301:AG302 AG305:AG312 AG314:AG318">
    <cfRule type="cellIs" priority="47" operator="lessThan" dxfId="0" stopIfTrue="1">
      <formula>0</formula>
    </cfRule>
  </conditionalFormatting>
  <conditionalFormatting sqref="B303:B304 B313">
    <cfRule type="cellIs" priority="53" operator="lessThan" dxfId="0">
      <formula>0</formula>
    </cfRule>
  </conditionalFormatting>
  <conditionalFormatting sqref="C303:L304 C313:L313 N303:N304 N313 AD303:AF304 AD313:AF313">
    <cfRule type="cellIs" priority="220" operator="lessThan" dxfId="0">
      <formula>0</formula>
    </cfRule>
  </conditionalFormatting>
  <conditionalFormatting sqref="J303:K304 J313:K313 AD303:AD304 AD313">
    <cfRule type="cellIs" priority="222" operator="lessThan" dxfId="0" stopIfTrue="1">
      <formula>0</formula>
    </cfRule>
  </conditionalFormatting>
  <conditionalFormatting sqref="M303:M304 M313">
    <cfRule type="cellIs" priority="195" operator="lessThan" dxfId="0">
      <formula>0</formula>
    </cfRule>
  </conditionalFormatting>
  <conditionalFormatting sqref="O303:AB304 O313:AB313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AC303:AC304 AC313">
    <cfRule type="cellIs" priority="219" operator="lessThan" dxfId="0" stopIfTrue="1">
      <formula>0</formula>
    </cfRule>
  </conditionalFormatting>
  <conditionalFormatting sqref="AE303:AF304 AE313:AF313">
    <cfRule type="cellIs" priority="221" operator="lessThan" dxfId="0" stopIfTrue="1">
      <formula>0</formula>
    </cfRule>
  </conditionalFormatting>
  <conditionalFormatting sqref="AG303:AG304 AG313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O314:AC318">
    <cfRule type="cellIs" priority="212" operator="lessThan" dxfId="0">
      <formula>0</formula>
    </cfRule>
    <cfRule type="cellIs" priority="213" operator="lessThan" dxfId="0" stopIfTrue="1">
      <formula>0</formula>
    </cfRule>
  </conditionalFormatting>
  <conditionalFormatting sqref="J319:K319 AD319">
    <cfRule type="cellIs" priority="306" operator="lessThan" dxfId="0" stopIfTrue="1">
      <formula>0</formula>
    </cfRule>
  </conditionalFormatting>
  <conditionalFormatting sqref="P319:V319 X319:AA319">
    <cfRule type="cellIs" priority="314" operator="lessThan" dxfId="0" stopIfTrue="1">
      <formula>0</formula>
    </cfRule>
  </conditionalFormatting>
  <conditionalFormatting sqref="W319 AB319">
    <cfRule type="cellIs" priority="315" operator="lessThan" dxfId="0" stopIfTrue="1">
      <formula>0</formula>
    </cfRule>
  </conditionalFormatting>
  <conditionalFormatting sqref="M321:AB327 M344:AB347 N320">
    <cfRule type="cellIs" priority="211" operator="lessThan" dxfId="0">
      <formula>0</formula>
    </cfRule>
  </conditionalFormatting>
  <conditionalFormatting sqref="P320:V320 X320:AB320">
    <cfRule type="cellIs" priority="216" operator="lessThan" dxfId="0" stopIfTrue="1">
      <formula>0</formula>
    </cfRule>
  </conditionalFormatting>
  <conditionalFormatting sqref="O321:AB323 O344:AB347">
    <cfRule type="cellIs" priority="210" operator="lessThan" dxfId="0">
      <formula>0</formula>
    </cfRule>
  </conditionalFormatting>
  <conditionalFormatting sqref="O324:AB325">
    <cfRule type="cellIs" priority="204" operator="lessThan" dxfId="0">
      <formula>0</formula>
    </cfRule>
  </conditionalFormatting>
  <conditionalFormatting sqref="O326:AB327">
    <cfRule type="cellIs" priority="118" operator="lessThan" dxfId="0">
      <formula>0</formula>
    </cfRule>
  </conditionalFormatting>
  <conditionalFormatting sqref="M329:AB329 N328:AB328">
    <cfRule type="cellIs" priority="190" operator="lessThan" dxfId="0">
      <formula>0</formula>
    </cfRule>
  </conditionalFormatting>
  <conditionalFormatting sqref="M330:AB331">
    <cfRule type="cellIs" priority="185" operator="lessThan" dxfId="0">
      <formula>0</formula>
    </cfRule>
  </conditionalFormatting>
  <conditionalFormatting sqref="M353:AB35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2"/>
  <sheetViews>
    <sheetView workbookViewId="0">
      <pane xSplit="13" ySplit="2" topLeftCell="N198" activePane="bottomRight" state="frozen"/>
      <selection activeCell="A1" sqref="A1"/>
      <selection pane="topRight" activeCell="A1" sqref="A1"/>
      <selection pane="bottomLeft" activeCell="A1" sqref="A1"/>
      <selection pane="bottomRight" activeCell="AJ204" sqref="AJ204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9.125" customWidth="1" style="189" min="33" max="33"/>
    <col width="8.5" customWidth="1" style="189" min="34" max="34"/>
    <col width="8.891666666666669" customWidth="1" style="1" min="35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190" t="n"/>
      <c r="AH1" s="190" t="n">
        <v>20</v>
      </c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91" t="inlineStr">
        <is>
          <t>计划剩余</t>
        </is>
      </c>
      <c r="AH2" s="192" t="inlineStr">
        <is>
          <t>剩余轮均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>
        <f>ROUND(#REF!+#REF!+#REF!+预安排!F2+#REF!+'6月'!P3,5)</f>
        <v/>
      </c>
      <c r="Q3" s="182">
        <f>ROUND(#REF!+#REF!+#REF!+预安排!#REF!+#REF!+'6月'!Q3,5)</f>
        <v/>
      </c>
      <c r="R3" s="182">
        <f>ROUND(#REF!+#REF!+#REF!+预安排!G2+#REF!+'6月'!R3,5)</f>
        <v/>
      </c>
      <c r="S3" s="182">
        <f>ROUND(#REF!+#REF!+#REF!+预安排!#REF!+#REF!+'6月'!S3,5)</f>
        <v/>
      </c>
      <c r="T3" s="182">
        <f>ROUND(#REF!+#REF!+#REF!+预安排!#REF!+#REF!+'6月'!T3,5)</f>
        <v/>
      </c>
      <c r="U3" s="182">
        <f>ROUND(#REF!+#REF!+#REF!+预安排!O2+#REF!+'6月'!U3,5)</f>
        <v/>
      </c>
      <c r="V3" s="182">
        <f>ROUND(#REF!+#REF!+#REF!+预安排!P2+#REF!+'6月'!V3,5)</f>
        <v/>
      </c>
      <c r="W3" s="182">
        <f>ROUND(#REF!+#REF!+#REF!+预安排!Q2+#REF!+'6月'!W3,5)</f>
        <v/>
      </c>
      <c r="X3" s="182">
        <f>ROUND(#REF!+#REF!+#REF!+预安排!R2+#REF!+'6月'!X3,5)</f>
        <v/>
      </c>
      <c r="Y3" s="182">
        <f>ROUND(#REF!+#REF!+#REF!+预安排!S2+#REF!+'6月'!Y3,5)</f>
        <v/>
      </c>
      <c r="Z3" s="182">
        <f>ROUND(#REF!+#REF!+#REF!+预安排!#REF!+#REF!+'6月'!Z3,5)</f>
        <v/>
      </c>
      <c r="AA3" s="182">
        <f>ROUND(#REF!+#REF!+#REF!+预安排!#REF!+#REF!+'6月'!AA3,5)</f>
        <v/>
      </c>
      <c r="AB3" s="183">
        <f>ROUND(#REF!+#REF!+#REF!+预安排!#REF!+#REF!+'6月'!AB3,5)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  <c r="AG3" s="193">
        <f>计划!O3-O3</f>
        <v/>
      </c>
      <c r="AH3" s="193">
        <f>ROUND(AG3/$AH$1,2)</f>
        <v/>
      </c>
    </row>
    <row r="4" customFormat="1" s="1">
      <c r="A4" s="234" t="n"/>
      <c r="B4" s="231" t="inlineStr">
        <is>
          <t>SKU-FEFFF06B</t>
        </is>
      </c>
      <c r="C4" s="231" t="inlineStr">
        <is>
          <t>是</t>
        </is>
      </c>
      <c r="D4" s="231" t="n">
        <v>5</v>
      </c>
      <c r="E4" s="231" t="inlineStr"/>
      <c r="F4" s="231" t="inlineStr"/>
      <c r="G4" s="231" t="inlineStr"/>
      <c r="H4" s="231" t="inlineStr"/>
      <c r="I4" s="231" t="inlineStr"/>
      <c r="J4" s="27" t="inlineStr"/>
      <c r="K4" s="27" t="inlineStr">
        <is>
          <t>是</t>
        </is>
      </c>
      <c r="L4" s="231" t="n">
        <v>100</v>
      </c>
      <c r="M4" s="19" t="inlineStr">
        <is>
          <t>Product-2824E2BD</t>
        </is>
      </c>
      <c r="N4" s="231" t="n">
        <v>2</v>
      </c>
      <c r="O4" s="51">
        <f>SUM(P4:AB4)</f>
        <v/>
      </c>
      <c r="P4" s="182">
        <f>ROUND(#REF!+#REF!+#REF!+预安排!F3+#REF!+'6月'!P4,5)</f>
        <v/>
      </c>
      <c r="Q4" s="184">
        <f>ROUND(#REF!+#REF!+#REF!+预安排!#REF!+#REF!+'6月'!Q4,5)</f>
        <v/>
      </c>
      <c r="R4" s="184">
        <f>ROUND(#REF!+#REF!+#REF!+预安排!G3+#REF!+'6月'!R4,5)</f>
        <v/>
      </c>
      <c r="S4" s="184">
        <f>ROUND(#REF!+#REF!+#REF!+预安排!#REF!+#REF!+'6月'!S4,5)</f>
        <v/>
      </c>
      <c r="T4" s="184">
        <f>ROUND(#REF!+#REF!+#REF!+预安排!#REF!+#REF!+'6月'!T4,5)</f>
        <v/>
      </c>
      <c r="U4" s="184">
        <f>ROUND(#REF!+#REF!+#REF!+预安排!O3+#REF!+'6月'!U4,5)</f>
        <v/>
      </c>
      <c r="V4" s="184">
        <f>ROUND(#REF!+#REF!+#REF!+预安排!P3+#REF!+'6月'!V4,5)</f>
        <v/>
      </c>
      <c r="W4" s="184">
        <f>ROUND(#REF!+#REF!+#REF!+预安排!Q3+#REF!+'6月'!W4,5)</f>
        <v/>
      </c>
      <c r="X4" s="184">
        <f>ROUND(#REF!+#REF!+#REF!+预安排!R3+#REF!+'6月'!X4,5)</f>
        <v/>
      </c>
      <c r="Y4" s="184">
        <f>ROUND(#REF!+#REF!+#REF!+预安排!S3+#REF!+'6月'!Y4,5)</f>
        <v/>
      </c>
      <c r="Z4" s="184">
        <f>ROUND(#REF!+#REF!+#REF!+预安排!#REF!+#REF!+'6月'!Z4,5)</f>
        <v/>
      </c>
      <c r="AA4" s="184">
        <f>ROUND(#REF!+#REF!+#REF!+预安排!#REF!+#REF!+'6月'!AA4,5)</f>
        <v/>
      </c>
      <c r="AB4" s="185">
        <f>ROUND(#REF!+#REF!+#REF!+预安排!#REF!+#REF!+'6月'!AB4,5)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193">
        <f>计划!O4-O4</f>
        <v/>
      </c>
      <c r="AH4" s="194">
        <f>ROUND(AG4/$AH$1,2)</f>
        <v/>
      </c>
    </row>
    <row r="5" customFormat="1" s="1">
      <c r="A5" s="234" t="n"/>
      <c r="B5" s="231" t="inlineStr">
        <is>
          <t>SKU-2866FD1A</t>
        </is>
      </c>
      <c r="C5" s="231" t="inlineStr">
        <is>
          <t>是</t>
        </is>
      </c>
      <c r="D5" s="231" t="n">
        <v>8</v>
      </c>
      <c r="E5" s="231" t="inlineStr"/>
      <c r="F5" s="231" t="inlineStr"/>
      <c r="G5" s="231" t="inlineStr"/>
      <c r="H5" s="231" t="inlineStr"/>
      <c r="I5" s="231" t="inlineStr"/>
      <c r="J5" s="27" t="inlineStr"/>
      <c r="K5" s="27" t="inlineStr">
        <is>
          <t>是</t>
        </is>
      </c>
      <c r="L5" s="231" t="n">
        <v>100</v>
      </c>
      <c r="M5" s="19" t="inlineStr">
        <is>
          <t>Product-B05D24B5</t>
        </is>
      </c>
      <c r="N5" s="231" t="n">
        <v>3</v>
      </c>
      <c r="O5" s="51">
        <f>SUM(P5:AB5)</f>
        <v/>
      </c>
      <c r="P5" s="182">
        <f>ROUND(#REF!+#REF!+#REF!+预安排!F4+#REF!+'6月'!P5,5)</f>
        <v/>
      </c>
      <c r="Q5" s="184">
        <f>ROUND(#REF!+#REF!+#REF!+预安排!#REF!+#REF!+'6月'!Q5,5)</f>
        <v/>
      </c>
      <c r="R5" s="184">
        <f>ROUND(#REF!+#REF!+#REF!+预安排!G4+#REF!+'6月'!R5,5)</f>
        <v/>
      </c>
      <c r="S5" s="184">
        <f>ROUND(#REF!+#REF!+#REF!+预安排!#REF!+#REF!+'6月'!S5,5)</f>
        <v/>
      </c>
      <c r="T5" s="184">
        <f>ROUND(#REF!+#REF!+#REF!+预安排!#REF!+#REF!+'6月'!T5,5)</f>
        <v/>
      </c>
      <c r="U5" s="184">
        <f>ROUND(#REF!+#REF!+#REF!+预安排!O4+#REF!+'6月'!U5,5)</f>
        <v/>
      </c>
      <c r="V5" s="184">
        <f>ROUND(#REF!+#REF!+#REF!+预安排!P4+#REF!+'6月'!V5,5)</f>
        <v/>
      </c>
      <c r="W5" s="184">
        <f>ROUND(#REF!+#REF!+#REF!+预安排!Q4+#REF!+'6月'!W5,5)</f>
        <v/>
      </c>
      <c r="X5" s="184">
        <f>ROUND(#REF!+#REF!+#REF!+预安排!R4+#REF!+'6月'!X5,5)</f>
        <v/>
      </c>
      <c r="Y5" s="184">
        <f>ROUND(#REF!+#REF!+#REF!+预安排!S4+#REF!+'6月'!Y5,5)</f>
        <v/>
      </c>
      <c r="Z5" s="184">
        <f>ROUND(#REF!+#REF!+#REF!+预安排!#REF!+#REF!+'6月'!Z5,5)</f>
        <v/>
      </c>
      <c r="AA5" s="184">
        <f>ROUND(#REF!+#REF!+#REF!+预安排!#REF!+#REF!+'6月'!AA5,5)</f>
        <v/>
      </c>
      <c r="AB5" s="185">
        <f>ROUND(#REF!+#REF!+#REF!+预安排!#REF!+#REF!+'6月'!AB5,5)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  <c r="AG5" s="193">
        <f>计划!O5-O5</f>
        <v/>
      </c>
      <c r="AH5" s="194">
        <f>ROUND(AG5/$AH$1,2)</f>
        <v/>
      </c>
    </row>
    <row r="6" customFormat="1" s="1">
      <c r="A6" s="234" t="n"/>
      <c r="B6" s="231" t="inlineStr">
        <is>
          <t>SKU-0260B714</t>
        </is>
      </c>
      <c r="C6" s="231" t="inlineStr">
        <is>
          <t>是</t>
        </is>
      </c>
      <c r="D6" s="231" t="n">
        <v>5</v>
      </c>
      <c r="E6" s="231" t="inlineStr"/>
      <c r="F6" s="231" t="inlineStr"/>
      <c r="G6" s="231" t="inlineStr"/>
      <c r="H6" s="231" t="inlineStr"/>
      <c r="I6" s="231" t="inlineStr"/>
      <c r="J6" s="27" t="inlineStr"/>
      <c r="K6" s="27" t="inlineStr">
        <is>
          <t>是</t>
        </is>
      </c>
      <c r="L6" s="231" t="n">
        <v>100</v>
      </c>
      <c r="M6" s="33" t="inlineStr">
        <is>
          <t>Product-9FA41960</t>
        </is>
      </c>
      <c r="N6" s="231" t="n">
        <v>2</v>
      </c>
      <c r="O6" s="51">
        <f>SUM(P6:AB6)</f>
        <v/>
      </c>
      <c r="P6" s="182">
        <f>ROUND(#REF!+#REF!+#REF!+预安排!F5+#REF!+'6月'!P6,5)</f>
        <v/>
      </c>
      <c r="Q6" s="184">
        <f>ROUND(#REF!+#REF!+#REF!+预安排!#REF!+#REF!+'6月'!Q6,5)</f>
        <v/>
      </c>
      <c r="R6" s="184">
        <f>ROUND(#REF!+#REF!+#REF!+预安排!G5+#REF!+'6月'!R6,5)</f>
        <v/>
      </c>
      <c r="S6" s="184">
        <f>ROUND(#REF!+#REF!+#REF!+预安排!#REF!+#REF!+'6月'!S6,5)</f>
        <v/>
      </c>
      <c r="T6" s="184">
        <f>ROUND(#REF!+#REF!+#REF!+预安排!#REF!+#REF!+'6月'!T6,5)</f>
        <v/>
      </c>
      <c r="U6" s="184">
        <f>ROUND(#REF!+#REF!+#REF!+预安排!O5+#REF!+'6月'!U6,5)</f>
        <v/>
      </c>
      <c r="V6" s="184">
        <f>ROUND(#REF!+#REF!+#REF!+预安排!P5+#REF!+'6月'!V6,5)</f>
        <v/>
      </c>
      <c r="W6" s="184">
        <f>ROUND(#REF!+#REF!+#REF!+预安排!Q5+#REF!+'6月'!W6,5)</f>
        <v/>
      </c>
      <c r="X6" s="184">
        <f>ROUND(#REF!+#REF!+#REF!+预安排!R5+#REF!+'6月'!X6,5)</f>
        <v/>
      </c>
      <c r="Y6" s="184">
        <f>ROUND(#REF!+#REF!+#REF!+预安排!S5+#REF!+'6月'!Y6,5)</f>
        <v/>
      </c>
      <c r="Z6" s="184">
        <f>ROUND(#REF!+#REF!+#REF!+预安排!#REF!+#REF!+'6月'!Z6,5)</f>
        <v/>
      </c>
      <c r="AA6" s="184">
        <f>ROUND(#REF!+#REF!+#REF!+预安排!#REF!+#REF!+'6月'!AA6,5)</f>
        <v/>
      </c>
      <c r="AB6" s="185">
        <f>ROUND(#REF!+#REF!+#REF!+预安排!#REF!+#REF!+'6月'!AB6,5)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  <c r="AG6" s="193">
        <f>计划!O6-O6</f>
        <v/>
      </c>
      <c r="AH6" s="194">
        <f>ROUND(AG6/$AH$1,2)</f>
        <v/>
      </c>
    </row>
    <row r="7" customFormat="1" s="1">
      <c r="A7" s="234" t="n"/>
      <c r="B7" s="231" t="inlineStr">
        <is>
          <t>SKU-80DD304E</t>
        </is>
      </c>
      <c r="C7" s="231" t="inlineStr">
        <is>
          <t>是</t>
        </is>
      </c>
      <c r="D7" s="231" t="n">
        <v>5</v>
      </c>
      <c r="E7" s="231" t="inlineStr"/>
      <c r="F7" s="231" t="inlineStr">
        <is>
          <t>是</t>
        </is>
      </c>
      <c r="G7" s="231" t="inlineStr"/>
      <c r="H7" s="231" t="inlineStr"/>
      <c r="I7" s="231" t="inlineStr">
        <is>
          <t>是</t>
        </is>
      </c>
      <c r="J7" s="27" t="inlineStr"/>
      <c r="K7" s="27" t="inlineStr">
        <is>
          <t>是</t>
        </is>
      </c>
      <c r="L7" s="231" t="n">
        <v>100</v>
      </c>
      <c r="M7" s="19" t="inlineStr">
        <is>
          <t>Product-104B7147</t>
        </is>
      </c>
      <c r="N7" s="231" t="n">
        <v>2</v>
      </c>
      <c r="O7" s="51">
        <f>SUM(P7:AB7)</f>
        <v/>
      </c>
      <c r="P7" s="182">
        <f>ROUND(#REF!+#REF!+#REF!+预安排!F6+#REF!+'6月'!P7,5)</f>
        <v/>
      </c>
      <c r="Q7" s="184">
        <f>ROUND(#REF!+#REF!+#REF!+预安排!#REF!+#REF!+'6月'!Q7,5)</f>
        <v/>
      </c>
      <c r="R7" s="184">
        <f>ROUND(#REF!+#REF!+#REF!+预安排!G6+#REF!+'6月'!R7,5)</f>
        <v/>
      </c>
      <c r="S7" s="184">
        <f>ROUND(#REF!+#REF!+#REF!+预安排!#REF!+#REF!+'6月'!S7,5)</f>
        <v/>
      </c>
      <c r="T7" s="184">
        <f>ROUND(#REF!+#REF!+#REF!+预安排!#REF!+#REF!+'6月'!T7,5)</f>
        <v/>
      </c>
      <c r="U7" s="184">
        <f>ROUND(#REF!+#REF!+#REF!+预安排!O6+#REF!+'6月'!U7,5)</f>
        <v/>
      </c>
      <c r="V7" s="184">
        <f>ROUND(#REF!+#REF!+#REF!+预安排!P6+#REF!+'6月'!V7,5)</f>
        <v/>
      </c>
      <c r="W7" s="184">
        <f>ROUND(#REF!+#REF!+#REF!+预安排!Q6+#REF!+'6月'!W7,5)</f>
        <v/>
      </c>
      <c r="X7" s="184">
        <f>ROUND(#REF!+#REF!+#REF!+预安排!R6+#REF!+'6月'!X7,5)</f>
        <v/>
      </c>
      <c r="Y7" s="184">
        <f>ROUND(#REF!+#REF!+#REF!+预安排!S6+#REF!+'6月'!Y7,5)</f>
        <v/>
      </c>
      <c r="Z7" s="184">
        <f>ROUND(#REF!+#REF!+#REF!+预安排!#REF!+#REF!+'6月'!Z7,5)</f>
        <v/>
      </c>
      <c r="AA7" s="184">
        <f>ROUND(#REF!+#REF!+#REF!+预安排!#REF!+#REF!+'6月'!AA7,5)</f>
        <v/>
      </c>
      <c r="AB7" s="185">
        <f>ROUND(#REF!+#REF!+#REF!+预安排!#REF!+#REF!+'6月'!AB7,5)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193">
        <f>计划!O7-O7</f>
        <v/>
      </c>
      <c r="AH7" s="194">
        <f>ROUND(AG7/$AH$1,2)</f>
        <v/>
      </c>
    </row>
    <row r="8" customFormat="1" s="1">
      <c r="A8" s="234" t="n"/>
      <c r="B8" s="231" t="inlineStr">
        <is>
          <t>SKU-1DE29866</t>
        </is>
      </c>
      <c r="C8" s="231" t="inlineStr">
        <is>
          <t>是</t>
        </is>
      </c>
      <c r="D8" s="231" t="n">
        <v>5</v>
      </c>
      <c r="E8" s="231" t="inlineStr"/>
      <c r="F8" s="231" t="inlineStr">
        <is>
          <t>是</t>
        </is>
      </c>
      <c r="G8" s="231" t="inlineStr"/>
      <c r="H8" s="231" t="inlineStr">
        <is>
          <t>是</t>
        </is>
      </c>
      <c r="I8" s="231" t="inlineStr">
        <is>
          <t>是</t>
        </is>
      </c>
      <c r="J8" s="27" t="inlineStr"/>
      <c r="K8" s="27" t="inlineStr">
        <is>
          <t>是</t>
        </is>
      </c>
      <c r="L8" s="231" t="n">
        <v>100</v>
      </c>
      <c r="M8" s="19" t="inlineStr">
        <is>
          <t>Product-F23B59C1</t>
        </is>
      </c>
      <c r="N8" s="231" t="n">
        <v>1</v>
      </c>
      <c r="O8" s="51">
        <f>SUM(P8:AB8)</f>
        <v/>
      </c>
      <c r="P8" s="182">
        <f>ROUND(#REF!+#REF!+#REF!+预安排!F7+#REF!+'6月'!P8,5)</f>
        <v/>
      </c>
      <c r="Q8" s="184">
        <f>ROUND(#REF!+#REF!+#REF!+预安排!#REF!+#REF!+'6月'!Q8,5)</f>
        <v/>
      </c>
      <c r="R8" s="184">
        <f>ROUND(#REF!+#REF!+#REF!+预安排!G7+#REF!+'6月'!R8,5)</f>
        <v/>
      </c>
      <c r="S8" s="184">
        <f>ROUND(#REF!+#REF!+#REF!+预安排!#REF!+#REF!+'6月'!S8,5)</f>
        <v/>
      </c>
      <c r="T8" s="184">
        <f>ROUND(#REF!+#REF!+#REF!+预安排!#REF!+#REF!+'6月'!T8,5)</f>
        <v/>
      </c>
      <c r="U8" s="184">
        <f>ROUND(#REF!+#REF!+#REF!+预安排!O7+#REF!+'6月'!U8,5)</f>
        <v/>
      </c>
      <c r="V8" s="184">
        <f>ROUND(#REF!+#REF!+#REF!+预安排!P7+#REF!+'6月'!V8,5)</f>
        <v/>
      </c>
      <c r="W8" s="184">
        <f>ROUND(#REF!+#REF!+#REF!+预安排!Q7+#REF!+'6月'!W8,5)</f>
        <v/>
      </c>
      <c r="X8" s="184">
        <f>ROUND(#REF!+#REF!+#REF!+预安排!R7+#REF!+'6月'!X8,5)</f>
        <v/>
      </c>
      <c r="Y8" s="184">
        <f>ROUND(#REF!+#REF!+#REF!+预安排!S7+#REF!+'6月'!Y8,5)</f>
        <v/>
      </c>
      <c r="Z8" s="184">
        <f>ROUND(#REF!+#REF!+#REF!+预安排!#REF!+#REF!+'6月'!Z8,5)</f>
        <v/>
      </c>
      <c r="AA8" s="184">
        <f>ROUND(#REF!+#REF!+#REF!+预安排!#REF!+#REF!+'6月'!AA8,5)</f>
        <v/>
      </c>
      <c r="AB8" s="185">
        <f>ROUND(#REF!+#REF!+#REF!+预安排!#REF!+#REF!+'6月'!AB8,5)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193">
        <f>计划!O8-O8</f>
        <v/>
      </c>
      <c r="AH8" s="194">
        <f>ROUND(AG8/$AH$1,2)</f>
        <v/>
      </c>
    </row>
    <row r="9" customFormat="1" s="1">
      <c r="A9" s="234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196">
        <f>计划!O9-O9</f>
        <v/>
      </c>
      <c r="AH9" s="196">
        <f>ROUND(AG9/$AH$1,2)</f>
        <v/>
      </c>
    </row>
    <row r="10" customFormat="1" s="1">
      <c r="A10" s="234" t="n"/>
      <c r="B10" s="231" t="inlineStr">
        <is>
          <t>SKU-D208A1F4</t>
        </is>
      </c>
      <c r="C10" s="231" t="inlineStr"/>
      <c r="D10" s="231" t="n">
        <v>9</v>
      </c>
      <c r="E10" s="231" t="inlineStr"/>
      <c r="F10" s="231" t="inlineStr"/>
      <c r="G10" s="231" t="inlineStr"/>
      <c r="H10" s="231" t="inlineStr"/>
      <c r="I10" s="231" t="inlineStr"/>
      <c r="J10" s="27" t="inlineStr"/>
      <c r="K10" s="27" t="inlineStr"/>
      <c r="L10" s="231" t="n">
        <v>100</v>
      </c>
      <c r="M10" s="19" t="inlineStr">
        <is>
          <t>Product-DE70A72E</t>
        </is>
      </c>
      <c r="N10" s="231" t="n">
        <v>3</v>
      </c>
      <c r="O10" s="181">
        <f>SUM(P10:AB10)</f>
        <v/>
      </c>
      <c r="P10" s="182">
        <f>ROUND(#REF!+#REF!+#REF!+预安排!F10+#REF!+'6月'!P10,5)</f>
        <v/>
      </c>
      <c r="Q10" s="182">
        <f>ROUND(#REF!+#REF!+#REF!+预安排!#REF!+#REF!+'6月'!Q10,5)</f>
        <v/>
      </c>
      <c r="R10" s="182">
        <f>ROUND(#REF!+#REF!+#REF!+预安排!G10+#REF!+'6月'!R10,5)</f>
        <v/>
      </c>
      <c r="S10" s="182">
        <f>ROUND(#REF!+#REF!+#REF!+预安排!#REF!+#REF!+'6月'!S10,5)</f>
        <v/>
      </c>
      <c r="T10" s="182">
        <f>ROUND(#REF!+#REF!+#REF!+预安排!#REF!+#REF!+'6月'!T10,5)</f>
        <v/>
      </c>
      <c r="U10" s="182">
        <f>ROUND(#REF!+#REF!+#REF!+预安排!O10+#REF!+'6月'!U10,5)</f>
        <v/>
      </c>
      <c r="V10" s="182">
        <f>ROUND(#REF!+#REF!+#REF!+预安排!P10+#REF!+'6月'!V10,5)</f>
        <v/>
      </c>
      <c r="W10" s="182">
        <f>ROUND(#REF!+#REF!+#REF!+预安排!Q10+#REF!+'6月'!W10,5)</f>
        <v/>
      </c>
      <c r="X10" s="182">
        <f>ROUND(#REF!+#REF!+#REF!+预安排!R10+#REF!+'6月'!X10,5)</f>
        <v/>
      </c>
      <c r="Y10" s="182">
        <f>ROUND(#REF!+#REF!+#REF!+预安排!S10+#REF!+'6月'!Y10,5)</f>
        <v/>
      </c>
      <c r="Z10" s="182">
        <f>ROUND(#REF!+#REF!+#REF!+预安排!#REF!+#REF!+'6月'!Z10,5)</f>
        <v/>
      </c>
      <c r="AA10" s="182">
        <f>ROUND(#REF!+#REF!+#REF!+预安排!#REF!+#REF!+'6月'!AA10,5)</f>
        <v/>
      </c>
      <c r="AB10" s="182">
        <f>ROUND(#REF!+#REF!+#REF!+预安排!#REF!+#REF!+'6月'!AB10,5)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193">
        <f>计划!O10-O10</f>
        <v/>
      </c>
      <c r="AH10" s="193">
        <f>ROUND(AG10/$AH$1,2)</f>
        <v/>
      </c>
    </row>
    <row r="11" customFormat="1" s="1">
      <c r="A11" s="234" t="n"/>
      <c r="B11" s="231" t="inlineStr">
        <is>
          <t>SKU-07FCDFBC</t>
        </is>
      </c>
      <c r="C11" s="231" t="inlineStr"/>
      <c r="D11" s="231" t="n">
        <v>10</v>
      </c>
      <c r="E11" s="231" t="inlineStr"/>
      <c r="F11" s="231" t="inlineStr"/>
      <c r="G11" s="231" t="inlineStr">
        <is>
          <t>是</t>
        </is>
      </c>
      <c r="H11" s="231" t="inlineStr"/>
      <c r="I11" s="231" t="inlineStr">
        <is>
          <t>是</t>
        </is>
      </c>
      <c r="J11" s="27" t="inlineStr"/>
      <c r="K11" s="27" t="inlineStr"/>
      <c r="L11" s="231" t="n">
        <v>100</v>
      </c>
      <c r="M11" s="43" t="inlineStr">
        <is>
          <t>Product-7A1FEE2B</t>
        </is>
      </c>
      <c r="N11" s="231" t="n">
        <v>1</v>
      </c>
      <c r="O11" s="181">
        <f>SUM(P11:AB11)</f>
        <v/>
      </c>
      <c r="P11" s="182">
        <f>ROUND(#REF!+#REF!+#REF!+预安排!F11+#REF!+'6月'!P11,5)</f>
        <v/>
      </c>
      <c r="Q11" s="182">
        <f>ROUND(#REF!+#REF!+#REF!+预安排!#REF!+#REF!+'6月'!Q11,5)</f>
        <v/>
      </c>
      <c r="R11" s="182">
        <f>ROUND(#REF!+#REF!+#REF!+预安排!G11+#REF!+'6月'!R11,5)</f>
        <v/>
      </c>
      <c r="S11" s="182">
        <f>ROUND(#REF!+#REF!+#REF!+预安排!#REF!+#REF!+'6月'!S11,5)</f>
        <v/>
      </c>
      <c r="T11" s="182">
        <f>ROUND(#REF!+#REF!+#REF!+预安排!#REF!+#REF!+'6月'!T11,5)</f>
        <v/>
      </c>
      <c r="U11" s="182">
        <f>ROUND(#REF!+#REF!+#REF!+预安排!O11+#REF!+'6月'!U11,5)</f>
        <v/>
      </c>
      <c r="V11" s="182">
        <f>ROUND(#REF!+#REF!+#REF!+预安排!P11+#REF!+'6月'!V11,5)</f>
        <v/>
      </c>
      <c r="W11" s="182">
        <f>ROUND(#REF!+#REF!+#REF!+预安排!Q11+#REF!+'6月'!W11,5)</f>
        <v/>
      </c>
      <c r="X11" s="182">
        <f>ROUND(#REF!+#REF!+#REF!+预安排!R11+#REF!+'6月'!X11,5)</f>
        <v/>
      </c>
      <c r="Y11" s="182">
        <f>ROUND(#REF!+#REF!+#REF!+预安排!S11+#REF!+'6月'!Y11,5)</f>
        <v/>
      </c>
      <c r="Z11" s="182">
        <f>ROUND(#REF!+#REF!+#REF!+预安排!#REF!+#REF!+'6月'!Z11,5)</f>
        <v/>
      </c>
      <c r="AA11" s="182">
        <f>ROUND(#REF!+#REF!+#REF!+预安排!#REF!+#REF!+'6月'!AA11,5)</f>
        <v/>
      </c>
      <c r="AB11" s="182">
        <f>ROUND(#REF!+#REF!+#REF!+预安排!#REF!+#REF!+'6月'!AB11,5)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193">
        <f>计划!O11-O11</f>
        <v/>
      </c>
      <c r="AH11" s="193">
        <f>ROUND(AG11/$AH$1,2)</f>
        <v/>
      </c>
    </row>
    <row r="12" customFormat="1" s="1">
      <c r="A12" s="234" t="n"/>
      <c r="B12" s="231" t="inlineStr">
        <is>
          <t>SKU-F24DC4CC</t>
        </is>
      </c>
      <c r="C12" s="231" t="inlineStr"/>
      <c r="D12" s="231" t="n">
        <v>10</v>
      </c>
      <c r="E12" s="231" t="inlineStr"/>
      <c r="F12" s="231" t="inlineStr"/>
      <c r="G12" s="231" t="inlineStr"/>
      <c r="H12" s="231" t="inlineStr"/>
      <c r="I12" s="231" t="inlineStr"/>
      <c r="J12" s="27" t="inlineStr"/>
      <c r="K12" s="27" t="inlineStr"/>
      <c r="L12" s="231" t="n">
        <v>100</v>
      </c>
      <c r="M12" s="43" t="inlineStr">
        <is>
          <t>Product-3F617BC6</t>
        </is>
      </c>
      <c r="N12" s="231" t="n">
        <v>1</v>
      </c>
      <c r="O12" s="181">
        <f>SUM(P12:AB12)</f>
        <v/>
      </c>
      <c r="P12" s="182">
        <f>ROUND(#REF!+#REF!+#REF!+预安排!F12+#REF!+'6月'!P12,5)</f>
        <v/>
      </c>
      <c r="Q12" s="182">
        <f>ROUND(#REF!+#REF!+#REF!+预安排!#REF!+#REF!+'6月'!Q12,5)</f>
        <v/>
      </c>
      <c r="R12" s="182">
        <f>ROUND(#REF!+#REF!+#REF!+预安排!G12+#REF!+'6月'!R12,5)</f>
        <v/>
      </c>
      <c r="S12" s="182">
        <f>ROUND(#REF!+#REF!+#REF!+预安排!#REF!+#REF!+'6月'!S12,5)</f>
        <v/>
      </c>
      <c r="T12" s="182">
        <f>ROUND(#REF!+#REF!+#REF!+预安排!#REF!+#REF!+'6月'!T12,5)</f>
        <v/>
      </c>
      <c r="U12" s="182">
        <f>ROUND(#REF!+#REF!+#REF!+预安排!O12+#REF!+'6月'!U12,5)</f>
        <v/>
      </c>
      <c r="V12" s="182">
        <f>ROUND(#REF!+#REF!+#REF!+预安排!P12+#REF!+'6月'!V12,5)</f>
        <v/>
      </c>
      <c r="W12" s="182">
        <f>ROUND(#REF!+#REF!+#REF!+预安排!Q12+#REF!+'6月'!W12,5)</f>
        <v/>
      </c>
      <c r="X12" s="182">
        <f>ROUND(#REF!+#REF!+#REF!+预安排!R12+#REF!+'6月'!X12,5)</f>
        <v/>
      </c>
      <c r="Y12" s="182">
        <f>ROUND(#REF!+#REF!+#REF!+预安排!S12+#REF!+'6月'!Y12,5)</f>
        <v/>
      </c>
      <c r="Z12" s="182">
        <f>ROUND(#REF!+#REF!+#REF!+预安排!#REF!+#REF!+'6月'!Z12,5)</f>
        <v/>
      </c>
      <c r="AA12" s="182">
        <f>ROUND(#REF!+#REF!+#REF!+预安排!#REF!+#REF!+'6月'!AA12,5)</f>
        <v/>
      </c>
      <c r="AB12" s="182">
        <f>ROUND(#REF!+#REF!+#REF!+预安排!#REF!+#REF!+'6月'!AB12,5)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193">
        <f>计划!O12-O12</f>
        <v/>
      </c>
      <c r="AH12" s="193">
        <f>ROUND(AG12/$AH$1,2)</f>
        <v/>
      </c>
    </row>
    <row r="13" customFormat="1" s="1">
      <c r="A13" s="234" t="n"/>
      <c r="B13" s="231" t="inlineStr">
        <is>
          <t>SKU-D943D84F</t>
        </is>
      </c>
      <c r="C13" s="231" t="inlineStr"/>
      <c r="D13" s="231" t="n">
        <v>10</v>
      </c>
      <c r="E13" s="231" t="inlineStr"/>
      <c r="F13" s="231" t="inlineStr"/>
      <c r="G13" s="231" t="inlineStr"/>
      <c r="H13" s="231" t="inlineStr"/>
      <c r="I13" s="231" t="inlineStr"/>
      <c r="J13" s="27" t="inlineStr"/>
      <c r="K13" s="27" t="inlineStr"/>
      <c r="L13" s="231" t="n">
        <v>100</v>
      </c>
      <c r="M13" s="44" t="inlineStr">
        <is>
          <t>Product-9C089579</t>
        </is>
      </c>
      <c r="N13" s="231" t="n">
        <v>1</v>
      </c>
      <c r="O13" s="181">
        <f>SUM(P13:AB13)</f>
        <v/>
      </c>
      <c r="P13" s="182">
        <f>ROUND(#REF!+#REF!+#REF!+预安排!F13+#REF!+'6月'!P13,5)</f>
        <v/>
      </c>
      <c r="Q13" s="182">
        <f>ROUND(#REF!+#REF!+#REF!+预安排!#REF!+#REF!+'6月'!Q13,5)</f>
        <v/>
      </c>
      <c r="R13" s="182">
        <f>ROUND(#REF!+#REF!+#REF!+预安排!G13+#REF!+'6月'!R13,5)</f>
        <v/>
      </c>
      <c r="S13" s="182">
        <f>ROUND(#REF!+#REF!+#REF!+预安排!#REF!+#REF!+'6月'!S13,5)</f>
        <v/>
      </c>
      <c r="T13" s="182">
        <f>ROUND(#REF!+#REF!+#REF!+预安排!#REF!+#REF!+'6月'!T13,5)</f>
        <v/>
      </c>
      <c r="U13" s="182">
        <f>ROUND(#REF!+#REF!+#REF!+预安排!O13+#REF!+'6月'!U13,5)</f>
        <v/>
      </c>
      <c r="V13" s="182">
        <f>ROUND(#REF!+#REF!+#REF!+预安排!P13+#REF!+'6月'!V13,5)</f>
        <v/>
      </c>
      <c r="W13" s="182">
        <f>ROUND(#REF!+#REF!+#REF!+预安排!Q13+#REF!+'6月'!W13,5)</f>
        <v/>
      </c>
      <c r="X13" s="182">
        <f>ROUND(#REF!+#REF!+#REF!+预安排!R13+#REF!+'6月'!X13,5)</f>
        <v/>
      </c>
      <c r="Y13" s="182">
        <f>ROUND(#REF!+#REF!+#REF!+预安排!S13+#REF!+'6月'!Y13,5)</f>
        <v/>
      </c>
      <c r="Z13" s="182">
        <f>ROUND(#REF!+#REF!+#REF!+预安排!#REF!+#REF!+'6月'!Z13,5)</f>
        <v/>
      </c>
      <c r="AA13" s="182">
        <f>ROUND(#REF!+#REF!+#REF!+预安排!#REF!+#REF!+'6月'!AA13,5)</f>
        <v/>
      </c>
      <c r="AB13" s="182">
        <f>ROUND(#REF!+#REF!+#REF!+预安排!#REF!+#REF!+'6月'!AB13,5)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  <c r="AG13" s="193">
        <f>计划!O13-O13</f>
        <v/>
      </c>
      <c r="AH13" s="193">
        <f>ROUND(AG13/$AH$1,2)</f>
        <v/>
      </c>
    </row>
    <row r="14" customFormat="1" s="1">
      <c r="A14" s="234" t="n"/>
      <c r="B14" s="231" t="inlineStr">
        <is>
          <t>SKU-6D9E63BD</t>
        </is>
      </c>
      <c r="C14" s="231" t="inlineStr"/>
      <c r="D14" s="231" t="n">
        <v>8</v>
      </c>
      <c r="E14" s="231" t="inlineStr"/>
      <c r="F14" s="231" t="inlineStr">
        <is>
          <t>是</t>
        </is>
      </c>
      <c r="G14" s="231" t="inlineStr"/>
      <c r="H14" s="231" t="inlineStr"/>
      <c r="I14" s="231" t="inlineStr">
        <is>
          <t>是</t>
        </is>
      </c>
      <c r="J14" s="27" t="inlineStr"/>
      <c r="K14" s="27" t="inlineStr"/>
      <c r="L14" s="231" t="n">
        <v>100</v>
      </c>
      <c r="M14" s="19" t="inlineStr">
        <is>
          <t>Product-BC499EF2</t>
        </is>
      </c>
      <c r="N14" s="231" t="n">
        <v>1</v>
      </c>
      <c r="O14" s="181">
        <f>SUM(P14:AB14)</f>
        <v/>
      </c>
      <c r="P14" s="182">
        <f>ROUND(#REF!+#REF!+#REF!+预安排!F14+#REF!+'6月'!P14,5)</f>
        <v/>
      </c>
      <c r="Q14" s="182">
        <f>ROUND(#REF!+#REF!+#REF!+预安排!#REF!+#REF!+'6月'!Q14,5)</f>
        <v/>
      </c>
      <c r="R14" s="182">
        <f>ROUND(#REF!+#REF!+#REF!+预安排!G14+#REF!+'6月'!R14,5)</f>
        <v/>
      </c>
      <c r="S14" s="182">
        <f>ROUND(#REF!+#REF!+#REF!+预安排!#REF!+#REF!+'6月'!S14,5)</f>
        <v/>
      </c>
      <c r="T14" s="182">
        <f>ROUND(#REF!+#REF!+#REF!+预安排!#REF!+#REF!+'6月'!T14,5)</f>
        <v/>
      </c>
      <c r="U14" s="182">
        <f>ROUND(#REF!+#REF!+#REF!+预安排!O14+#REF!+'6月'!U14,5)</f>
        <v/>
      </c>
      <c r="V14" s="182">
        <f>ROUND(#REF!+#REF!+#REF!+预安排!P14+#REF!+'6月'!V14,5)</f>
        <v/>
      </c>
      <c r="W14" s="182">
        <f>ROUND(#REF!+#REF!+#REF!+预安排!Q14+#REF!+'6月'!W14,5)</f>
        <v/>
      </c>
      <c r="X14" s="182">
        <f>ROUND(#REF!+#REF!+#REF!+预安排!R14+#REF!+'6月'!X14,5)</f>
        <v/>
      </c>
      <c r="Y14" s="182">
        <f>ROUND(#REF!+#REF!+#REF!+预安排!S14+#REF!+'6月'!Y14,5)</f>
        <v/>
      </c>
      <c r="Z14" s="182">
        <f>ROUND(#REF!+#REF!+#REF!+预安排!#REF!+#REF!+'6月'!Z14,5)</f>
        <v/>
      </c>
      <c r="AA14" s="182">
        <f>ROUND(#REF!+#REF!+#REF!+预安排!#REF!+#REF!+'6月'!AA14,5)</f>
        <v/>
      </c>
      <c r="AB14" s="182">
        <f>ROUND(#REF!+#REF!+#REF!+预安排!#REF!+#REF!+'6月'!AB14,5)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193">
        <f>计划!O14-O14</f>
        <v/>
      </c>
      <c r="AH14" s="193">
        <f>ROUND(AG14/$AH$1,2)</f>
        <v/>
      </c>
    </row>
    <row r="15" customFormat="1" s="1">
      <c r="A15" s="234" t="n"/>
      <c r="B15" s="231" t="inlineStr">
        <is>
          <t>SKU-01FF2431</t>
        </is>
      </c>
      <c r="C15" s="231" t="inlineStr"/>
      <c r="D15" s="231" t="n">
        <v>8</v>
      </c>
      <c r="E15" s="231" t="inlineStr"/>
      <c r="F15" s="231" t="inlineStr">
        <is>
          <t>是</t>
        </is>
      </c>
      <c r="G15" s="231" t="inlineStr"/>
      <c r="H15" s="231" t="inlineStr"/>
      <c r="I15" s="231" t="inlineStr">
        <is>
          <t>是</t>
        </is>
      </c>
      <c r="J15" s="27" t="inlineStr"/>
      <c r="K15" s="27" t="inlineStr"/>
      <c r="L15" s="231" t="n">
        <v>100</v>
      </c>
      <c r="M15" s="19" t="inlineStr">
        <is>
          <t>Product-C54A353F</t>
        </is>
      </c>
      <c r="N15" s="231" t="n">
        <v>1</v>
      </c>
      <c r="O15" s="181">
        <f>SUM(P15:AB15)</f>
        <v/>
      </c>
      <c r="P15" s="182">
        <f>ROUND(#REF!+#REF!+#REF!+预安排!F15+#REF!+'6月'!P15,5)</f>
        <v/>
      </c>
      <c r="Q15" s="182">
        <f>ROUND(#REF!+#REF!+#REF!+预安排!#REF!+#REF!+'6月'!Q15,5)</f>
        <v/>
      </c>
      <c r="R15" s="182">
        <f>ROUND(#REF!+#REF!+#REF!+预安排!G15+#REF!+'6月'!R15,5)</f>
        <v/>
      </c>
      <c r="S15" s="182">
        <f>ROUND(#REF!+#REF!+#REF!+预安排!#REF!+#REF!+'6月'!S15,5)</f>
        <v/>
      </c>
      <c r="T15" s="182">
        <f>ROUND(#REF!+#REF!+#REF!+预安排!#REF!+#REF!+'6月'!T15,5)</f>
        <v/>
      </c>
      <c r="U15" s="182">
        <f>ROUND(#REF!+#REF!+#REF!+预安排!O15+#REF!+'6月'!U15,5)</f>
        <v/>
      </c>
      <c r="V15" s="182">
        <f>ROUND(#REF!+#REF!+#REF!+预安排!P15+#REF!+'6月'!V15,5)</f>
        <v/>
      </c>
      <c r="W15" s="182">
        <f>ROUND(#REF!+#REF!+#REF!+预安排!Q15+#REF!+'6月'!W15,5)</f>
        <v/>
      </c>
      <c r="X15" s="182">
        <f>ROUND(#REF!+#REF!+#REF!+预安排!R15+#REF!+'6月'!X15,5)</f>
        <v/>
      </c>
      <c r="Y15" s="182">
        <f>ROUND(#REF!+#REF!+#REF!+预安排!S15+#REF!+'6月'!Y15,5)</f>
        <v/>
      </c>
      <c r="Z15" s="182">
        <f>ROUND(#REF!+#REF!+#REF!+预安排!#REF!+#REF!+'6月'!Z15,5)</f>
        <v/>
      </c>
      <c r="AA15" s="182">
        <f>ROUND(#REF!+#REF!+#REF!+预安排!#REF!+#REF!+'6月'!AA15,5)</f>
        <v/>
      </c>
      <c r="AB15" s="182">
        <f>ROUND(#REF!+#REF!+#REF!+预安排!#REF!+#REF!+'6月'!AB15,5)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193">
        <f>计划!O15-O15</f>
        <v/>
      </c>
      <c r="AH15" s="193">
        <f>ROUND(AG15/$AH$1,2)</f>
        <v/>
      </c>
    </row>
    <row r="16" customFormat="1" s="1">
      <c r="A16" s="234" t="n"/>
      <c r="B16" s="231" t="inlineStr">
        <is>
          <t>SKU-8916FAEC</t>
        </is>
      </c>
      <c r="C16" s="231" t="inlineStr"/>
      <c r="D16" s="231" t="n">
        <v>8</v>
      </c>
      <c r="E16" s="231" t="inlineStr"/>
      <c r="F16" s="231" t="inlineStr">
        <is>
          <t>是</t>
        </is>
      </c>
      <c r="G16" s="231" t="inlineStr"/>
      <c r="H16" s="231" t="inlineStr"/>
      <c r="I16" s="231" t="inlineStr">
        <is>
          <t>是</t>
        </is>
      </c>
      <c r="J16" s="27" t="inlineStr">
        <is>
          <t>共</t>
        </is>
      </c>
      <c r="K16" s="27" t="inlineStr"/>
      <c r="L16" s="231" t="n">
        <v>100</v>
      </c>
      <c r="M16" s="19" t="inlineStr">
        <is>
          <t>Product-558A622A</t>
        </is>
      </c>
      <c r="N16" s="231" t="n">
        <v>1</v>
      </c>
      <c r="O16" s="181">
        <f>SUM(P16:AB16)</f>
        <v/>
      </c>
      <c r="P16" s="182">
        <f>ROUND(#REF!+#REF!+#REF!+预安排!F16+#REF!+'6月'!P16,5)</f>
        <v/>
      </c>
      <c r="Q16" s="182">
        <f>ROUND(#REF!+#REF!+#REF!+预安排!#REF!+#REF!+'6月'!Q16,5)</f>
        <v/>
      </c>
      <c r="R16" s="182">
        <f>ROUND(#REF!+#REF!+#REF!+预安排!G16+#REF!+'6月'!R16,5)</f>
        <v/>
      </c>
      <c r="S16" s="182">
        <f>ROUND(#REF!+#REF!+#REF!+预安排!#REF!+#REF!+'6月'!S16,5)</f>
        <v/>
      </c>
      <c r="T16" s="182">
        <f>ROUND(#REF!+#REF!+#REF!+预安排!#REF!+#REF!+'6月'!T16,5)</f>
        <v/>
      </c>
      <c r="U16" s="182">
        <f>ROUND(#REF!+#REF!+#REF!+预安排!O16+#REF!+'6月'!U16,5)</f>
        <v/>
      </c>
      <c r="V16" s="182">
        <f>ROUND(#REF!+#REF!+#REF!+预安排!P16+#REF!+'6月'!V16,5)</f>
        <v/>
      </c>
      <c r="W16" s="182">
        <f>ROUND(#REF!+#REF!+#REF!+预安排!Q16+#REF!+'6月'!W16,5)</f>
        <v/>
      </c>
      <c r="X16" s="182">
        <f>ROUND(#REF!+#REF!+#REF!+预安排!R16+#REF!+'6月'!X16,5)</f>
        <v/>
      </c>
      <c r="Y16" s="182">
        <f>ROUND(#REF!+#REF!+#REF!+预安排!S16+#REF!+'6月'!Y16,5)</f>
        <v/>
      </c>
      <c r="Z16" s="182">
        <f>ROUND(#REF!+#REF!+#REF!+预安排!#REF!+#REF!+'6月'!Z16,5)</f>
        <v/>
      </c>
      <c r="AA16" s="182">
        <f>ROUND(#REF!+#REF!+#REF!+预安排!#REF!+#REF!+'6月'!AA16,5)</f>
        <v/>
      </c>
      <c r="AB16" s="182">
        <f>ROUND(#REF!+#REF!+#REF!+预安排!#REF!+#REF!+'6月'!AB16,5)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193">
        <f>计划!O16-O16</f>
        <v/>
      </c>
      <c r="AH16" s="193">
        <f>ROUND(AG16/$AH$1,2)</f>
        <v/>
      </c>
    </row>
    <row r="17" customFormat="1" s="1">
      <c r="A17" s="234" t="n"/>
      <c r="B17" s="231" t="inlineStr">
        <is>
          <t>SKU-13F48E9F</t>
        </is>
      </c>
      <c r="C17" s="231" t="inlineStr"/>
      <c r="D17" s="231" t="n">
        <v>8</v>
      </c>
      <c r="E17" s="231" t="inlineStr"/>
      <c r="F17" s="231" t="inlineStr">
        <is>
          <t>是</t>
        </is>
      </c>
      <c r="G17" s="231" t="inlineStr"/>
      <c r="H17" s="231" t="inlineStr"/>
      <c r="I17" s="231" t="inlineStr">
        <is>
          <t>是</t>
        </is>
      </c>
      <c r="J17" s="27" t="inlineStr"/>
      <c r="K17" s="27" t="inlineStr"/>
      <c r="L17" s="231" t="n">
        <v>100</v>
      </c>
      <c r="M17" s="19" t="inlineStr">
        <is>
          <t>Product-9B1626A5</t>
        </is>
      </c>
      <c r="N17" s="231" t="n">
        <v>1</v>
      </c>
      <c r="O17" s="181">
        <f>SUM(P17:AB17)</f>
        <v/>
      </c>
      <c r="P17" s="182">
        <f>ROUND(#REF!+#REF!+#REF!+预安排!F17+#REF!+'6月'!P17,5)</f>
        <v/>
      </c>
      <c r="Q17" s="182">
        <f>ROUND(#REF!+#REF!+#REF!+预安排!#REF!+#REF!+'6月'!Q17,5)</f>
        <v/>
      </c>
      <c r="R17" s="182">
        <f>ROUND(#REF!+#REF!+#REF!+预安排!G17+#REF!+'6月'!R17,5)</f>
        <v/>
      </c>
      <c r="S17" s="182">
        <f>ROUND(#REF!+#REF!+#REF!+预安排!#REF!+#REF!+'6月'!S17,5)</f>
        <v/>
      </c>
      <c r="T17" s="182">
        <f>ROUND(#REF!+#REF!+#REF!+预安排!#REF!+#REF!+'6月'!T17,5)</f>
        <v/>
      </c>
      <c r="U17" s="182">
        <f>ROUND(#REF!+#REF!+#REF!+预安排!O17+#REF!+'6月'!U17,5)</f>
        <v/>
      </c>
      <c r="V17" s="182">
        <f>ROUND(#REF!+#REF!+#REF!+预安排!P17+#REF!+'6月'!V17,5)</f>
        <v/>
      </c>
      <c r="W17" s="182">
        <f>ROUND(#REF!+#REF!+#REF!+预安排!Q17+#REF!+'6月'!W17,5)</f>
        <v/>
      </c>
      <c r="X17" s="182">
        <f>ROUND(#REF!+#REF!+#REF!+预安排!R17+#REF!+'6月'!X17,5)</f>
        <v/>
      </c>
      <c r="Y17" s="182">
        <f>ROUND(#REF!+#REF!+#REF!+预安排!S17+#REF!+'6月'!Y17,5)</f>
        <v/>
      </c>
      <c r="Z17" s="182">
        <f>ROUND(#REF!+#REF!+#REF!+预安排!#REF!+#REF!+'6月'!Z17,5)</f>
        <v/>
      </c>
      <c r="AA17" s="182">
        <f>ROUND(#REF!+#REF!+#REF!+预安排!#REF!+#REF!+'6月'!AA17,5)</f>
        <v/>
      </c>
      <c r="AB17" s="182">
        <f>ROUND(#REF!+#REF!+#REF!+预安排!#REF!+#REF!+'6月'!AB17,5)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193">
        <f>计划!O17-O17</f>
        <v/>
      </c>
      <c r="AH17" s="193">
        <f>ROUND(AG17/$AH$1,2)</f>
        <v/>
      </c>
    </row>
    <row r="18" customFormat="1" s="1">
      <c r="A18" s="234" t="n"/>
      <c r="B18" s="231" t="inlineStr">
        <is>
          <t>SKU-84735B62</t>
        </is>
      </c>
      <c r="C18" s="231" t="inlineStr">
        <is>
          <t>是</t>
        </is>
      </c>
      <c r="D18" s="231" t="n">
        <v>10</v>
      </c>
      <c r="E18" s="231" t="inlineStr"/>
      <c r="F18" s="231" t="inlineStr"/>
      <c r="G18" s="231" t="inlineStr"/>
      <c r="H18" s="231" t="inlineStr"/>
      <c r="I18" s="231" t="inlineStr"/>
      <c r="J18" s="27" t="inlineStr"/>
      <c r="K18" s="27" t="inlineStr"/>
      <c r="L18" s="231" t="n">
        <v>100</v>
      </c>
      <c r="M18" s="19" t="inlineStr">
        <is>
          <t>Product-61AE19F7</t>
        </is>
      </c>
      <c r="N18" s="231" t="n">
        <v>3</v>
      </c>
      <c r="O18" s="181">
        <f>SUM(P18:AB18)</f>
        <v/>
      </c>
      <c r="P18" s="182">
        <f>ROUND(#REF!+#REF!+#REF!+预安排!F18+#REF!+'6月'!P18,5)</f>
        <v/>
      </c>
      <c r="Q18" s="182">
        <f>ROUND(#REF!+#REF!+#REF!+预安排!#REF!+#REF!+'6月'!Q18,5)</f>
        <v/>
      </c>
      <c r="R18" s="182">
        <f>ROUND(#REF!+#REF!+#REF!+预安排!G18+#REF!+'6月'!R18,5)</f>
        <v/>
      </c>
      <c r="S18" s="182">
        <f>ROUND(#REF!+#REF!+#REF!+预安排!#REF!+#REF!+'6月'!S18,5)</f>
        <v/>
      </c>
      <c r="T18" s="182">
        <f>ROUND(#REF!+#REF!+#REF!+预安排!#REF!+#REF!+'6月'!T18,5)</f>
        <v/>
      </c>
      <c r="U18" s="182">
        <f>ROUND(#REF!+#REF!+#REF!+预安排!O18+#REF!+'6月'!U18,5)</f>
        <v/>
      </c>
      <c r="V18" s="182">
        <f>ROUND(#REF!+#REF!+#REF!+预安排!P18+#REF!+'6月'!V18,5)</f>
        <v/>
      </c>
      <c r="W18" s="182">
        <f>ROUND(#REF!+#REF!+#REF!+预安排!Q18+#REF!+'6月'!W18,5)</f>
        <v/>
      </c>
      <c r="X18" s="182">
        <f>ROUND(#REF!+#REF!+#REF!+预安排!R18+#REF!+'6月'!X18,5)</f>
        <v/>
      </c>
      <c r="Y18" s="182">
        <f>ROUND(#REF!+#REF!+#REF!+预安排!S18+#REF!+'6月'!Y18,5)</f>
        <v/>
      </c>
      <c r="Z18" s="182">
        <f>ROUND(#REF!+#REF!+#REF!+预安排!#REF!+#REF!+'6月'!Z18,5)</f>
        <v/>
      </c>
      <c r="AA18" s="182">
        <f>ROUND(#REF!+#REF!+#REF!+预安排!#REF!+#REF!+'6月'!AA18,5)</f>
        <v/>
      </c>
      <c r="AB18" s="182">
        <f>ROUND(#REF!+#REF!+#REF!+预安排!#REF!+#REF!+'6月'!AB18,5)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193">
        <f>计划!O18-O18</f>
        <v/>
      </c>
      <c r="AH18" s="193">
        <f>ROUND(AG18/$AH$1,2)</f>
        <v/>
      </c>
    </row>
    <row r="19" customFormat="1" s="1">
      <c r="A19" s="234" t="n"/>
      <c r="B19" s="231" t="inlineStr">
        <is>
          <t>SKU-9356910A</t>
        </is>
      </c>
      <c r="C19" s="231" t="inlineStr">
        <is>
          <t>是</t>
        </is>
      </c>
      <c r="D19" s="231" t="n">
        <v>11</v>
      </c>
      <c r="E19" s="231" t="inlineStr"/>
      <c r="F19" s="231" t="inlineStr"/>
      <c r="G19" s="231" t="inlineStr"/>
      <c r="H19" s="231" t="inlineStr"/>
      <c r="I19" s="231" t="inlineStr"/>
      <c r="J19" s="27" t="inlineStr"/>
      <c r="K19" s="27" t="inlineStr"/>
      <c r="L19" s="231" t="n">
        <v>100</v>
      </c>
      <c r="M19" s="19" t="inlineStr">
        <is>
          <t>Product-1433AC24</t>
        </is>
      </c>
      <c r="N19" s="231" t="n">
        <v>2</v>
      </c>
      <c r="O19" s="181">
        <f>SUM(P19:AB19)</f>
        <v/>
      </c>
      <c r="P19" s="182">
        <f>ROUND(#REF!+#REF!+#REF!+预安排!F19+#REF!+'6月'!P19,5)</f>
        <v/>
      </c>
      <c r="Q19" s="182">
        <f>ROUND(#REF!+#REF!+#REF!+预安排!#REF!+#REF!+'6月'!Q19,5)</f>
        <v/>
      </c>
      <c r="R19" s="182">
        <f>ROUND(#REF!+#REF!+#REF!+预安排!G19+#REF!+'6月'!R19,5)</f>
        <v/>
      </c>
      <c r="S19" s="182">
        <f>ROUND(#REF!+#REF!+#REF!+预安排!#REF!+#REF!+'6月'!S19,5)</f>
        <v/>
      </c>
      <c r="T19" s="182">
        <f>ROUND(#REF!+#REF!+#REF!+预安排!#REF!+#REF!+'6月'!T19,5)</f>
        <v/>
      </c>
      <c r="U19" s="182">
        <f>ROUND(#REF!+#REF!+#REF!+预安排!O19+#REF!+'6月'!U19,5)</f>
        <v/>
      </c>
      <c r="V19" s="182">
        <f>ROUND(#REF!+#REF!+#REF!+预安排!P19+#REF!+'6月'!V19,5)</f>
        <v/>
      </c>
      <c r="W19" s="182">
        <f>ROUND(#REF!+#REF!+#REF!+预安排!Q19+#REF!+'6月'!W19,5)</f>
        <v/>
      </c>
      <c r="X19" s="182">
        <f>ROUND(#REF!+#REF!+#REF!+预安排!R19+#REF!+'6月'!X19,5)</f>
        <v/>
      </c>
      <c r="Y19" s="182">
        <f>ROUND(#REF!+#REF!+#REF!+预安排!S19+#REF!+'6月'!Y19,5)</f>
        <v/>
      </c>
      <c r="Z19" s="182">
        <f>ROUND(#REF!+#REF!+#REF!+预安排!#REF!+#REF!+'6月'!Z19,5)</f>
        <v/>
      </c>
      <c r="AA19" s="182">
        <f>ROUND(#REF!+#REF!+#REF!+预安排!#REF!+#REF!+'6月'!AA19,5)</f>
        <v/>
      </c>
      <c r="AB19" s="182">
        <f>ROUND(#REF!+#REF!+#REF!+预安排!#REF!+#REF!+'6月'!AB19,5)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193">
        <f>计划!O19-O19</f>
        <v/>
      </c>
      <c r="AH19" s="193">
        <f>ROUND(AG19/$AH$1,2)</f>
        <v/>
      </c>
    </row>
    <row r="20" customFormat="1" s="1">
      <c r="A20" s="234" t="n"/>
      <c r="B20" s="231" t="inlineStr">
        <is>
          <t>SKU-A1C9F3C5</t>
        </is>
      </c>
      <c r="C20" s="231" t="inlineStr">
        <is>
          <t>是</t>
        </is>
      </c>
      <c r="D20" s="231" t="n">
        <v>10</v>
      </c>
      <c r="E20" s="231" t="inlineStr"/>
      <c r="F20" s="231" t="inlineStr"/>
      <c r="G20" s="231" t="inlineStr"/>
      <c r="H20" s="231" t="inlineStr"/>
      <c r="I20" s="231" t="inlineStr"/>
      <c r="J20" s="27" t="inlineStr">
        <is>
          <t>共</t>
        </is>
      </c>
      <c r="K20" s="27" t="inlineStr"/>
      <c r="L20" s="231" t="n">
        <v>100</v>
      </c>
      <c r="M20" s="19" t="inlineStr">
        <is>
          <t>Product-A7F669A5</t>
        </is>
      </c>
      <c r="N20" s="231" t="n">
        <v>2</v>
      </c>
      <c r="O20" s="181">
        <f>SUM(P20:AB20)</f>
        <v/>
      </c>
      <c r="P20" s="182">
        <f>ROUND(#REF!+#REF!+#REF!+预安排!F20+#REF!+'6月'!P20,5)</f>
        <v/>
      </c>
      <c r="Q20" s="182">
        <f>ROUND(#REF!+#REF!+#REF!+预安排!#REF!+#REF!+'6月'!Q20,5)</f>
        <v/>
      </c>
      <c r="R20" s="182">
        <f>ROUND(#REF!+#REF!+#REF!+预安排!G20+#REF!+'6月'!R20,5)</f>
        <v/>
      </c>
      <c r="S20" s="182">
        <f>ROUND(#REF!+#REF!+#REF!+预安排!#REF!+#REF!+'6月'!S20,5)</f>
        <v/>
      </c>
      <c r="T20" s="182">
        <f>ROUND(#REF!+#REF!+#REF!+预安排!#REF!+#REF!+'6月'!T20,5)</f>
        <v/>
      </c>
      <c r="U20" s="182">
        <f>ROUND(#REF!+#REF!+#REF!+预安排!O20+#REF!+'6月'!U20,5)</f>
        <v/>
      </c>
      <c r="V20" s="182">
        <f>ROUND(#REF!+#REF!+#REF!+预安排!P20+#REF!+'6月'!V20,5)</f>
        <v/>
      </c>
      <c r="W20" s="182">
        <f>ROUND(#REF!+#REF!+#REF!+预安排!Q20+#REF!+'6月'!W20,5)</f>
        <v/>
      </c>
      <c r="X20" s="182">
        <f>ROUND(#REF!+#REF!+#REF!+预安排!R20+#REF!+'6月'!X20,5)</f>
        <v/>
      </c>
      <c r="Y20" s="182">
        <f>ROUND(#REF!+#REF!+#REF!+预安排!S20+#REF!+'6月'!Y20,5)</f>
        <v/>
      </c>
      <c r="Z20" s="182">
        <f>ROUND(#REF!+#REF!+#REF!+预安排!#REF!+#REF!+'6月'!Z20,5)</f>
        <v/>
      </c>
      <c r="AA20" s="182">
        <f>ROUND(#REF!+#REF!+#REF!+预安排!#REF!+#REF!+'6月'!AA20,5)</f>
        <v/>
      </c>
      <c r="AB20" s="182">
        <f>ROUND(#REF!+#REF!+#REF!+预安排!#REF!+#REF!+'6月'!AB20,5)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193">
        <f>计划!O20-O20</f>
        <v/>
      </c>
      <c r="AH20" s="193">
        <f>ROUND(AG20/$AH$1,2)</f>
        <v/>
      </c>
    </row>
    <row r="21" customFormat="1" s="1">
      <c r="A21" s="234" t="n"/>
      <c r="B21" s="231" t="inlineStr">
        <is>
          <t>SKU-9FED3CD7</t>
        </is>
      </c>
      <c r="C21" s="231" t="inlineStr">
        <is>
          <t>是</t>
        </is>
      </c>
      <c r="D21" s="231" t="n">
        <v>6</v>
      </c>
      <c r="E21" s="231" t="inlineStr">
        <is>
          <t>是</t>
        </is>
      </c>
      <c r="F21" s="231" t="inlineStr"/>
      <c r="G21" s="231" t="inlineStr"/>
      <c r="H21" s="231" t="inlineStr"/>
      <c r="I21" s="231" t="inlineStr">
        <is>
          <t>是</t>
        </is>
      </c>
      <c r="J21" s="27" t="inlineStr"/>
      <c r="K21" s="27" t="inlineStr"/>
      <c r="L21" s="231" t="n">
        <v>100</v>
      </c>
      <c r="M21" s="44" t="inlineStr">
        <is>
          <t>Product-80F515FA</t>
        </is>
      </c>
      <c r="N21" s="231" t="n">
        <v>1</v>
      </c>
      <c r="O21" s="181">
        <f>SUM(P21:AB21)</f>
        <v/>
      </c>
      <c r="P21" s="182">
        <f>ROUND(#REF!+#REF!+#REF!+预安排!F21+#REF!+'6月'!P21,5)</f>
        <v/>
      </c>
      <c r="Q21" s="182">
        <f>ROUND(#REF!+#REF!+#REF!+预安排!#REF!+#REF!+'6月'!Q21,5)</f>
        <v/>
      </c>
      <c r="R21" s="182">
        <f>ROUND(#REF!+#REF!+#REF!+预安排!G21+#REF!+'6月'!R21,5)</f>
        <v/>
      </c>
      <c r="S21" s="182">
        <f>ROUND(#REF!+#REF!+#REF!+预安排!#REF!+#REF!+'6月'!S21,5)</f>
        <v/>
      </c>
      <c r="T21" s="182">
        <f>ROUND(#REF!+#REF!+#REF!+预安排!#REF!+#REF!+'6月'!T21,5)</f>
        <v/>
      </c>
      <c r="U21" s="182">
        <f>ROUND(#REF!+#REF!+#REF!+预安排!O21+#REF!+'6月'!U21,5)</f>
        <v/>
      </c>
      <c r="V21" s="182">
        <f>ROUND(#REF!+#REF!+#REF!+预安排!P21+#REF!+'6月'!V21,5)</f>
        <v/>
      </c>
      <c r="W21" s="182">
        <f>ROUND(#REF!+#REF!+#REF!+预安排!Q21+#REF!+'6月'!W21,5)</f>
        <v/>
      </c>
      <c r="X21" s="182">
        <f>ROUND(#REF!+#REF!+#REF!+预安排!R21+#REF!+'6月'!X21,5)</f>
        <v/>
      </c>
      <c r="Y21" s="182">
        <f>ROUND(#REF!+#REF!+#REF!+预安排!S21+#REF!+'6月'!Y21,5)</f>
        <v/>
      </c>
      <c r="Z21" s="182">
        <f>ROUND(#REF!+#REF!+#REF!+预安排!#REF!+#REF!+'6月'!Z21,5)</f>
        <v/>
      </c>
      <c r="AA21" s="182">
        <f>ROUND(#REF!+#REF!+#REF!+预安排!#REF!+#REF!+'6月'!AA21,5)</f>
        <v/>
      </c>
      <c r="AB21" s="182">
        <f>ROUND(#REF!+#REF!+#REF!+预安排!#REF!+#REF!+'6月'!AB21,5)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193">
        <f>计划!O21-O21</f>
        <v/>
      </c>
      <c r="AH21" s="193">
        <f>ROUND(AG21/$AH$1,2)</f>
        <v/>
      </c>
    </row>
    <row r="22" customFormat="1" s="1">
      <c r="A22" s="234" t="n"/>
      <c r="B22" s="231" t="inlineStr">
        <is>
          <t>SKU-D2D4FD85</t>
        </is>
      </c>
      <c r="C22" s="231" t="inlineStr">
        <is>
          <t>是</t>
        </is>
      </c>
      <c r="D22" s="231" t="n">
        <v>8</v>
      </c>
      <c r="E22" s="231" t="inlineStr">
        <is>
          <t>是</t>
        </is>
      </c>
      <c r="F22" s="231" t="inlineStr"/>
      <c r="G22" s="231" t="inlineStr"/>
      <c r="H22" s="231" t="inlineStr"/>
      <c r="I22" s="231" t="inlineStr">
        <is>
          <t>是</t>
        </is>
      </c>
      <c r="J22" s="27" t="inlineStr"/>
      <c r="K22" s="27" t="inlineStr"/>
      <c r="L22" s="231" t="n">
        <v>100</v>
      </c>
      <c r="M22" s="33" t="inlineStr">
        <is>
          <t>Product-D1D130D9</t>
        </is>
      </c>
      <c r="N22" s="231" t="n">
        <v>1</v>
      </c>
      <c r="O22" s="181">
        <f>SUM(P22:AB22)</f>
        <v/>
      </c>
      <c r="P22" s="182">
        <f>ROUND(#REF!+#REF!+#REF!+预安排!F22+#REF!+'6月'!P22,5)</f>
        <v/>
      </c>
      <c r="Q22" s="182">
        <f>ROUND(#REF!+#REF!+#REF!+预安排!#REF!+#REF!+'6月'!Q22,5)</f>
        <v/>
      </c>
      <c r="R22" s="182">
        <f>ROUND(#REF!+#REF!+#REF!+预安排!G22+#REF!+'6月'!R22,5)</f>
        <v/>
      </c>
      <c r="S22" s="182">
        <f>ROUND(#REF!+#REF!+#REF!+预安排!#REF!+#REF!+'6月'!S22,5)</f>
        <v/>
      </c>
      <c r="T22" s="182">
        <f>ROUND(#REF!+#REF!+#REF!+预安排!#REF!+#REF!+'6月'!T22,5)</f>
        <v/>
      </c>
      <c r="U22" s="182">
        <f>ROUND(#REF!+#REF!+#REF!+预安排!O22+#REF!+'6月'!U22,5)</f>
        <v/>
      </c>
      <c r="V22" s="182">
        <f>ROUND(#REF!+#REF!+#REF!+预安排!P22+#REF!+'6月'!V22,5)</f>
        <v/>
      </c>
      <c r="W22" s="182">
        <f>ROUND(#REF!+#REF!+#REF!+预安排!Q22+#REF!+'6月'!W22,5)</f>
        <v/>
      </c>
      <c r="X22" s="182">
        <f>ROUND(#REF!+#REF!+#REF!+预安排!R22+#REF!+'6月'!X22,5)</f>
        <v/>
      </c>
      <c r="Y22" s="182">
        <f>ROUND(#REF!+#REF!+#REF!+预安排!S22+#REF!+'6月'!Y22,5)</f>
        <v/>
      </c>
      <c r="Z22" s="182">
        <f>ROUND(#REF!+#REF!+#REF!+预安排!#REF!+#REF!+'6月'!Z22,5)</f>
        <v/>
      </c>
      <c r="AA22" s="182">
        <f>ROUND(#REF!+#REF!+#REF!+预安排!#REF!+#REF!+'6月'!AA22,5)</f>
        <v/>
      </c>
      <c r="AB22" s="182">
        <f>ROUND(#REF!+#REF!+#REF!+预安排!#REF!+#REF!+'6月'!AB22,5)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  <c r="AG22" s="193">
        <f>计划!O22-O22</f>
        <v/>
      </c>
      <c r="AH22" s="193">
        <f>ROUND(AG22/$AH$1,2)</f>
        <v/>
      </c>
    </row>
    <row r="23" customFormat="1" s="1">
      <c r="A23" s="234" t="n"/>
      <c r="B23" s="231" t="inlineStr">
        <is>
          <t>SKU-2324D87D</t>
        </is>
      </c>
      <c r="C23" s="231" t="inlineStr">
        <is>
          <t>是</t>
        </is>
      </c>
      <c r="D23" s="231" t="n">
        <v>9</v>
      </c>
      <c r="E23" s="231" t="inlineStr"/>
      <c r="F23" s="231" t="inlineStr">
        <is>
          <t>是</t>
        </is>
      </c>
      <c r="G23" s="231" t="inlineStr"/>
      <c r="H23" s="231" t="inlineStr"/>
      <c r="I23" s="231" t="inlineStr">
        <is>
          <t>是</t>
        </is>
      </c>
      <c r="J23" s="27" t="inlineStr"/>
      <c r="K23" s="27" t="inlineStr"/>
      <c r="L23" s="231" t="n">
        <v>100</v>
      </c>
      <c r="M23" s="19" t="inlineStr">
        <is>
          <t>Product-142947AA</t>
        </is>
      </c>
      <c r="N23" s="231" t="n">
        <v>1</v>
      </c>
      <c r="O23" s="181">
        <f>SUM(P23:AB23)</f>
        <v/>
      </c>
      <c r="P23" s="182">
        <f>ROUND(#REF!+#REF!+#REF!+预安排!F23+#REF!+'6月'!P23,5)</f>
        <v/>
      </c>
      <c r="Q23" s="182">
        <f>ROUND(#REF!+#REF!+#REF!+预安排!#REF!+#REF!+'6月'!Q23,5)</f>
        <v/>
      </c>
      <c r="R23" s="182">
        <f>ROUND(#REF!+#REF!+#REF!+预安排!G23+#REF!+'6月'!R23,5)</f>
        <v/>
      </c>
      <c r="S23" s="182">
        <f>ROUND(#REF!+#REF!+#REF!+预安排!#REF!+#REF!+'6月'!S23,5)</f>
        <v/>
      </c>
      <c r="T23" s="182">
        <f>ROUND(#REF!+#REF!+#REF!+预安排!#REF!+#REF!+'6月'!T23,5)</f>
        <v/>
      </c>
      <c r="U23" s="182">
        <f>ROUND(#REF!+#REF!+#REF!+预安排!O23+#REF!+'6月'!U23,5)</f>
        <v/>
      </c>
      <c r="V23" s="182">
        <f>ROUND(#REF!+#REF!+#REF!+预安排!P23+#REF!+'6月'!V23,5)</f>
        <v/>
      </c>
      <c r="W23" s="182">
        <f>ROUND(#REF!+#REF!+#REF!+预安排!Q23+#REF!+'6月'!W23,5)</f>
        <v/>
      </c>
      <c r="X23" s="182">
        <f>ROUND(#REF!+#REF!+#REF!+预安排!R23+#REF!+'6月'!X23,5)</f>
        <v/>
      </c>
      <c r="Y23" s="182">
        <f>ROUND(#REF!+#REF!+#REF!+预安排!S23+#REF!+'6月'!Y23,5)</f>
        <v/>
      </c>
      <c r="Z23" s="182">
        <f>ROUND(#REF!+#REF!+#REF!+预安排!#REF!+#REF!+'6月'!Z23,5)</f>
        <v/>
      </c>
      <c r="AA23" s="182">
        <f>ROUND(#REF!+#REF!+#REF!+预安排!#REF!+#REF!+'6月'!AA23,5)</f>
        <v/>
      </c>
      <c r="AB23" s="182">
        <f>ROUND(#REF!+#REF!+#REF!+预安排!#REF!+#REF!+'6月'!AB23,5)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193">
        <f>计划!O23-O23</f>
        <v/>
      </c>
      <c r="AH23" s="193">
        <f>ROUND(AG23/$AH$1,2)</f>
        <v/>
      </c>
    </row>
    <row r="24" customFormat="1" s="1">
      <c r="A24" s="234" t="n"/>
      <c r="B24" s="231" t="inlineStr">
        <is>
          <t>SKU-D3A8D0D1</t>
        </is>
      </c>
      <c r="C24" s="231" t="inlineStr">
        <is>
          <t>是</t>
        </is>
      </c>
      <c r="D24" s="231" t="n">
        <v>9</v>
      </c>
      <c r="E24" s="231" t="inlineStr"/>
      <c r="F24" s="231" t="inlineStr">
        <is>
          <t>是</t>
        </is>
      </c>
      <c r="G24" s="231" t="inlineStr"/>
      <c r="H24" s="231" t="inlineStr"/>
      <c r="I24" s="231" t="inlineStr">
        <is>
          <t>是</t>
        </is>
      </c>
      <c r="J24" s="27" t="inlineStr"/>
      <c r="K24" s="27" t="inlineStr"/>
      <c r="L24" s="231" t="n">
        <v>100</v>
      </c>
      <c r="M24" s="19" t="inlineStr">
        <is>
          <t>Product-B80128BB</t>
        </is>
      </c>
      <c r="N24" s="231" t="n">
        <v>1</v>
      </c>
      <c r="O24" s="181">
        <f>SUM(P24:AB24)</f>
        <v/>
      </c>
      <c r="P24" s="182">
        <f>ROUND(#REF!+#REF!+#REF!+预安排!F24+#REF!+'6月'!P24,5)</f>
        <v/>
      </c>
      <c r="Q24" s="182">
        <f>ROUND(#REF!+#REF!+#REF!+预安排!#REF!+#REF!+'6月'!Q24,5)</f>
        <v/>
      </c>
      <c r="R24" s="182">
        <f>ROUND(#REF!+#REF!+#REF!+预安排!G24+#REF!+'6月'!R24,5)</f>
        <v/>
      </c>
      <c r="S24" s="182">
        <f>ROUND(#REF!+#REF!+#REF!+预安排!#REF!+#REF!+'6月'!S24,5)</f>
        <v/>
      </c>
      <c r="T24" s="182">
        <f>ROUND(#REF!+#REF!+#REF!+预安排!#REF!+#REF!+'6月'!T24,5)</f>
        <v/>
      </c>
      <c r="U24" s="182">
        <f>ROUND(#REF!+#REF!+#REF!+预安排!O24+#REF!+'6月'!U24,5)</f>
        <v/>
      </c>
      <c r="V24" s="182">
        <f>ROUND(#REF!+#REF!+#REF!+预安排!P24+#REF!+'6月'!V24,5)</f>
        <v/>
      </c>
      <c r="W24" s="182">
        <f>ROUND(#REF!+#REF!+#REF!+预安排!Q24+#REF!+'6月'!W24,5)</f>
        <v/>
      </c>
      <c r="X24" s="182">
        <f>ROUND(#REF!+#REF!+#REF!+预安排!R24+#REF!+'6月'!X24,5)</f>
        <v/>
      </c>
      <c r="Y24" s="182">
        <f>ROUND(#REF!+#REF!+#REF!+预安排!S24+#REF!+'6月'!Y24,5)</f>
        <v/>
      </c>
      <c r="Z24" s="182">
        <f>ROUND(#REF!+#REF!+#REF!+预安排!#REF!+#REF!+'6月'!Z24,5)</f>
        <v/>
      </c>
      <c r="AA24" s="182">
        <f>ROUND(#REF!+#REF!+#REF!+预安排!#REF!+#REF!+'6月'!AA24,5)</f>
        <v/>
      </c>
      <c r="AB24" s="182">
        <f>ROUND(#REF!+#REF!+#REF!+预安排!#REF!+#REF!+'6月'!AB24,5)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193">
        <f>计划!O24-O24</f>
        <v/>
      </c>
      <c r="AH24" s="193">
        <f>ROUND(AG24/$AH$1,2)</f>
        <v/>
      </c>
    </row>
    <row r="25" customFormat="1" s="1">
      <c r="A25" s="234" t="n"/>
      <c r="B25" s="231" t="inlineStr">
        <is>
          <t>SKU-55B49425</t>
        </is>
      </c>
      <c r="C25" s="231" t="inlineStr">
        <is>
          <t>是</t>
        </is>
      </c>
      <c r="D25" s="231" t="n">
        <v>11</v>
      </c>
      <c r="E25" s="231" t="inlineStr"/>
      <c r="F25" s="231" t="inlineStr"/>
      <c r="G25" s="231" t="inlineStr"/>
      <c r="H25" s="231" t="inlineStr"/>
      <c r="I25" s="231" t="inlineStr"/>
      <c r="J25" s="27" t="inlineStr">
        <is>
          <t>共</t>
        </is>
      </c>
      <c r="K25" s="27" t="inlineStr"/>
      <c r="L25" s="231" t="n">
        <v>100</v>
      </c>
      <c r="M25" s="19" t="inlineStr">
        <is>
          <t>Product-2E005B6F</t>
        </is>
      </c>
      <c r="N25" s="231" t="n">
        <v>1</v>
      </c>
      <c r="O25" s="181">
        <f>SUM(P25:AB25)</f>
        <v/>
      </c>
      <c r="P25" s="182">
        <f>ROUND(#REF!+#REF!+#REF!+预安排!F29+#REF!+'6月'!P25,5)</f>
        <v/>
      </c>
      <c r="Q25" s="182">
        <f>ROUND(#REF!+#REF!+#REF!+预安排!#REF!+#REF!+'6月'!Q25,5)</f>
        <v/>
      </c>
      <c r="R25" s="182">
        <f>ROUND(#REF!+#REF!+#REF!+预安排!G29+#REF!+'6月'!R25,5)</f>
        <v/>
      </c>
      <c r="S25" s="182">
        <f>ROUND(#REF!+#REF!+#REF!+预安排!#REF!+#REF!+'6月'!S25,5)</f>
        <v/>
      </c>
      <c r="T25" s="182">
        <f>ROUND(#REF!+#REF!+#REF!+预安排!#REF!+#REF!+'6月'!T25,5)</f>
        <v/>
      </c>
      <c r="U25" s="182">
        <f>ROUND(#REF!+#REF!+#REF!+预安排!O29+#REF!+'6月'!U25,5)</f>
        <v/>
      </c>
      <c r="V25" s="182">
        <f>ROUND(#REF!+#REF!+#REF!+预安排!P29+#REF!+'6月'!V25,5)</f>
        <v/>
      </c>
      <c r="W25" s="182">
        <f>ROUND(#REF!+#REF!+#REF!+预安排!Q29+#REF!+'6月'!W25,5)</f>
        <v/>
      </c>
      <c r="X25" s="182">
        <f>ROUND(#REF!+#REF!+#REF!+预安排!R29+#REF!+'6月'!X25,5)</f>
        <v/>
      </c>
      <c r="Y25" s="182">
        <f>ROUND(#REF!+#REF!+#REF!+预安排!S29+#REF!+'6月'!Y25,5)</f>
        <v/>
      </c>
      <c r="Z25" s="182">
        <f>ROUND(#REF!+#REF!+#REF!+预安排!#REF!+#REF!+'6月'!Z25,5)</f>
        <v/>
      </c>
      <c r="AA25" s="182">
        <f>ROUND(#REF!+#REF!+#REF!+预安排!#REF!+#REF!+'6月'!AA25,5)</f>
        <v/>
      </c>
      <c r="AB25" s="182">
        <f>ROUND(#REF!+#REF!+#REF!+预安排!#REF!+#REF!+'6月'!AB25,5)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193">
        <f>计划!O25-O25</f>
        <v/>
      </c>
      <c r="AH25" s="193">
        <f>ROUND(AG25/$AH$1,2)</f>
        <v/>
      </c>
    </row>
    <row r="26" customFormat="1" s="1">
      <c r="A26" s="234" t="n"/>
      <c r="B26" s="231" t="inlineStr">
        <is>
          <t>SKU-7E7C0C23</t>
        </is>
      </c>
      <c r="C26" s="231" t="inlineStr">
        <is>
          <t>是</t>
        </is>
      </c>
      <c r="D26" s="231" t="n">
        <v>11</v>
      </c>
      <c r="E26" s="231" t="inlineStr"/>
      <c r="F26" s="231" t="inlineStr"/>
      <c r="G26" s="231" t="inlineStr"/>
      <c r="H26" s="231" t="inlineStr"/>
      <c r="I26" s="231" t="inlineStr"/>
      <c r="J26" s="27" t="inlineStr">
        <is>
          <t>共</t>
        </is>
      </c>
      <c r="K26" s="27" t="inlineStr"/>
      <c r="L26" s="231" t="n">
        <v>100</v>
      </c>
      <c r="M26" s="19" t="inlineStr">
        <is>
          <t>Product-8C5BA899</t>
        </is>
      </c>
      <c r="N26" s="231" t="n">
        <v>1</v>
      </c>
      <c r="O26" s="181">
        <f>SUM(P26:AB26)</f>
        <v/>
      </c>
      <c r="P26" s="182">
        <f>ROUND(#REF!+#REF!+#REF!+预安排!F30+#REF!+'6月'!P26,5)</f>
        <v/>
      </c>
      <c r="Q26" s="182">
        <f>ROUND(#REF!+#REF!+#REF!+预安排!#REF!+#REF!+'6月'!Q26,5)</f>
        <v/>
      </c>
      <c r="R26" s="182">
        <f>ROUND(#REF!+#REF!+#REF!+预安排!G30+#REF!+'6月'!R26,5)</f>
        <v/>
      </c>
      <c r="S26" s="182">
        <f>ROUND(#REF!+#REF!+#REF!+预安排!#REF!+#REF!+'6月'!S26,5)</f>
        <v/>
      </c>
      <c r="T26" s="182">
        <f>ROUND(#REF!+#REF!+#REF!+预安排!#REF!+#REF!+'6月'!T26,5)</f>
        <v/>
      </c>
      <c r="U26" s="182">
        <f>ROUND(#REF!+#REF!+#REF!+预安排!O30+#REF!+'6月'!U26,5)</f>
        <v/>
      </c>
      <c r="V26" s="182">
        <f>ROUND(#REF!+#REF!+#REF!+预安排!P30+#REF!+'6月'!V26,5)</f>
        <v/>
      </c>
      <c r="W26" s="182">
        <f>ROUND(#REF!+#REF!+#REF!+预安排!Q30+#REF!+'6月'!W26,5)</f>
        <v/>
      </c>
      <c r="X26" s="182">
        <f>ROUND(#REF!+#REF!+#REF!+预安排!R30+#REF!+'6月'!X26,5)</f>
        <v/>
      </c>
      <c r="Y26" s="182">
        <f>ROUND(#REF!+#REF!+#REF!+预安排!S30+#REF!+'6月'!Y26,5)</f>
        <v/>
      </c>
      <c r="Z26" s="182">
        <f>ROUND(#REF!+#REF!+#REF!+预安排!#REF!+#REF!+'6月'!Z26,5)</f>
        <v/>
      </c>
      <c r="AA26" s="182">
        <f>ROUND(#REF!+#REF!+#REF!+预安排!#REF!+#REF!+'6月'!AA26,5)</f>
        <v/>
      </c>
      <c r="AB26" s="182">
        <f>ROUND(#REF!+#REF!+#REF!+预安排!#REF!+#REF!+'6月'!AB26,5)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193">
        <f>计划!O26-O26</f>
        <v/>
      </c>
      <c r="AH26" s="193">
        <f>ROUND(AG26/$AH$1,2)</f>
        <v/>
      </c>
    </row>
    <row r="27" customFormat="1" s="1">
      <c r="A27" s="234" t="n"/>
      <c r="B27" s="231" t="inlineStr">
        <is>
          <t>SKU-581048FF</t>
        </is>
      </c>
      <c r="C27" s="231" t="inlineStr">
        <is>
          <t>是</t>
        </is>
      </c>
      <c r="D27" s="231" t="n">
        <v>11</v>
      </c>
      <c r="E27" s="231" t="inlineStr"/>
      <c r="F27" s="231" t="inlineStr"/>
      <c r="G27" s="231" t="inlineStr"/>
      <c r="H27" s="231" t="inlineStr"/>
      <c r="I27" s="231" t="inlineStr"/>
      <c r="J27" s="27" t="inlineStr"/>
      <c r="K27" s="27" t="inlineStr"/>
      <c r="L27" s="231" t="n">
        <v>100</v>
      </c>
      <c r="M27" s="19" t="inlineStr">
        <is>
          <t>Product-9C9F0DD0</t>
        </is>
      </c>
      <c r="N27" s="231" t="n">
        <v>1</v>
      </c>
      <c r="O27" s="181">
        <f>SUM(P27:AB27)</f>
        <v/>
      </c>
      <c r="P27" s="182">
        <f>ROUND(#REF!+#REF!+#REF!+预安排!F31+#REF!+'6月'!P27,5)</f>
        <v/>
      </c>
      <c r="Q27" s="182">
        <f>ROUND(#REF!+#REF!+#REF!+预安排!#REF!+#REF!+'6月'!Q27,5)</f>
        <v/>
      </c>
      <c r="R27" s="182">
        <f>ROUND(#REF!+#REF!+#REF!+预安排!G31+#REF!+'6月'!R27,5)</f>
        <v/>
      </c>
      <c r="S27" s="182">
        <f>ROUND(#REF!+#REF!+#REF!+预安排!#REF!+#REF!+'6月'!S27,5)</f>
        <v/>
      </c>
      <c r="T27" s="182">
        <f>ROUND(#REF!+#REF!+#REF!+预安排!#REF!+#REF!+'6月'!T27,5)</f>
        <v/>
      </c>
      <c r="U27" s="182">
        <f>ROUND(#REF!+#REF!+#REF!+预安排!O31+#REF!+'6月'!U27,5)</f>
        <v/>
      </c>
      <c r="V27" s="182">
        <f>ROUND(#REF!+#REF!+#REF!+预安排!P31+#REF!+'6月'!V27,5)</f>
        <v/>
      </c>
      <c r="W27" s="182">
        <f>ROUND(#REF!+#REF!+#REF!+预安排!Q31+#REF!+'6月'!W27,5)</f>
        <v/>
      </c>
      <c r="X27" s="182">
        <f>ROUND(#REF!+#REF!+#REF!+预安排!R31+#REF!+'6月'!X27,5)</f>
        <v/>
      </c>
      <c r="Y27" s="182">
        <f>ROUND(#REF!+#REF!+#REF!+预安排!S31+#REF!+'6月'!Y27,5)</f>
        <v/>
      </c>
      <c r="Z27" s="182">
        <f>ROUND(#REF!+#REF!+#REF!+预安排!#REF!+#REF!+'6月'!Z27,5)</f>
        <v/>
      </c>
      <c r="AA27" s="182">
        <f>ROUND(#REF!+#REF!+#REF!+预安排!#REF!+#REF!+'6月'!AA27,5)</f>
        <v/>
      </c>
      <c r="AB27" s="182">
        <f>ROUND(#REF!+#REF!+#REF!+预安排!#REF!+#REF!+'6月'!AB27,5)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193">
        <f>计划!O27-O27</f>
        <v/>
      </c>
      <c r="AH27" s="193">
        <f>ROUND(AG27/$AH$1,2)</f>
        <v/>
      </c>
    </row>
    <row r="28" customFormat="1" s="1">
      <c r="A28" s="234" t="n"/>
      <c r="B28" s="231" t="inlineStr">
        <is>
          <t>SKU-1943C75B</t>
        </is>
      </c>
      <c r="C28" s="231" t="inlineStr">
        <is>
          <t>是</t>
        </is>
      </c>
      <c r="D28" s="231" t="n">
        <v>10</v>
      </c>
      <c r="E28" s="231" t="inlineStr"/>
      <c r="F28" s="231" t="inlineStr">
        <is>
          <t>是</t>
        </is>
      </c>
      <c r="G28" s="231" t="inlineStr"/>
      <c r="H28" s="231" t="inlineStr"/>
      <c r="I28" s="231" t="inlineStr">
        <is>
          <t>是</t>
        </is>
      </c>
      <c r="J28" s="27" t="inlineStr">
        <is>
          <t>共</t>
        </is>
      </c>
      <c r="K28" s="27" t="inlineStr"/>
      <c r="L28" s="231" t="n">
        <v>100</v>
      </c>
      <c r="M28" s="19" t="inlineStr">
        <is>
          <t>Product-62BC29B7</t>
        </is>
      </c>
      <c r="N28" s="231" t="n">
        <v>1</v>
      </c>
      <c r="O28" s="181">
        <f>SUM(P28:AB28)</f>
        <v/>
      </c>
      <c r="P28" s="182">
        <f>ROUND(#REF!+#REF!+#REF!+预安排!F32+#REF!+'6月'!P28,5)</f>
        <v/>
      </c>
      <c r="Q28" s="182">
        <f>ROUND(#REF!+#REF!+#REF!+预安排!#REF!+#REF!+'6月'!Q28,5)</f>
        <v/>
      </c>
      <c r="R28" s="182">
        <f>ROUND(#REF!+#REF!+#REF!+预安排!G32+#REF!+'6月'!R28,5)</f>
        <v/>
      </c>
      <c r="S28" s="182">
        <f>ROUND(#REF!+#REF!+#REF!+预安排!#REF!+#REF!+'6月'!S28,5)</f>
        <v/>
      </c>
      <c r="T28" s="182">
        <f>ROUND(#REF!+#REF!+#REF!+预安排!#REF!+#REF!+'6月'!T28,5)</f>
        <v/>
      </c>
      <c r="U28" s="182">
        <f>ROUND(#REF!+#REF!+#REF!+预安排!O32+#REF!+'6月'!U28,5)</f>
        <v/>
      </c>
      <c r="V28" s="182">
        <f>ROUND(#REF!+#REF!+#REF!+预安排!P32+#REF!+'6月'!V28,5)</f>
        <v/>
      </c>
      <c r="W28" s="182">
        <f>ROUND(#REF!+#REF!+#REF!+预安排!Q32+#REF!+'6月'!W28,5)</f>
        <v/>
      </c>
      <c r="X28" s="182">
        <f>ROUND(#REF!+#REF!+#REF!+预安排!R32+#REF!+'6月'!X28,5)</f>
        <v/>
      </c>
      <c r="Y28" s="182">
        <f>ROUND(#REF!+#REF!+#REF!+预安排!S32+#REF!+'6月'!Y28,5)</f>
        <v/>
      </c>
      <c r="Z28" s="182">
        <f>ROUND(#REF!+#REF!+#REF!+预安排!#REF!+#REF!+'6月'!Z28,5)</f>
        <v/>
      </c>
      <c r="AA28" s="182">
        <f>ROUND(#REF!+#REF!+#REF!+预安排!#REF!+#REF!+'6月'!AA28,5)</f>
        <v/>
      </c>
      <c r="AB28" s="182">
        <f>ROUND(#REF!+#REF!+#REF!+预安排!#REF!+#REF!+'6月'!AB28,5)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193">
        <f>计划!O28-O28</f>
        <v/>
      </c>
      <c r="AH28" s="193">
        <f>ROUND(AG28/$AH$1,2)</f>
        <v/>
      </c>
    </row>
    <row r="29" customFormat="1" s="1">
      <c r="A29" s="234" t="n"/>
      <c r="B29" s="231" t="inlineStr">
        <is>
          <t>SKU-51C641E5</t>
        </is>
      </c>
      <c r="C29" s="231" t="inlineStr">
        <is>
          <t>是</t>
        </is>
      </c>
      <c r="D29" s="231" t="n">
        <v>10</v>
      </c>
      <c r="E29" s="231" t="inlineStr"/>
      <c r="F29" s="231" t="inlineStr">
        <is>
          <t>是</t>
        </is>
      </c>
      <c r="G29" s="231" t="inlineStr"/>
      <c r="H29" s="231" t="inlineStr"/>
      <c r="I29" s="231" t="inlineStr">
        <is>
          <t>是</t>
        </is>
      </c>
      <c r="J29" s="27" t="inlineStr">
        <is>
          <t>共</t>
        </is>
      </c>
      <c r="K29" s="27" t="inlineStr"/>
      <c r="L29" s="231" t="n">
        <v>100</v>
      </c>
      <c r="M29" s="19" t="inlineStr">
        <is>
          <t>Product-4CA63C06</t>
        </is>
      </c>
      <c r="N29" s="231" t="n">
        <v>1</v>
      </c>
      <c r="O29" s="181">
        <f>SUM(P29:AB29)</f>
        <v/>
      </c>
      <c r="P29" s="182">
        <f>ROUND(#REF!+#REF!+#REF!+预安排!F33+#REF!+'6月'!P29,5)</f>
        <v/>
      </c>
      <c r="Q29" s="182">
        <f>ROUND(#REF!+#REF!+#REF!+预安排!#REF!+#REF!+'6月'!Q29,5)</f>
        <v/>
      </c>
      <c r="R29" s="182">
        <f>ROUND(#REF!+#REF!+#REF!+预安排!G33+#REF!+'6月'!R29,5)</f>
        <v/>
      </c>
      <c r="S29" s="182">
        <f>ROUND(#REF!+#REF!+#REF!+预安排!#REF!+#REF!+'6月'!S29,5)</f>
        <v/>
      </c>
      <c r="T29" s="182">
        <f>ROUND(#REF!+#REF!+#REF!+预安排!#REF!+#REF!+'6月'!T29,5)</f>
        <v/>
      </c>
      <c r="U29" s="182">
        <f>ROUND(#REF!+#REF!+#REF!+预安排!O33+#REF!+'6月'!U29,5)</f>
        <v/>
      </c>
      <c r="V29" s="182">
        <f>ROUND(#REF!+#REF!+#REF!+预安排!P33+#REF!+'6月'!V29,5)</f>
        <v/>
      </c>
      <c r="W29" s="182">
        <f>ROUND(#REF!+#REF!+#REF!+预安排!Q33+#REF!+'6月'!W29,5)</f>
        <v/>
      </c>
      <c r="X29" s="182">
        <f>ROUND(#REF!+#REF!+#REF!+预安排!R33+#REF!+'6月'!X29,5)</f>
        <v/>
      </c>
      <c r="Y29" s="182">
        <f>ROUND(#REF!+#REF!+#REF!+预安排!S33+#REF!+'6月'!Y29,5)</f>
        <v/>
      </c>
      <c r="Z29" s="182">
        <f>ROUND(#REF!+#REF!+#REF!+预安排!#REF!+#REF!+'6月'!Z29,5)</f>
        <v/>
      </c>
      <c r="AA29" s="182">
        <f>ROUND(#REF!+#REF!+#REF!+预安排!#REF!+#REF!+'6月'!AA29,5)</f>
        <v/>
      </c>
      <c r="AB29" s="182">
        <f>ROUND(#REF!+#REF!+#REF!+预安排!#REF!+#REF!+'6月'!AB29,5)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193">
        <f>计划!O29-O29</f>
        <v/>
      </c>
      <c r="AH29" s="193">
        <f>ROUND(AG29/$AH$1,2)</f>
        <v/>
      </c>
    </row>
    <row r="30" customFormat="1" s="1">
      <c r="A30" s="234" t="n"/>
      <c r="B30" s="231" t="inlineStr">
        <is>
          <t>SKU-740A9334</t>
        </is>
      </c>
      <c r="C30" s="231" t="inlineStr">
        <is>
          <t>是</t>
        </is>
      </c>
      <c r="D30" s="231" t="n">
        <v>10</v>
      </c>
      <c r="E30" s="231" t="inlineStr"/>
      <c r="F30" s="231" t="inlineStr"/>
      <c r="G30" s="231" t="inlineStr">
        <is>
          <t>是</t>
        </is>
      </c>
      <c r="H30" s="231" t="inlineStr"/>
      <c r="I30" s="231" t="inlineStr">
        <is>
          <t>是</t>
        </is>
      </c>
      <c r="J30" s="27" t="inlineStr"/>
      <c r="K30" s="27" t="inlineStr"/>
      <c r="L30" s="231" t="n">
        <v>100</v>
      </c>
      <c r="M30" s="33" t="inlineStr">
        <is>
          <t>Product-7726A962</t>
        </is>
      </c>
      <c r="N30" s="231" t="n">
        <v>1</v>
      </c>
      <c r="O30" s="181">
        <f>SUM(P30:AB30)</f>
        <v/>
      </c>
      <c r="P30" s="182">
        <f>ROUND(#REF!+#REF!+#REF!+预安排!F34+#REF!+'6月'!P30,5)</f>
        <v/>
      </c>
      <c r="Q30" s="182">
        <f>ROUND(#REF!+#REF!+#REF!+预安排!#REF!+#REF!+'6月'!Q30,5)</f>
        <v/>
      </c>
      <c r="R30" s="182">
        <f>ROUND(#REF!+#REF!+#REF!+预安排!G34+#REF!+'6月'!R30,5)</f>
        <v/>
      </c>
      <c r="S30" s="182">
        <f>ROUND(#REF!+#REF!+#REF!+预安排!#REF!+#REF!+'6月'!S30,5)</f>
        <v/>
      </c>
      <c r="T30" s="182">
        <f>ROUND(#REF!+#REF!+#REF!+预安排!#REF!+#REF!+'6月'!T30,5)</f>
        <v/>
      </c>
      <c r="U30" s="182">
        <f>ROUND(#REF!+#REF!+#REF!+预安排!O34+#REF!+'6月'!U30,5)</f>
        <v/>
      </c>
      <c r="V30" s="182">
        <f>ROUND(#REF!+#REF!+#REF!+预安排!P34+#REF!+'6月'!V30,5)</f>
        <v/>
      </c>
      <c r="W30" s="182">
        <f>ROUND(#REF!+#REF!+#REF!+预安排!Q34+#REF!+'6月'!W30,5)</f>
        <v/>
      </c>
      <c r="X30" s="182">
        <f>ROUND(#REF!+#REF!+#REF!+预安排!R34+#REF!+'6月'!X30,5)</f>
        <v/>
      </c>
      <c r="Y30" s="182">
        <f>ROUND(#REF!+#REF!+#REF!+预安排!S34+#REF!+'6月'!Y30,5)</f>
        <v/>
      </c>
      <c r="Z30" s="182">
        <f>ROUND(#REF!+#REF!+#REF!+预安排!#REF!+#REF!+'6月'!Z30,5)</f>
        <v/>
      </c>
      <c r="AA30" s="182">
        <f>ROUND(#REF!+#REF!+#REF!+预安排!#REF!+#REF!+'6月'!AA30,5)</f>
        <v/>
      </c>
      <c r="AB30" s="182">
        <f>ROUND(#REF!+#REF!+#REF!+预安排!#REF!+#REF!+'6月'!AB30,5)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193">
        <f>计划!O30-O30</f>
        <v/>
      </c>
      <c r="AH30" s="193">
        <f>ROUND(AG30/$AH$1,2)</f>
        <v/>
      </c>
    </row>
    <row r="31" customFormat="1" s="1">
      <c r="A31" s="234" t="n"/>
      <c r="B31" s="231" t="inlineStr">
        <is>
          <t>SKU-ABAD8823</t>
        </is>
      </c>
      <c r="C31" s="231" t="inlineStr">
        <is>
          <t>是</t>
        </is>
      </c>
      <c r="D31" s="231" t="n">
        <v>8</v>
      </c>
      <c r="E31" s="231" t="inlineStr">
        <is>
          <t>是</t>
        </is>
      </c>
      <c r="F31" s="231" t="inlineStr"/>
      <c r="G31" s="231" t="inlineStr"/>
      <c r="H31" s="231" t="inlineStr"/>
      <c r="I31" s="231" t="inlineStr">
        <is>
          <t>是</t>
        </is>
      </c>
      <c r="J31" s="27" t="inlineStr">
        <is>
          <t>共</t>
        </is>
      </c>
      <c r="K31" s="27" t="inlineStr"/>
      <c r="L31" s="231" t="n">
        <v>100</v>
      </c>
      <c r="M31" s="19" t="inlineStr">
        <is>
          <t>Product-342D1F0D</t>
        </is>
      </c>
      <c r="N31" s="231" t="n">
        <v>1</v>
      </c>
      <c r="O31" s="181">
        <f>SUM(P31:AB31)</f>
        <v/>
      </c>
      <c r="P31" s="182">
        <f>ROUND(#REF!+#REF!+#REF!+预安排!F35+#REF!+'6月'!P31,5)</f>
        <v/>
      </c>
      <c r="Q31" s="182">
        <f>ROUND(#REF!+#REF!+#REF!+预安排!#REF!+#REF!+'6月'!Q31,5)</f>
        <v/>
      </c>
      <c r="R31" s="182">
        <f>ROUND(#REF!+#REF!+#REF!+预安排!G35+#REF!+'6月'!R31,5)</f>
        <v/>
      </c>
      <c r="S31" s="182">
        <f>ROUND(#REF!+#REF!+#REF!+预安排!#REF!+#REF!+'6月'!S31,5)</f>
        <v/>
      </c>
      <c r="T31" s="182">
        <f>ROUND(#REF!+#REF!+#REF!+预安排!#REF!+#REF!+'6月'!T31,5)</f>
        <v/>
      </c>
      <c r="U31" s="182">
        <f>ROUND(#REF!+#REF!+#REF!+预安排!O35+#REF!+'6月'!U31,5)</f>
        <v/>
      </c>
      <c r="V31" s="182">
        <f>ROUND(#REF!+#REF!+#REF!+预安排!P35+#REF!+'6月'!V31,5)</f>
        <v/>
      </c>
      <c r="W31" s="182">
        <f>ROUND(#REF!+#REF!+#REF!+预安排!Q35+#REF!+'6月'!W31,5)</f>
        <v/>
      </c>
      <c r="X31" s="182">
        <f>ROUND(#REF!+#REF!+#REF!+预安排!R35+#REF!+'6月'!X31,5)</f>
        <v/>
      </c>
      <c r="Y31" s="182">
        <f>ROUND(#REF!+#REF!+#REF!+预安排!S35+#REF!+'6月'!Y31,5)</f>
        <v/>
      </c>
      <c r="Z31" s="182">
        <f>ROUND(#REF!+#REF!+#REF!+预安排!#REF!+#REF!+'6月'!Z31,5)</f>
        <v/>
      </c>
      <c r="AA31" s="182">
        <f>ROUND(#REF!+#REF!+#REF!+预安排!#REF!+#REF!+'6月'!AA31,5)</f>
        <v/>
      </c>
      <c r="AB31" s="182">
        <f>ROUND(#REF!+#REF!+#REF!+预安排!#REF!+#REF!+'6月'!AB31,5)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193">
        <f>计划!O31-O31</f>
        <v/>
      </c>
      <c r="AH31" s="193">
        <f>ROUND(AG31/$AH$1,2)</f>
        <v/>
      </c>
    </row>
    <row r="32" customFormat="1" s="1">
      <c r="A32" s="234" t="n"/>
      <c r="B32" s="231" t="inlineStr">
        <is>
          <t>SKU-CD40403A</t>
        </is>
      </c>
      <c r="C32" s="231" t="inlineStr">
        <is>
          <t>是</t>
        </is>
      </c>
      <c r="D32" s="231" t="n">
        <v>8</v>
      </c>
      <c r="E32" s="231" t="inlineStr">
        <is>
          <t>是</t>
        </is>
      </c>
      <c r="F32" s="231" t="inlineStr"/>
      <c r="G32" s="231" t="inlineStr"/>
      <c r="H32" s="231" t="inlineStr"/>
      <c r="I32" s="231" t="inlineStr">
        <is>
          <t>是</t>
        </is>
      </c>
      <c r="J32" s="27" t="inlineStr">
        <is>
          <t>共</t>
        </is>
      </c>
      <c r="K32" s="27" t="inlineStr"/>
      <c r="L32" s="231" t="n">
        <v>100</v>
      </c>
      <c r="M32" s="19" t="inlineStr">
        <is>
          <t>Product-D6D3CCE6</t>
        </is>
      </c>
      <c r="N32" s="231" t="n">
        <v>1</v>
      </c>
      <c r="O32" s="181">
        <f>SUM(P32:AB32)</f>
        <v/>
      </c>
      <c r="P32" s="182">
        <f>ROUND(#REF!+#REF!+#REF!+预安排!F36+#REF!+'6月'!P32,5)</f>
        <v/>
      </c>
      <c r="Q32" s="182">
        <f>ROUND(#REF!+#REF!+#REF!+预安排!#REF!+#REF!+'6月'!Q32,5)</f>
        <v/>
      </c>
      <c r="R32" s="182">
        <f>ROUND(#REF!+#REF!+#REF!+预安排!G36+#REF!+'6月'!R32,5)</f>
        <v/>
      </c>
      <c r="S32" s="182">
        <f>ROUND(#REF!+#REF!+#REF!+预安排!#REF!+#REF!+'6月'!S32,5)</f>
        <v/>
      </c>
      <c r="T32" s="182">
        <f>ROUND(#REF!+#REF!+#REF!+预安排!#REF!+#REF!+'6月'!T32,5)</f>
        <v/>
      </c>
      <c r="U32" s="182">
        <f>ROUND(#REF!+#REF!+#REF!+预安排!O36+#REF!+'6月'!U32,5)</f>
        <v/>
      </c>
      <c r="V32" s="182">
        <f>ROUND(#REF!+#REF!+#REF!+预安排!P36+#REF!+'6月'!V32,5)</f>
        <v/>
      </c>
      <c r="W32" s="182">
        <f>ROUND(#REF!+#REF!+#REF!+预安排!Q36+#REF!+'6月'!W32,5)</f>
        <v/>
      </c>
      <c r="X32" s="182">
        <f>ROUND(#REF!+#REF!+#REF!+预安排!R36+#REF!+'6月'!X32,5)</f>
        <v/>
      </c>
      <c r="Y32" s="182">
        <f>ROUND(#REF!+#REF!+#REF!+预安排!S36+#REF!+'6月'!Y32,5)</f>
        <v/>
      </c>
      <c r="Z32" s="182">
        <f>ROUND(#REF!+#REF!+#REF!+预安排!#REF!+#REF!+'6月'!Z32,5)</f>
        <v/>
      </c>
      <c r="AA32" s="182">
        <f>ROUND(#REF!+#REF!+#REF!+预安排!#REF!+#REF!+'6月'!AA32,5)</f>
        <v/>
      </c>
      <c r="AB32" s="182">
        <f>ROUND(#REF!+#REF!+#REF!+预安排!#REF!+#REF!+'6月'!AB32,5)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193">
        <f>计划!O32-O32</f>
        <v/>
      </c>
      <c r="AH32" s="193">
        <f>ROUND(AG32/$AH$1,2)</f>
        <v/>
      </c>
    </row>
    <row r="33" customFormat="1" s="1">
      <c r="A33" s="234" t="n"/>
      <c r="B33" s="231" t="inlineStr">
        <is>
          <t>SKU-B0D292B1</t>
        </is>
      </c>
      <c r="C33" s="231" t="inlineStr">
        <is>
          <t>是</t>
        </is>
      </c>
      <c r="D33" s="231" t="n">
        <v>10</v>
      </c>
      <c r="E33" s="231" t="inlineStr"/>
      <c r="F33" s="231" t="inlineStr"/>
      <c r="G33" s="231" t="inlineStr">
        <is>
          <t>是</t>
        </is>
      </c>
      <c r="H33" s="231" t="inlineStr"/>
      <c r="I33" s="231" t="inlineStr">
        <is>
          <t>是</t>
        </is>
      </c>
      <c r="J33" s="27" t="inlineStr"/>
      <c r="K33" s="27" t="inlineStr"/>
      <c r="L33" s="231" t="n">
        <v>100</v>
      </c>
      <c r="M33" s="19" t="inlineStr">
        <is>
          <t>Product-7726A962</t>
        </is>
      </c>
      <c r="N33" s="231" t="n">
        <v>1</v>
      </c>
      <c r="O33" s="181">
        <f>SUM(P33:AB33)</f>
        <v/>
      </c>
      <c r="P33" s="182">
        <f>ROUND(#REF!+#REF!+#REF!+预安排!F37+#REF!+'6月'!P33,5)</f>
        <v/>
      </c>
      <c r="Q33" s="182">
        <f>ROUND(#REF!+#REF!+#REF!+预安排!#REF!+#REF!+'6月'!Q33,5)</f>
        <v/>
      </c>
      <c r="R33" s="182">
        <f>ROUND(#REF!+#REF!+#REF!+预安排!G37+#REF!+'6月'!R33,5)</f>
        <v/>
      </c>
      <c r="S33" s="182">
        <f>ROUND(#REF!+#REF!+#REF!+预安排!#REF!+#REF!+'6月'!S33,5)</f>
        <v/>
      </c>
      <c r="T33" s="182">
        <f>ROUND(#REF!+#REF!+#REF!+预安排!#REF!+#REF!+'6月'!T33,5)</f>
        <v/>
      </c>
      <c r="U33" s="182">
        <f>ROUND(#REF!+#REF!+#REF!+预安排!O37+#REF!+'6月'!U33,5)</f>
        <v/>
      </c>
      <c r="V33" s="182">
        <f>ROUND(#REF!+#REF!+#REF!+预安排!P37+#REF!+'6月'!V33,5)</f>
        <v/>
      </c>
      <c r="W33" s="182">
        <f>ROUND(#REF!+#REF!+#REF!+预安排!Q37+#REF!+'6月'!W33,5)</f>
        <v/>
      </c>
      <c r="X33" s="182">
        <f>ROUND(#REF!+#REF!+#REF!+预安排!R37+#REF!+'6月'!X33,5)</f>
        <v/>
      </c>
      <c r="Y33" s="182">
        <f>ROUND(#REF!+#REF!+#REF!+预安排!S37+#REF!+'6月'!Y33,5)</f>
        <v/>
      </c>
      <c r="Z33" s="182">
        <f>ROUND(#REF!+#REF!+#REF!+预安排!#REF!+#REF!+'6月'!Z33,5)</f>
        <v/>
      </c>
      <c r="AA33" s="182">
        <f>ROUND(#REF!+#REF!+#REF!+预安排!#REF!+#REF!+'6月'!AA33,5)</f>
        <v/>
      </c>
      <c r="AB33" s="182">
        <f>ROUND(#REF!+#REF!+#REF!+预安排!#REF!+#REF!+'6月'!AB33,5)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193">
        <f>计划!O33-O33</f>
        <v/>
      </c>
      <c r="AH33" s="193">
        <f>ROUND(AG33/$AH$1,2)</f>
        <v/>
      </c>
    </row>
    <row r="34" customFormat="1" s="1">
      <c r="A34" s="234" t="n"/>
      <c r="B34" s="231" t="inlineStr">
        <is>
          <t>SKU-D5FB4C4D</t>
        </is>
      </c>
      <c r="C34" s="231" t="inlineStr"/>
      <c r="D34" s="231" t="n">
        <v>10</v>
      </c>
      <c r="E34" s="231" t="inlineStr"/>
      <c r="F34" s="231" t="inlineStr"/>
      <c r="G34" s="231" t="inlineStr"/>
      <c r="H34" s="231" t="inlineStr"/>
      <c r="I34" s="231" t="inlineStr"/>
      <c r="J34" s="27" t="inlineStr"/>
      <c r="K34" s="27" t="inlineStr"/>
      <c r="L34" s="231" t="n">
        <v>100</v>
      </c>
      <c r="M34" s="33" t="inlineStr">
        <is>
          <t>Product-3DCEC0C0</t>
        </is>
      </c>
      <c r="N34" s="231" t="n">
        <v>1</v>
      </c>
      <c r="O34" s="181">
        <f>SUM(P34:AB34)</f>
        <v/>
      </c>
      <c r="P34" s="182">
        <f>ROUND(#REF!+#REF!+#REF!+预安排!F39+#REF!+'6月'!P34,5)</f>
        <v/>
      </c>
      <c r="Q34" s="182">
        <f>ROUND(#REF!+#REF!+#REF!+预安排!#REF!+#REF!+'6月'!Q34,5)</f>
        <v/>
      </c>
      <c r="R34" s="182">
        <f>ROUND(#REF!+#REF!+#REF!+预安排!G39+#REF!+'6月'!R34,5)</f>
        <v/>
      </c>
      <c r="S34" s="182">
        <f>ROUND(#REF!+#REF!+#REF!+预安排!#REF!+#REF!+'6月'!S34,5)</f>
        <v/>
      </c>
      <c r="T34" s="182">
        <f>ROUND(#REF!+#REF!+#REF!+预安排!#REF!+#REF!+'6月'!T34,5)</f>
        <v/>
      </c>
      <c r="U34" s="182">
        <f>ROUND(#REF!+#REF!+#REF!+预安排!O39+#REF!+'6月'!U34,5)</f>
        <v/>
      </c>
      <c r="V34" s="182">
        <f>ROUND(#REF!+#REF!+#REF!+预安排!P39+#REF!+'6月'!V34,5)</f>
        <v/>
      </c>
      <c r="W34" s="182">
        <f>ROUND(#REF!+#REF!+#REF!+预安排!Q39+#REF!+'6月'!W34,5)</f>
        <v/>
      </c>
      <c r="X34" s="182">
        <f>ROUND(#REF!+#REF!+#REF!+预安排!R39+#REF!+'6月'!X34,5)</f>
        <v/>
      </c>
      <c r="Y34" s="182">
        <f>ROUND(#REF!+#REF!+#REF!+预安排!S39+#REF!+'6月'!Y34,5)</f>
        <v/>
      </c>
      <c r="Z34" s="182">
        <f>ROUND(#REF!+#REF!+#REF!+预安排!#REF!+#REF!+'6月'!Z34,5)</f>
        <v/>
      </c>
      <c r="AA34" s="182">
        <f>ROUND(#REF!+#REF!+#REF!+预安排!#REF!+#REF!+'6月'!AA34,5)</f>
        <v/>
      </c>
      <c r="AB34" s="182">
        <f>ROUND(#REF!+#REF!+#REF!+预安排!#REF!+#REF!+'6月'!AB34,5)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193">
        <f>计划!O34-O34</f>
        <v/>
      </c>
      <c r="AH34" s="193">
        <f>ROUND(AG34/$AH$1,2)</f>
        <v/>
      </c>
    </row>
    <row r="35" customFormat="1" s="1">
      <c r="A35" s="234" t="n"/>
      <c r="B35" s="231" t="inlineStr">
        <is>
          <t>SKU-DCF98B33</t>
        </is>
      </c>
      <c r="C35" s="231" t="inlineStr"/>
      <c r="D35" s="231" t="n">
        <v>10</v>
      </c>
      <c r="E35" s="231" t="inlineStr"/>
      <c r="F35" s="231" t="inlineStr"/>
      <c r="G35" s="231" t="inlineStr"/>
      <c r="H35" s="231" t="inlineStr"/>
      <c r="I35" s="231" t="inlineStr"/>
      <c r="J35" s="27" t="inlineStr"/>
      <c r="K35" s="27" t="inlineStr"/>
      <c r="L35" s="231" t="n">
        <v>100</v>
      </c>
      <c r="M35" s="19" t="inlineStr">
        <is>
          <t>Product-3DCEC0C0</t>
        </is>
      </c>
      <c r="N35" s="231" t="n">
        <v>1</v>
      </c>
      <c r="O35" s="181">
        <f>SUM(P35:AB35)</f>
        <v/>
      </c>
      <c r="P35" s="182">
        <f>ROUND(#REF!+#REF!+#REF!+预安排!F40+#REF!+'6月'!P35,5)</f>
        <v/>
      </c>
      <c r="Q35" s="182">
        <f>ROUND(#REF!+#REF!+#REF!+预安排!#REF!+#REF!+'6月'!Q35,5)</f>
        <v/>
      </c>
      <c r="R35" s="182">
        <f>ROUND(#REF!+#REF!+#REF!+预安排!G40+#REF!+'6月'!R35,5)</f>
        <v/>
      </c>
      <c r="S35" s="182">
        <f>ROUND(#REF!+#REF!+#REF!+预安排!#REF!+#REF!+'6月'!S35,5)</f>
        <v/>
      </c>
      <c r="T35" s="182">
        <f>ROUND(#REF!+#REF!+#REF!+预安排!#REF!+#REF!+'6月'!T35,5)</f>
        <v/>
      </c>
      <c r="U35" s="182">
        <f>ROUND(#REF!+#REF!+#REF!+预安排!O40+#REF!+'6月'!U35,5)</f>
        <v/>
      </c>
      <c r="V35" s="182">
        <f>ROUND(#REF!+#REF!+#REF!+预安排!P40+#REF!+'6月'!V35,5)</f>
        <v/>
      </c>
      <c r="W35" s="182">
        <f>ROUND(#REF!+#REF!+#REF!+预安排!Q40+#REF!+'6月'!W35,5)</f>
        <v/>
      </c>
      <c r="X35" s="182">
        <f>ROUND(#REF!+#REF!+#REF!+预安排!R40+#REF!+'6月'!X35,5)</f>
        <v/>
      </c>
      <c r="Y35" s="182">
        <f>ROUND(#REF!+#REF!+#REF!+预安排!S40+#REF!+'6月'!Y35,5)</f>
        <v/>
      </c>
      <c r="Z35" s="182">
        <f>ROUND(#REF!+#REF!+#REF!+预安排!#REF!+#REF!+'6月'!Z35,5)</f>
        <v/>
      </c>
      <c r="AA35" s="182">
        <f>ROUND(#REF!+#REF!+#REF!+预安排!#REF!+#REF!+'6月'!AA35,5)</f>
        <v/>
      </c>
      <c r="AB35" s="182">
        <f>ROUND(#REF!+#REF!+#REF!+预安排!#REF!+#REF!+'6月'!AB35,5)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193">
        <f>计划!O35-O35</f>
        <v/>
      </c>
      <c r="AH35" s="193">
        <f>ROUND(AG35/$AH$1,2)</f>
        <v/>
      </c>
    </row>
    <row r="36" customFormat="1" s="1">
      <c r="A36" s="234" t="n"/>
      <c r="B36" s="231" t="inlineStr">
        <is>
          <t>SKU-7ECD2FA6</t>
        </is>
      </c>
      <c r="C36" s="231" t="inlineStr"/>
      <c r="D36" s="231" t="n">
        <v>10</v>
      </c>
      <c r="E36" s="231" t="inlineStr"/>
      <c r="F36" s="231" t="inlineStr">
        <is>
          <t>是</t>
        </is>
      </c>
      <c r="G36" s="231" t="inlineStr"/>
      <c r="H36" s="231" t="inlineStr"/>
      <c r="I36" s="231" t="inlineStr">
        <is>
          <t>是</t>
        </is>
      </c>
      <c r="J36" s="27" t="inlineStr"/>
      <c r="K36" s="27" t="inlineStr"/>
      <c r="L36" s="231" t="n">
        <v>100</v>
      </c>
      <c r="M36" s="45" t="inlineStr">
        <is>
          <t>Product-29355C79</t>
        </is>
      </c>
      <c r="N36" s="231" t="n">
        <v>1</v>
      </c>
      <c r="O36" s="181">
        <f>SUM(P36:AB36)</f>
        <v/>
      </c>
      <c r="P36" s="182">
        <f>ROUND(#REF!+#REF!+#REF!+预安排!F41+#REF!+'6月'!P36,5)</f>
        <v/>
      </c>
      <c r="Q36" s="182">
        <f>ROUND(#REF!+#REF!+#REF!+预安排!#REF!+#REF!+'6月'!Q36,5)</f>
        <v/>
      </c>
      <c r="R36" s="182">
        <f>ROUND(#REF!+#REF!+#REF!+预安排!G41+#REF!+'6月'!R36,5)</f>
        <v/>
      </c>
      <c r="S36" s="182">
        <f>ROUND(#REF!+#REF!+#REF!+预安排!#REF!+#REF!+'6月'!S36,5)</f>
        <v/>
      </c>
      <c r="T36" s="182">
        <f>ROUND(#REF!+#REF!+#REF!+预安排!#REF!+#REF!+'6月'!T36,5)</f>
        <v/>
      </c>
      <c r="U36" s="182">
        <f>ROUND(#REF!+#REF!+#REF!+预安排!O41+#REF!+'6月'!U36,5)</f>
        <v/>
      </c>
      <c r="V36" s="182">
        <f>ROUND(#REF!+#REF!+#REF!+预安排!P41+#REF!+'6月'!V36,5)</f>
        <v/>
      </c>
      <c r="W36" s="182">
        <f>ROUND(#REF!+#REF!+#REF!+预安排!Q41+#REF!+'6月'!W36,5)</f>
        <v/>
      </c>
      <c r="X36" s="182">
        <f>ROUND(#REF!+#REF!+#REF!+预安排!R41+#REF!+'6月'!X36,5)</f>
        <v/>
      </c>
      <c r="Y36" s="182">
        <f>ROUND(#REF!+#REF!+#REF!+预安排!S41+#REF!+'6月'!Y36,5)</f>
        <v/>
      </c>
      <c r="Z36" s="182">
        <f>ROUND(#REF!+#REF!+#REF!+预安排!#REF!+#REF!+'6月'!Z36,5)</f>
        <v/>
      </c>
      <c r="AA36" s="182">
        <f>ROUND(#REF!+#REF!+#REF!+预安排!#REF!+#REF!+'6月'!AA36,5)</f>
        <v/>
      </c>
      <c r="AB36" s="182">
        <f>ROUND(#REF!+#REF!+#REF!+预安排!#REF!+#REF!+'6月'!AB36,5)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193">
        <f>计划!O36-O36</f>
        <v/>
      </c>
      <c r="AH36" s="193">
        <f>ROUND(AG36/$AH$1,2)</f>
        <v/>
      </c>
    </row>
    <row r="37" customFormat="1" s="1">
      <c r="A37" s="234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196">
        <f>计划!O37-O37</f>
        <v/>
      </c>
      <c r="AH37" s="196">
        <f>ROUND(AG37/$AH$1,2)</f>
        <v/>
      </c>
    </row>
    <row r="38" customFormat="1" s="1">
      <c r="A38" s="235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196">
        <f>计划!O38-O38</f>
        <v/>
      </c>
      <c r="AH38" s="196">
        <f>ROUND(AG38/$AH$1,2)</f>
        <v/>
      </c>
    </row>
    <row r="39" customFormat="1" s="1">
      <c r="A39" s="25" t="inlineStr">
        <is>
          <t>河北</t>
        </is>
      </c>
      <c r="B39" s="231" t="inlineStr">
        <is>
          <t>SKU-3095C758</t>
        </is>
      </c>
      <c r="C39" s="231" t="inlineStr">
        <is>
          <t>是</t>
        </is>
      </c>
      <c r="D39" s="231" t="n">
        <v>11</v>
      </c>
      <c r="E39" s="231" t="inlineStr"/>
      <c r="F39" s="231" t="inlineStr"/>
      <c r="G39" s="231" t="inlineStr"/>
      <c r="H39" s="231" t="inlineStr"/>
      <c r="I39" s="231" t="inlineStr"/>
      <c r="J39" s="27" t="inlineStr"/>
      <c r="K39" s="27" t="inlineStr"/>
      <c r="L39" s="231" t="n">
        <v>100</v>
      </c>
      <c r="M39" s="19" t="inlineStr">
        <is>
          <t>Product-280802D6</t>
        </is>
      </c>
      <c r="N39" s="231" t="n">
        <v>4</v>
      </c>
      <c r="O39" s="181">
        <f>SUM(P39:AB39)</f>
        <v/>
      </c>
      <c r="P39" s="182">
        <f>ROUND(#REF!+#REF!+#REF!+预安排!F44+#REF!+'6月'!P39,5)</f>
        <v/>
      </c>
      <c r="Q39" s="182">
        <f>ROUND(#REF!+#REF!+#REF!+预安排!#REF!+#REF!+'6月'!Q39,5)</f>
        <v/>
      </c>
      <c r="R39" s="182">
        <f>ROUND(#REF!+#REF!+#REF!+预安排!G44+#REF!+'6月'!R39,5)</f>
        <v/>
      </c>
      <c r="S39" s="182">
        <f>ROUND(#REF!+#REF!+#REF!+预安排!#REF!+#REF!+'6月'!S39,5)</f>
        <v/>
      </c>
      <c r="T39" s="182">
        <f>ROUND(#REF!+#REF!+#REF!+预安排!#REF!+#REF!+'6月'!T39,5)</f>
        <v/>
      </c>
      <c r="U39" s="182">
        <f>ROUND(#REF!+#REF!+#REF!+预安排!O44+#REF!+'6月'!U39,5)</f>
        <v/>
      </c>
      <c r="V39" s="182">
        <f>ROUND(#REF!+#REF!+#REF!+预安排!P44+#REF!+'6月'!V39,5)</f>
        <v/>
      </c>
      <c r="W39" s="182">
        <f>ROUND(#REF!+#REF!+#REF!+预安排!Q44+#REF!+'6月'!W39,5)</f>
        <v/>
      </c>
      <c r="X39" s="182">
        <f>ROUND(#REF!+#REF!+#REF!+预安排!R44+#REF!+'6月'!X39,5)</f>
        <v/>
      </c>
      <c r="Y39" s="182">
        <f>ROUND(#REF!+#REF!+#REF!+预安排!S44+#REF!+'6月'!Y39,5)</f>
        <v/>
      </c>
      <c r="Z39" s="182">
        <f>ROUND(#REF!+#REF!+#REF!+预安排!#REF!+#REF!+'6月'!Z39,5)</f>
        <v/>
      </c>
      <c r="AA39" s="182">
        <f>ROUND(#REF!+#REF!+#REF!+预安排!#REF!+#REF!+'6月'!AA39,5)</f>
        <v/>
      </c>
      <c r="AB39" s="182">
        <f>ROUND(#REF!+#REF!+#REF!+预安排!#REF!+#REF!+'6月'!AB39,5)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193">
        <f>计划!O39-O39</f>
        <v/>
      </c>
      <c r="AH39" s="193">
        <f>ROUND(AG39/$AH$1,2)</f>
        <v/>
      </c>
    </row>
    <row r="40" customFormat="1" s="1">
      <c r="A40" s="234" t="n"/>
      <c r="B40" s="231" t="inlineStr">
        <is>
          <t>SKU-22512FF3</t>
        </is>
      </c>
      <c r="C40" s="231" t="inlineStr">
        <is>
          <t>是</t>
        </is>
      </c>
      <c r="D40" s="231" t="n">
        <v>10</v>
      </c>
      <c r="E40" s="231" t="inlineStr"/>
      <c r="F40" s="231" t="inlineStr"/>
      <c r="G40" s="231" t="inlineStr"/>
      <c r="H40" s="231" t="inlineStr"/>
      <c r="I40" s="231" t="inlineStr"/>
      <c r="J40" s="27" t="inlineStr">
        <is>
          <t>共</t>
        </is>
      </c>
      <c r="K40" s="27" t="inlineStr"/>
      <c r="L40" s="231" t="n">
        <v>100</v>
      </c>
      <c r="M40" s="19" t="inlineStr">
        <is>
          <t>Product-C617F7D2</t>
        </is>
      </c>
      <c r="N40" s="231" t="n">
        <v>1</v>
      </c>
      <c r="O40" s="181">
        <f>SUM(P40:AB40)</f>
        <v/>
      </c>
      <c r="P40" s="182">
        <f>ROUND(#REF!+#REF!+#REF!+预安排!F45+#REF!+'6月'!P40,5)</f>
        <v/>
      </c>
      <c r="Q40" s="182">
        <f>ROUND(#REF!+#REF!+#REF!+预安排!#REF!+#REF!+'6月'!Q40,5)</f>
        <v/>
      </c>
      <c r="R40" s="182">
        <f>ROUND(#REF!+#REF!+#REF!+预安排!G45+#REF!+'6月'!R40,5)</f>
        <v/>
      </c>
      <c r="S40" s="182">
        <f>ROUND(#REF!+#REF!+#REF!+预安排!#REF!+#REF!+'6月'!S40,5)</f>
        <v/>
      </c>
      <c r="T40" s="182">
        <f>ROUND(#REF!+#REF!+#REF!+预安排!#REF!+#REF!+'6月'!T40,5)</f>
        <v/>
      </c>
      <c r="U40" s="182">
        <f>ROUND(#REF!+#REF!+#REF!+预安排!O45+#REF!+'6月'!U40,5)</f>
        <v/>
      </c>
      <c r="V40" s="182">
        <f>ROUND(#REF!+#REF!+#REF!+预安排!P45+#REF!+'6月'!V40,5)</f>
        <v/>
      </c>
      <c r="W40" s="182">
        <f>ROUND(#REF!+#REF!+#REF!+预安排!Q45+#REF!+'6月'!W40,5)</f>
        <v/>
      </c>
      <c r="X40" s="182">
        <f>ROUND(#REF!+#REF!+#REF!+预安排!R45+#REF!+'6月'!X40,5)</f>
        <v/>
      </c>
      <c r="Y40" s="182">
        <f>ROUND(#REF!+#REF!+#REF!+预安排!S45+#REF!+'6月'!Y40,5)</f>
        <v/>
      </c>
      <c r="Z40" s="182">
        <f>ROUND(#REF!+#REF!+#REF!+预安排!#REF!+#REF!+'6月'!Z40,5)</f>
        <v/>
      </c>
      <c r="AA40" s="182">
        <f>ROUND(#REF!+#REF!+#REF!+预安排!#REF!+#REF!+'6月'!AA40,5)</f>
        <v/>
      </c>
      <c r="AB40" s="182">
        <f>ROUND(#REF!+#REF!+#REF!+预安排!#REF!+#REF!+'6月'!AB40,5)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193">
        <f>计划!O40-O40</f>
        <v/>
      </c>
      <c r="AH40" s="193">
        <f>ROUND(AG40/$AH$1,2)</f>
        <v/>
      </c>
    </row>
    <row r="41" customFormat="1" s="1">
      <c r="A41" s="234" t="n"/>
      <c r="B41" s="231" t="inlineStr">
        <is>
          <t>SKU-8B1D5EF6</t>
        </is>
      </c>
      <c r="C41" s="231" t="inlineStr">
        <is>
          <t>是</t>
        </is>
      </c>
      <c r="D41" s="231" t="n">
        <v>6</v>
      </c>
      <c r="E41" s="231" t="inlineStr">
        <is>
          <t>是</t>
        </is>
      </c>
      <c r="F41" s="231" t="inlineStr"/>
      <c r="G41" s="231" t="inlineStr"/>
      <c r="H41" s="231" t="inlineStr"/>
      <c r="I41" s="231" t="inlineStr">
        <is>
          <t>是</t>
        </is>
      </c>
      <c r="J41" s="27" t="inlineStr">
        <is>
          <t>共</t>
        </is>
      </c>
      <c r="K41" s="27" t="inlineStr"/>
      <c r="L41" s="231" t="n">
        <v>100</v>
      </c>
      <c r="M41" s="19" t="inlineStr">
        <is>
          <t>Product-C0E4574A</t>
        </is>
      </c>
      <c r="N41" s="231" t="n">
        <v>1</v>
      </c>
      <c r="O41" s="181">
        <f>SUM(P41:AB41)</f>
        <v/>
      </c>
      <c r="P41" s="182">
        <f>ROUND(#REF!+#REF!+#REF!+预安排!F46+#REF!+'6月'!P41,5)</f>
        <v/>
      </c>
      <c r="Q41" s="182">
        <f>ROUND(#REF!+#REF!+#REF!+预安排!#REF!+#REF!+'6月'!Q41,5)</f>
        <v/>
      </c>
      <c r="R41" s="182">
        <f>ROUND(#REF!+#REF!+#REF!+预安排!G46+#REF!+'6月'!R41,5)</f>
        <v/>
      </c>
      <c r="S41" s="182">
        <f>ROUND(#REF!+#REF!+#REF!+预安排!#REF!+#REF!+'6月'!S41,5)</f>
        <v/>
      </c>
      <c r="T41" s="182">
        <f>ROUND(#REF!+#REF!+#REF!+预安排!#REF!+#REF!+'6月'!T41,5)</f>
        <v/>
      </c>
      <c r="U41" s="182">
        <f>ROUND(#REF!+#REF!+#REF!+预安排!O46+#REF!+'6月'!U41,5)</f>
        <v/>
      </c>
      <c r="V41" s="182">
        <f>ROUND(#REF!+#REF!+#REF!+预安排!P46+#REF!+'6月'!V41,5)</f>
        <v/>
      </c>
      <c r="W41" s="182">
        <f>ROUND(#REF!+#REF!+#REF!+预安排!Q46+#REF!+'6月'!W41,5)</f>
        <v/>
      </c>
      <c r="X41" s="182">
        <f>ROUND(#REF!+#REF!+#REF!+预安排!R46+#REF!+'6月'!X41,5)</f>
        <v/>
      </c>
      <c r="Y41" s="182">
        <f>ROUND(#REF!+#REF!+#REF!+预安排!S46+#REF!+'6月'!Y41,5)</f>
        <v/>
      </c>
      <c r="Z41" s="182">
        <f>ROUND(#REF!+#REF!+#REF!+预安排!#REF!+#REF!+'6月'!Z41,5)</f>
        <v/>
      </c>
      <c r="AA41" s="182">
        <f>ROUND(#REF!+#REF!+#REF!+预安排!#REF!+#REF!+'6月'!AA41,5)</f>
        <v/>
      </c>
      <c r="AB41" s="182">
        <f>ROUND(#REF!+#REF!+#REF!+预安排!#REF!+#REF!+'6月'!AB41,5)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193">
        <f>计划!O41-O41</f>
        <v/>
      </c>
      <c r="AH41" s="193">
        <f>ROUND(AG41/$AH$1,2)</f>
        <v/>
      </c>
    </row>
    <row r="42" customFormat="1" s="1">
      <c r="A42" s="234" t="n"/>
      <c r="B42" s="231" t="inlineStr">
        <is>
          <t>SKU-8BA825B6</t>
        </is>
      </c>
      <c r="C42" s="231" t="inlineStr">
        <is>
          <t>是</t>
        </is>
      </c>
      <c r="D42" s="231" t="n">
        <v>10</v>
      </c>
      <c r="E42" s="231" t="inlineStr"/>
      <c r="F42" s="231" t="inlineStr"/>
      <c r="G42" s="231" t="inlineStr"/>
      <c r="H42" s="231" t="inlineStr"/>
      <c r="I42" s="231" t="inlineStr"/>
      <c r="J42" s="27" t="inlineStr"/>
      <c r="K42" s="27" t="inlineStr"/>
      <c r="L42" s="231" t="n">
        <v>100</v>
      </c>
      <c r="M42" s="19" t="inlineStr">
        <is>
          <t>Product-E7EC78F7</t>
        </is>
      </c>
      <c r="N42" s="231" t="n">
        <v>1</v>
      </c>
      <c r="O42" s="181">
        <f>SUM(P42:AB42)</f>
        <v/>
      </c>
      <c r="P42" s="182">
        <f>ROUND(#REF!+#REF!+#REF!+预安排!F47+#REF!+'6月'!P42,5)</f>
        <v/>
      </c>
      <c r="Q42" s="182">
        <f>ROUND(#REF!+#REF!+#REF!+预安排!#REF!+#REF!+'6月'!Q42,5)</f>
        <v/>
      </c>
      <c r="R42" s="182">
        <f>ROUND(#REF!+#REF!+#REF!+预安排!G47+#REF!+'6月'!R42,5)</f>
        <v/>
      </c>
      <c r="S42" s="182">
        <f>ROUND(#REF!+#REF!+#REF!+预安排!#REF!+#REF!+'6月'!S42,5)</f>
        <v/>
      </c>
      <c r="T42" s="182">
        <f>ROUND(#REF!+#REF!+#REF!+预安排!#REF!+#REF!+'6月'!T42,5)</f>
        <v/>
      </c>
      <c r="U42" s="182">
        <f>ROUND(#REF!+#REF!+#REF!+预安排!O47+#REF!+'6月'!U42,5)</f>
        <v/>
      </c>
      <c r="V42" s="182">
        <f>ROUND(#REF!+#REF!+#REF!+预安排!P47+#REF!+'6月'!V42,5)</f>
        <v/>
      </c>
      <c r="W42" s="182">
        <f>ROUND(#REF!+#REF!+#REF!+预安排!Q47+#REF!+'6月'!W42,5)</f>
        <v/>
      </c>
      <c r="X42" s="182">
        <f>ROUND(#REF!+#REF!+#REF!+预安排!R47+#REF!+'6月'!X42,5)</f>
        <v/>
      </c>
      <c r="Y42" s="182">
        <f>ROUND(#REF!+#REF!+#REF!+预安排!S47+#REF!+'6月'!Y42,5)</f>
        <v/>
      </c>
      <c r="Z42" s="182">
        <f>ROUND(#REF!+#REF!+#REF!+预安排!#REF!+#REF!+'6月'!Z42,5)</f>
        <v/>
      </c>
      <c r="AA42" s="182">
        <f>ROUND(#REF!+#REF!+#REF!+预安排!#REF!+#REF!+'6月'!AA42,5)</f>
        <v/>
      </c>
      <c r="AB42" s="182">
        <f>ROUND(#REF!+#REF!+#REF!+预安排!#REF!+#REF!+'6月'!AB42,5)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193">
        <f>计划!O42-O42</f>
        <v/>
      </c>
      <c r="AH42" s="193">
        <f>ROUND(AG42/$AH$1,2)</f>
        <v/>
      </c>
    </row>
    <row r="43" customFormat="1" s="1">
      <c r="A43" s="234" t="n"/>
      <c r="B43" s="231" t="inlineStr">
        <is>
          <t>SKU-DBE8D847</t>
        </is>
      </c>
      <c r="C43" s="231" t="inlineStr">
        <is>
          <t>是</t>
        </is>
      </c>
      <c r="D43" s="231" t="n">
        <v>8</v>
      </c>
      <c r="E43" s="231" t="inlineStr">
        <is>
          <t>是</t>
        </is>
      </c>
      <c r="F43" s="231" t="inlineStr"/>
      <c r="G43" s="231" t="inlineStr"/>
      <c r="H43" s="231" t="inlineStr"/>
      <c r="I43" s="231" t="inlineStr">
        <is>
          <t>是</t>
        </is>
      </c>
      <c r="J43" s="27" t="inlineStr"/>
      <c r="K43" s="27" t="inlineStr"/>
      <c r="L43" s="231" t="n">
        <v>100</v>
      </c>
      <c r="M43" s="19" t="inlineStr">
        <is>
          <t>Product-31FC13CA</t>
        </is>
      </c>
      <c r="N43" s="231" t="n">
        <v>2</v>
      </c>
      <c r="O43" s="181">
        <f>SUM(P43:AB43)</f>
        <v/>
      </c>
      <c r="P43" s="182">
        <f>ROUND(#REF!+#REF!+#REF!+预安排!F48+#REF!+'6月'!P43,5)</f>
        <v/>
      </c>
      <c r="Q43" s="182">
        <f>ROUND(#REF!+#REF!+#REF!+预安排!#REF!+#REF!+'6月'!Q43,5)</f>
        <v/>
      </c>
      <c r="R43" s="182">
        <f>ROUND(#REF!+#REF!+#REF!+预安排!G48+#REF!+'6月'!R43,5)</f>
        <v/>
      </c>
      <c r="S43" s="182">
        <f>ROUND(#REF!+#REF!+#REF!+预安排!#REF!+#REF!+'6月'!S43,5)</f>
        <v/>
      </c>
      <c r="T43" s="182">
        <f>ROUND(#REF!+#REF!+#REF!+预安排!#REF!+#REF!+'6月'!T43,5)</f>
        <v/>
      </c>
      <c r="U43" s="182">
        <f>ROUND(#REF!+#REF!+#REF!+预安排!O48+#REF!+'6月'!U43,5)</f>
        <v/>
      </c>
      <c r="V43" s="182">
        <f>ROUND(#REF!+#REF!+#REF!+预安排!P48+#REF!+'6月'!V43,5)</f>
        <v/>
      </c>
      <c r="W43" s="182">
        <f>ROUND(#REF!+#REF!+#REF!+预安排!Q48+#REF!+'6月'!W43,5)</f>
        <v/>
      </c>
      <c r="X43" s="182">
        <f>ROUND(#REF!+#REF!+#REF!+预安排!R48+#REF!+'6月'!X43,5)</f>
        <v/>
      </c>
      <c r="Y43" s="182">
        <f>ROUND(#REF!+#REF!+#REF!+预安排!S48+#REF!+'6月'!Y43,5)</f>
        <v/>
      </c>
      <c r="Z43" s="182">
        <f>ROUND(#REF!+#REF!+#REF!+预安排!#REF!+#REF!+'6月'!Z43,5)</f>
        <v/>
      </c>
      <c r="AA43" s="182">
        <f>ROUND(#REF!+#REF!+#REF!+预安排!#REF!+#REF!+'6月'!AA43,5)</f>
        <v/>
      </c>
      <c r="AB43" s="182">
        <f>ROUND(#REF!+#REF!+#REF!+预安排!#REF!+#REF!+'6月'!AB43,5)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193">
        <f>计划!O43-O43</f>
        <v/>
      </c>
      <c r="AH43" s="193">
        <f>ROUND(AG43/$AH$1,2)</f>
        <v/>
      </c>
    </row>
    <row r="44" customFormat="1" s="1">
      <c r="A44" s="234" t="n"/>
      <c r="B44" s="231" t="inlineStr">
        <is>
          <t>SKU-993415A4</t>
        </is>
      </c>
      <c r="C44" s="231" t="inlineStr">
        <is>
          <t>是</t>
        </is>
      </c>
      <c r="D44" s="231" t="n">
        <v>10</v>
      </c>
      <c r="E44" s="231" t="inlineStr"/>
      <c r="F44" s="231" t="inlineStr"/>
      <c r="G44" s="231" t="inlineStr"/>
      <c r="H44" s="231" t="inlineStr"/>
      <c r="I44" s="231" t="inlineStr"/>
      <c r="J44" s="27" t="inlineStr"/>
      <c r="K44" s="27" t="inlineStr"/>
      <c r="L44" s="231" t="n">
        <v>100</v>
      </c>
      <c r="M44" s="19" t="inlineStr">
        <is>
          <t>Product-914BA5F4</t>
        </is>
      </c>
      <c r="N44" s="231" t="n">
        <v>3</v>
      </c>
      <c r="O44" s="181">
        <f>SUM(P44:AB44)</f>
        <v/>
      </c>
      <c r="P44" s="182">
        <f>ROUND(#REF!+#REF!+#REF!+预安排!F49+#REF!+'6月'!P44,5)</f>
        <v/>
      </c>
      <c r="Q44" s="182">
        <f>ROUND(#REF!+#REF!+#REF!+预安排!#REF!+#REF!+'6月'!Q44,5)</f>
        <v/>
      </c>
      <c r="R44" s="182">
        <f>ROUND(#REF!+#REF!+#REF!+预安排!G49+#REF!+'6月'!R44,5)</f>
        <v/>
      </c>
      <c r="S44" s="182">
        <f>ROUND(#REF!+#REF!+#REF!+预安排!#REF!+#REF!+'6月'!S44,5)</f>
        <v/>
      </c>
      <c r="T44" s="182">
        <f>ROUND(#REF!+#REF!+#REF!+预安排!#REF!+#REF!+'6月'!T44,5)</f>
        <v/>
      </c>
      <c r="U44" s="182">
        <f>ROUND(#REF!+#REF!+#REF!+预安排!O49+#REF!+'6月'!U44,5)</f>
        <v/>
      </c>
      <c r="V44" s="182">
        <f>ROUND(#REF!+#REF!+#REF!+预安排!P49+#REF!+'6月'!V44,5)</f>
        <v/>
      </c>
      <c r="W44" s="182">
        <f>ROUND(#REF!+#REF!+#REF!+预安排!Q49+#REF!+'6月'!W44,5)</f>
        <v/>
      </c>
      <c r="X44" s="182">
        <f>ROUND(#REF!+#REF!+#REF!+预安排!R49+#REF!+'6月'!X44,5)</f>
        <v/>
      </c>
      <c r="Y44" s="182">
        <f>ROUND(#REF!+#REF!+#REF!+预安排!S49+#REF!+'6月'!Y44,5)</f>
        <v/>
      </c>
      <c r="Z44" s="182">
        <f>ROUND(#REF!+#REF!+#REF!+预安排!#REF!+#REF!+'6月'!Z44,5)</f>
        <v/>
      </c>
      <c r="AA44" s="182">
        <f>ROUND(#REF!+#REF!+#REF!+预安排!#REF!+#REF!+'6月'!AA44,5)</f>
        <v/>
      </c>
      <c r="AB44" s="182">
        <f>ROUND(#REF!+#REF!+#REF!+预安排!#REF!+#REF!+'6月'!AB44,5)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  <c r="AG44" s="193">
        <f>计划!O44-O44</f>
        <v/>
      </c>
      <c r="AH44" s="193">
        <f>ROUND(AG44/$AH$1,2)</f>
        <v/>
      </c>
    </row>
    <row r="45" customFormat="1" s="1">
      <c r="A45" s="234" t="n"/>
      <c r="B45" s="231" t="inlineStr">
        <is>
          <t>SKU-D86E9747</t>
        </is>
      </c>
      <c r="C45" s="231" t="inlineStr">
        <is>
          <t>是</t>
        </is>
      </c>
      <c r="D45" s="231" t="n">
        <v>9</v>
      </c>
      <c r="E45" s="231" t="inlineStr"/>
      <c r="F45" s="231" t="inlineStr">
        <is>
          <t>是</t>
        </is>
      </c>
      <c r="G45" s="231" t="inlineStr"/>
      <c r="H45" s="231" t="inlineStr"/>
      <c r="I45" s="231" t="inlineStr">
        <is>
          <t>是</t>
        </is>
      </c>
      <c r="J45" s="27" t="inlineStr"/>
      <c r="K45" s="27" t="inlineStr"/>
      <c r="L45" s="231" t="n">
        <v>100</v>
      </c>
      <c r="M45" s="33" t="inlineStr">
        <is>
          <t>Product-FF4227EA</t>
        </is>
      </c>
      <c r="N45" s="231" t="n">
        <v>1</v>
      </c>
      <c r="O45" s="181">
        <f>SUM(P45:AB45)</f>
        <v/>
      </c>
      <c r="P45" s="182">
        <f>ROUND(#REF!+#REF!+#REF!+预安排!F50+#REF!+'6月'!P45,5)</f>
        <v/>
      </c>
      <c r="Q45" s="182">
        <f>ROUND(#REF!+#REF!+#REF!+预安排!#REF!+#REF!+'6月'!Q45,5)</f>
        <v/>
      </c>
      <c r="R45" s="182">
        <f>ROUND(#REF!+#REF!+#REF!+预安排!G50+#REF!+'6月'!R45,5)</f>
        <v/>
      </c>
      <c r="S45" s="182">
        <f>ROUND(#REF!+#REF!+#REF!+预安排!#REF!+#REF!+'6月'!S45,5)</f>
        <v/>
      </c>
      <c r="T45" s="182">
        <f>ROUND(#REF!+#REF!+#REF!+预安排!#REF!+#REF!+'6月'!T45,5)</f>
        <v/>
      </c>
      <c r="U45" s="182">
        <f>ROUND(#REF!+#REF!+#REF!+预安排!O50+#REF!+'6月'!U45,5)</f>
        <v/>
      </c>
      <c r="V45" s="182">
        <f>ROUND(#REF!+#REF!+#REF!+预安排!P50+#REF!+'6月'!V45,5)</f>
        <v/>
      </c>
      <c r="W45" s="182">
        <f>ROUND(#REF!+#REF!+#REF!+预安排!Q50+#REF!+'6月'!W45,5)</f>
        <v/>
      </c>
      <c r="X45" s="182">
        <f>ROUND(#REF!+#REF!+#REF!+预安排!R50+#REF!+'6月'!X45,5)</f>
        <v/>
      </c>
      <c r="Y45" s="182">
        <f>ROUND(#REF!+#REF!+#REF!+预安排!S50+#REF!+'6月'!Y45,5)</f>
        <v/>
      </c>
      <c r="Z45" s="182">
        <f>ROUND(#REF!+#REF!+#REF!+预安排!#REF!+#REF!+'6月'!Z45,5)</f>
        <v/>
      </c>
      <c r="AA45" s="182">
        <f>ROUND(#REF!+#REF!+#REF!+预安排!#REF!+#REF!+'6月'!AA45,5)</f>
        <v/>
      </c>
      <c r="AB45" s="182">
        <f>ROUND(#REF!+#REF!+#REF!+预安排!#REF!+#REF!+'6月'!AB45,5)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  <c r="AG45" s="193">
        <f>计划!O45-O45</f>
        <v/>
      </c>
      <c r="AH45" s="193">
        <f>ROUND(AG45/$AH$1,2)</f>
        <v/>
      </c>
    </row>
    <row r="46" customFormat="1" s="1">
      <c r="A46" s="234" t="n"/>
      <c r="B46" s="231" t="inlineStr">
        <is>
          <t>SKU-7CB9F294</t>
        </is>
      </c>
      <c r="C46" s="231" t="inlineStr">
        <is>
          <t>是</t>
        </is>
      </c>
      <c r="D46" s="231" t="n">
        <v>7</v>
      </c>
      <c r="E46" s="231" t="inlineStr">
        <is>
          <t>是</t>
        </is>
      </c>
      <c r="F46" s="231" t="inlineStr"/>
      <c r="G46" s="231" t="inlineStr"/>
      <c r="H46" s="231" t="inlineStr"/>
      <c r="I46" s="231" t="inlineStr">
        <is>
          <t>是</t>
        </is>
      </c>
      <c r="J46" s="27" t="inlineStr"/>
      <c r="K46" s="27" t="inlineStr"/>
      <c r="L46" s="231" t="n">
        <v>100</v>
      </c>
      <c r="M46" s="19" t="inlineStr">
        <is>
          <t>Product-1F3A5A4E</t>
        </is>
      </c>
      <c r="N46" s="231" t="n">
        <v>1</v>
      </c>
      <c r="O46" s="181">
        <f>SUM(P46:AB46)</f>
        <v/>
      </c>
      <c r="P46" s="182">
        <f>ROUND(#REF!+#REF!+#REF!+预安排!F51+#REF!+'6月'!P46,5)</f>
        <v/>
      </c>
      <c r="Q46" s="182">
        <f>ROUND(#REF!+#REF!+#REF!+预安排!#REF!+#REF!+'6月'!Q46,5)</f>
        <v/>
      </c>
      <c r="R46" s="182">
        <f>ROUND(#REF!+#REF!+#REF!+预安排!G51+#REF!+'6月'!R46,5)</f>
        <v/>
      </c>
      <c r="S46" s="182">
        <f>ROUND(#REF!+#REF!+#REF!+预安排!#REF!+#REF!+'6月'!S46,5)</f>
        <v/>
      </c>
      <c r="T46" s="182">
        <f>ROUND(#REF!+#REF!+#REF!+预安排!#REF!+#REF!+'6月'!T46,5)</f>
        <v/>
      </c>
      <c r="U46" s="182">
        <f>ROUND(#REF!+#REF!+#REF!+预安排!O51+#REF!+'6月'!U46,5)</f>
        <v/>
      </c>
      <c r="V46" s="182">
        <f>ROUND(#REF!+#REF!+#REF!+预安排!P51+#REF!+'6月'!V46,5)</f>
        <v/>
      </c>
      <c r="W46" s="182">
        <f>ROUND(#REF!+#REF!+#REF!+预安排!Q51+#REF!+'6月'!W46,5)</f>
        <v/>
      </c>
      <c r="X46" s="182">
        <f>ROUND(#REF!+#REF!+#REF!+预安排!R51+#REF!+'6月'!X46,5)</f>
        <v/>
      </c>
      <c r="Y46" s="182">
        <f>ROUND(#REF!+#REF!+#REF!+预安排!S51+#REF!+'6月'!Y46,5)</f>
        <v/>
      </c>
      <c r="Z46" s="182">
        <f>ROUND(#REF!+#REF!+#REF!+预安排!#REF!+#REF!+'6月'!Z46,5)</f>
        <v/>
      </c>
      <c r="AA46" s="182">
        <f>ROUND(#REF!+#REF!+#REF!+预安排!#REF!+#REF!+'6月'!AA46,5)</f>
        <v/>
      </c>
      <c r="AB46" s="182">
        <f>ROUND(#REF!+#REF!+#REF!+预安排!#REF!+#REF!+'6月'!AB46,5)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193">
        <f>计划!O46-O46</f>
        <v/>
      </c>
      <c r="AH46" s="193">
        <f>ROUND(AG46/$AH$1,2)</f>
        <v/>
      </c>
    </row>
    <row r="47" customFormat="1" s="1">
      <c r="A47" s="235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196">
        <f>计划!O47-O47</f>
        <v/>
      </c>
      <c r="AH47" s="196">
        <f>ROUND(AG47/$AH$1,2)</f>
        <v/>
      </c>
    </row>
    <row r="48" customFormat="1" s="1">
      <c r="A48" s="25" t="inlineStr">
        <is>
          <t>辽宁</t>
        </is>
      </c>
      <c r="B48" s="231" t="inlineStr">
        <is>
          <t>SKU-4BF6BE09</t>
        </is>
      </c>
      <c r="C48" s="231" t="inlineStr">
        <is>
          <t>是</t>
        </is>
      </c>
      <c r="D48" s="231" t="n">
        <v>11</v>
      </c>
      <c r="E48" s="231" t="inlineStr"/>
      <c r="F48" s="231" t="inlineStr"/>
      <c r="G48" s="231" t="inlineStr"/>
      <c r="H48" s="231" t="inlineStr"/>
      <c r="I48" s="231" t="inlineStr"/>
      <c r="J48" s="27" t="inlineStr"/>
      <c r="K48" s="27" t="inlineStr"/>
      <c r="L48" s="231" t="n">
        <v>100</v>
      </c>
      <c r="M48" s="44" t="inlineStr">
        <is>
          <t>Product-685982B2</t>
        </is>
      </c>
      <c r="N48" s="231" t="n">
        <v>2</v>
      </c>
      <c r="O48" s="181">
        <f>SUM(P48:AB48)</f>
        <v/>
      </c>
      <c r="P48" s="182">
        <f>ROUND(#REF!+#REF!+#REF!+预安排!F53+#REF!+'6月'!P48,5)</f>
        <v/>
      </c>
      <c r="Q48" s="182">
        <f>ROUND(#REF!+#REF!+#REF!+预安排!#REF!+#REF!+'6月'!Q48,5)</f>
        <v/>
      </c>
      <c r="R48" s="182">
        <f>ROUND(#REF!+#REF!+#REF!+预安排!G53+#REF!+'6月'!R48,5)</f>
        <v/>
      </c>
      <c r="S48" s="182">
        <f>ROUND(#REF!+#REF!+#REF!+预安排!#REF!+#REF!+'6月'!S48,5)</f>
        <v/>
      </c>
      <c r="T48" s="182">
        <f>ROUND(#REF!+#REF!+#REF!+预安排!#REF!+#REF!+'6月'!T48,5)</f>
        <v/>
      </c>
      <c r="U48" s="182">
        <f>ROUND(#REF!+#REF!+#REF!+预安排!O53+#REF!+'6月'!U48,5)</f>
        <v/>
      </c>
      <c r="V48" s="182">
        <f>ROUND(#REF!+#REF!+#REF!+预安排!P53+#REF!+'6月'!V48,5)</f>
        <v/>
      </c>
      <c r="W48" s="182">
        <f>ROUND(#REF!+#REF!+#REF!+预安排!Q53+#REF!+'6月'!W48,5)</f>
        <v/>
      </c>
      <c r="X48" s="182">
        <f>ROUND(#REF!+#REF!+#REF!+预安排!R53+#REF!+'6月'!X48,5)</f>
        <v/>
      </c>
      <c r="Y48" s="182">
        <f>ROUND(#REF!+#REF!+#REF!+预安排!S53+#REF!+'6月'!Y48,5)</f>
        <v/>
      </c>
      <c r="Z48" s="182">
        <f>ROUND(#REF!+#REF!+#REF!+预安排!#REF!+#REF!+'6月'!Z48,5)</f>
        <v/>
      </c>
      <c r="AA48" s="182">
        <f>ROUND(#REF!+#REF!+#REF!+预安排!#REF!+#REF!+'6月'!AA48,5)</f>
        <v/>
      </c>
      <c r="AB48" s="182">
        <f>ROUND(#REF!+#REF!+#REF!+预安排!#REF!+#REF!+'6月'!AB48,5)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  <c r="AG48" s="193">
        <f>计划!O48-O48</f>
        <v/>
      </c>
      <c r="AH48" s="193">
        <f>ROUND(AG48/$AH$1,2)</f>
        <v/>
      </c>
    </row>
    <row r="49" customFormat="1" s="1">
      <c r="A49" s="234" t="n"/>
      <c r="B49" s="231" t="inlineStr">
        <is>
          <t>SKU-68F01DAC</t>
        </is>
      </c>
      <c r="C49" s="231" t="inlineStr">
        <is>
          <t>是</t>
        </is>
      </c>
      <c r="D49" s="231" t="n">
        <v>6</v>
      </c>
      <c r="E49" s="231" t="inlineStr">
        <is>
          <t>是</t>
        </is>
      </c>
      <c r="F49" s="231" t="inlineStr"/>
      <c r="G49" s="231" t="inlineStr"/>
      <c r="H49" s="231" t="inlineStr"/>
      <c r="I49" s="231" t="inlineStr">
        <is>
          <t>是</t>
        </is>
      </c>
      <c r="J49" s="27" t="inlineStr">
        <is>
          <t>共</t>
        </is>
      </c>
      <c r="K49" s="27" t="inlineStr"/>
      <c r="L49" s="231" t="n">
        <v>100</v>
      </c>
      <c r="M49" s="19" t="inlineStr">
        <is>
          <t>Product-DB12469B</t>
        </is>
      </c>
      <c r="N49" s="231" t="n">
        <v>2</v>
      </c>
      <c r="O49" s="181">
        <f>SUM(P49:AB49)</f>
        <v/>
      </c>
      <c r="P49" s="182">
        <f>ROUND(#REF!+#REF!+#REF!+预安排!F54+#REF!+'6月'!P49,5)</f>
        <v/>
      </c>
      <c r="Q49" s="182">
        <f>ROUND(#REF!+#REF!+#REF!+预安排!#REF!+#REF!+'6月'!Q49,5)</f>
        <v/>
      </c>
      <c r="R49" s="182">
        <f>ROUND(#REF!+#REF!+#REF!+预安排!G54+#REF!+'6月'!R49,5)</f>
        <v/>
      </c>
      <c r="S49" s="182">
        <f>ROUND(#REF!+#REF!+#REF!+预安排!#REF!+#REF!+'6月'!S49,5)</f>
        <v/>
      </c>
      <c r="T49" s="182">
        <f>ROUND(#REF!+#REF!+#REF!+预安排!#REF!+#REF!+'6月'!T49,5)</f>
        <v/>
      </c>
      <c r="U49" s="182">
        <f>ROUND(#REF!+#REF!+#REF!+预安排!O54+#REF!+'6月'!U49,5)</f>
        <v/>
      </c>
      <c r="V49" s="182">
        <f>ROUND(#REF!+#REF!+#REF!+预安排!P54+#REF!+'6月'!V49,5)</f>
        <v/>
      </c>
      <c r="W49" s="182">
        <f>ROUND(#REF!+#REF!+#REF!+预安排!Q54+#REF!+'6月'!W49,5)</f>
        <v/>
      </c>
      <c r="X49" s="182">
        <f>ROUND(#REF!+#REF!+#REF!+预安排!R54+#REF!+'6月'!X49,5)</f>
        <v/>
      </c>
      <c r="Y49" s="182">
        <f>ROUND(#REF!+#REF!+#REF!+预安排!S54+#REF!+'6月'!Y49,5)</f>
        <v/>
      </c>
      <c r="Z49" s="182">
        <f>ROUND(#REF!+#REF!+#REF!+预安排!#REF!+#REF!+'6月'!Z49,5)</f>
        <v/>
      </c>
      <c r="AA49" s="182">
        <f>ROUND(#REF!+#REF!+#REF!+预安排!#REF!+#REF!+'6月'!AA49,5)</f>
        <v/>
      </c>
      <c r="AB49" s="182">
        <f>ROUND(#REF!+#REF!+#REF!+预安排!#REF!+#REF!+'6月'!AB49,5)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193">
        <f>计划!O49-O49</f>
        <v/>
      </c>
      <c r="AH49" s="193">
        <f>ROUND(AG49/$AH$1,2)</f>
        <v/>
      </c>
    </row>
    <row r="50" customFormat="1" s="1">
      <c r="A50" s="234" t="n"/>
      <c r="B50" s="231" t="inlineStr">
        <is>
          <t>SKU-B376DBC8</t>
        </is>
      </c>
      <c r="C50" s="231" t="inlineStr">
        <is>
          <t>是</t>
        </is>
      </c>
      <c r="D50" s="231" t="n">
        <v>9</v>
      </c>
      <c r="E50" s="231" t="inlineStr"/>
      <c r="F50" s="231" t="inlineStr">
        <is>
          <t>是</t>
        </is>
      </c>
      <c r="G50" s="231" t="inlineStr"/>
      <c r="H50" s="231" t="inlineStr"/>
      <c r="I50" s="231" t="inlineStr">
        <is>
          <t>是</t>
        </is>
      </c>
      <c r="J50" s="27" t="inlineStr"/>
      <c r="K50" s="27" t="inlineStr"/>
      <c r="L50" s="231" t="n">
        <v>100</v>
      </c>
      <c r="M50" s="44" t="inlineStr">
        <is>
          <t>Product-12486764</t>
        </is>
      </c>
      <c r="N50" s="231" t="n">
        <v>1</v>
      </c>
      <c r="O50" s="181">
        <f>SUM(P50:AB50)</f>
        <v/>
      </c>
      <c r="P50" s="182">
        <f>ROUND(#REF!+#REF!+#REF!+预安排!F55+#REF!+'6月'!P50,5)</f>
        <v/>
      </c>
      <c r="Q50" s="182">
        <f>ROUND(#REF!+#REF!+#REF!+预安排!#REF!+#REF!+'6月'!Q50,5)</f>
        <v/>
      </c>
      <c r="R50" s="182">
        <f>ROUND(#REF!+#REF!+#REF!+预安排!G55+#REF!+'6月'!R50,5)</f>
        <v/>
      </c>
      <c r="S50" s="182">
        <f>ROUND(#REF!+#REF!+#REF!+预安排!#REF!+#REF!+'6月'!S50,5)</f>
        <v/>
      </c>
      <c r="T50" s="182">
        <f>ROUND(#REF!+#REF!+#REF!+预安排!#REF!+#REF!+'6月'!T50,5)</f>
        <v/>
      </c>
      <c r="U50" s="182">
        <f>ROUND(#REF!+#REF!+#REF!+预安排!O55+#REF!+'6月'!U50,5)</f>
        <v/>
      </c>
      <c r="V50" s="182">
        <f>ROUND(#REF!+#REF!+#REF!+预安排!P55+#REF!+'6月'!V50,5)</f>
        <v/>
      </c>
      <c r="W50" s="182">
        <f>ROUND(#REF!+#REF!+#REF!+预安排!Q55+#REF!+'6月'!W50,5)</f>
        <v/>
      </c>
      <c r="X50" s="182">
        <f>ROUND(#REF!+#REF!+#REF!+预安排!R55+#REF!+'6月'!X50,5)</f>
        <v/>
      </c>
      <c r="Y50" s="182">
        <f>ROUND(#REF!+#REF!+#REF!+预安排!S55+#REF!+'6月'!Y50,5)</f>
        <v/>
      </c>
      <c r="Z50" s="182">
        <f>ROUND(#REF!+#REF!+#REF!+预安排!#REF!+#REF!+'6月'!Z50,5)</f>
        <v/>
      </c>
      <c r="AA50" s="182">
        <f>ROUND(#REF!+#REF!+#REF!+预安排!#REF!+#REF!+'6月'!AA50,5)</f>
        <v/>
      </c>
      <c r="AB50" s="182">
        <f>ROUND(#REF!+#REF!+#REF!+预安排!#REF!+#REF!+'6月'!AB50,5)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193">
        <f>计划!O50-O50</f>
        <v/>
      </c>
      <c r="AH50" s="193">
        <f>ROUND(AG50/$AH$1,2)</f>
        <v/>
      </c>
    </row>
    <row r="51" customFormat="1" s="1">
      <c r="A51" s="234" t="n"/>
      <c r="B51" s="231" t="inlineStr">
        <is>
          <t>SKU-D051F69D</t>
        </is>
      </c>
      <c r="C51" s="231" t="inlineStr">
        <is>
          <t>是</t>
        </is>
      </c>
      <c r="D51" s="231" t="n">
        <v>10</v>
      </c>
      <c r="E51" s="231" t="inlineStr"/>
      <c r="F51" s="231" t="inlineStr"/>
      <c r="G51" s="231" t="inlineStr"/>
      <c r="H51" s="231" t="inlineStr"/>
      <c r="I51" s="231" t="inlineStr"/>
      <c r="J51" s="27" t="inlineStr"/>
      <c r="K51" s="27" t="inlineStr"/>
      <c r="L51" s="231" t="n">
        <v>100</v>
      </c>
      <c r="M51" s="19" t="inlineStr">
        <is>
          <t>Product-89AAAC0F</t>
        </is>
      </c>
      <c r="N51" s="231" t="n">
        <v>1</v>
      </c>
      <c r="O51" s="181">
        <f>SUM(P51:AB51)</f>
        <v/>
      </c>
      <c r="P51" s="182">
        <f>ROUND(#REF!+#REF!+#REF!+预安排!F56+#REF!+'6月'!P51,5)</f>
        <v/>
      </c>
      <c r="Q51" s="182">
        <f>ROUND(#REF!+#REF!+#REF!+预安排!#REF!+#REF!+'6月'!Q51,5)</f>
        <v/>
      </c>
      <c r="R51" s="182">
        <f>ROUND(#REF!+#REF!+#REF!+预安排!G56+#REF!+'6月'!R51,5)</f>
        <v/>
      </c>
      <c r="S51" s="182">
        <f>ROUND(#REF!+#REF!+#REF!+预安排!#REF!+#REF!+'6月'!S51,5)</f>
        <v/>
      </c>
      <c r="T51" s="182">
        <f>ROUND(#REF!+#REF!+#REF!+预安排!#REF!+#REF!+'6月'!T51,5)</f>
        <v/>
      </c>
      <c r="U51" s="182">
        <f>ROUND(#REF!+#REF!+#REF!+预安排!O56+#REF!+'6月'!U51,5)</f>
        <v/>
      </c>
      <c r="V51" s="182">
        <f>ROUND(#REF!+#REF!+#REF!+预安排!P56+#REF!+'6月'!V51,5)</f>
        <v/>
      </c>
      <c r="W51" s="182">
        <f>ROUND(#REF!+#REF!+#REF!+预安排!Q56+#REF!+'6月'!W51,5)</f>
        <v/>
      </c>
      <c r="X51" s="182">
        <f>ROUND(#REF!+#REF!+#REF!+预安排!R56+#REF!+'6月'!X51,5)</f>
        <v/>
      </c>
      <c r="Y51" s="182">
        <f>ROUND(#REF!+#REF!+#REF!+预安排!S56+#REF!+'6月'!Y51,5)</f>
        <v/>
      </c>
      <c r="Z51" s="182">
        <f>ROUND(#REF!+#REF!+#REF!+预安排!#REF!+#REF!+'6月'!Z51,5)</f>
        <v/>
      </c>
      <c r="AA51" s="182">
        <f>ROUND(#REF!+#REF!+#REF!+预安排!#REF!+#REF!+'6月'!AA51,5)</f>
        <v/>
      </c>
      <c r="AB51" s="182">
        <f>ROUND(#REF!+#REF!+#REF!+预安排!#REF!+#REF!+'6月'!AB51,5)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193">
        <f>计划!O51-O51</f>
        <v/>
      </c>
      <c r="AH51" s="193">
        <f>ROUND(AG51/$AH$1,2)</f>
        <v/>
      </c>
    </row>
    <row r="52" customFormat="1" s="1">
      <c r="A52" s="234" t="n"/>
      <c r="B52" s="231" t="inlineStr">
        <is>
          <t>SKU-D6DABD2C</t>
        </is>
      </c>
      <c r="C52" s="231" t="inlineStr">
        <is>
          <t>是</t>
        </is>
      </c>
      <c r="D52" s="231" t="n">
        <v>6</v>
      </c>
      <c r="E52" s="231" t="inlineStr">
        <is>
          <t>是</t>
        </is>
      </c>
      <c r="F52" s="231" t="inlineStr"/>
      <c r="G52" s="231" t="inlineStr"/>
      <c r="H52" s="231" t="inlineStr"/>
      <c r="I52" s="231" t="inlineStr">
        <is>
          <t>是</t>
        </is>
      </c>
      <c r="J52" s="27" t="inlineStr"/>
      <c r="K52" s="27" t="inlineStr"/>
      <c r="L52" s="231" t="n">
        <v>100</v>
      </c>
      <c r="M52" s="19" t="inlineStr">
        <is>
          <t>Product-E13E7723</t>
        </is>
      </c>
      <c r="N52" s="231" t="n">
        <v>1</v>
      </c>
      <c r="O52" s="181">
        <f>SUM(P52:AB52)</f>
        <v/>
      </c>
      <c r="P52" s="182">
        <f>ROUND(#REF!+#REF!+#REF!+预安排!F57+#REF!+'6月'!P52,5)</f>
        <v/>
      </c>
      <c r="Q52" s="182">
        <f>ROUND(#REF!+#REF!+#REF!+预安排!#REF!+#REF!+'6月'!Q52,5)</f>
        <v/>
      </c>
      <c r="R52" s="182">
        <f>ROUND(#REF!+#REF!+#REF!+预安排!G57+#REF!+'6月'!R52,5)</f>
        <v/>
      </c>
      <c r="S52" s="182">
        <f>ROUND(#REF!+#REF!+#REF!+预安排!#REF!+#REF!+'6月'!S52,5)</f>
        <v/>
      </c>
      <c r="T52" s="182">
        <f>ROUND(#REF!+#REF!+#REF!+预安排!#REF!+#REF!+'6月'!T52,5)</f>
        <v/>
      </c>
      <c r="U52" s="182">
        <f>ROUND(#REF!+#REF!+#REF!+预安排!O57+#REF!+'6月'!U52,5)</f>
        <v/>
      </c>
      <c r="V52" s="182">
        <f>ROUND(#REF!+#REF!+#REF!+预安排!P57+#REF!+'6月'!V52,5)</f>
        <v/>
      </c>
      <c r="W52" s="182">
        <f>ROUND(#REF!+#REF!+#REF!+预安排!Q57+#REF!+'6月'!W52,5)</f>
        <v/>
      </c>
      <c r="X52" s="182">
        <f>ROUND(#REF!+#REF!+#REF!+预安排!R57+#REF!+'6月'!X52,5)</f>
        <v/>
      </c>
      <c r="Y52" s="182">
        <f>ROUND(#REF!+#REF!+#REF!+预安排!S57+#REF!+'6月'!Y52,5)</f>
        <v/>
      </c>
      <c r="Z52" s="182">
        <f>ROUND(#REF!+#REF!+#REF!+预安排!#REF!+#REF!+'6月'!Z52,5)</f>
        <v/>
      </c>
      <c r="AA52" s="182">
        <f>ROUND(#REF!+#REF!+#REF!+预安排!#REF!+#REF!+'6月'!AA52,5)</f>
        <v/>
      </c>
      <c r="AB52" s="182">
        <f>ROUND(#REF!+#REF!+#REF!+预安排!#REF!+#REF!+'6月'!AB52,5)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193">
        <f>计划!O52-O52</f>
        <v/>
      </c>
      <c r="AH52" s="193">
        <f>ROUND(AG52/$AH$1,2)</f>
        <v/>
      </c>
    </row>
    <row r="53" customFormat="1" s="1">
      <c r="A53" s="235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196">
        <f>计划!O53-O53</f>
        <v/>
      </c>
      <c r="AH53" s="196">
        <f>ROUND(AG53/$AH$1,2)</f>
        <v/>
      </c>
    </row>
    <row r="54" customFormat="1" s="1">
      <c r="A54" s="25" t="inlineStr">
        <is>
          <t>吉林</t>
        </is>
      </c>
      <c r="B54" s="231" t="inlineStr">
        <is>
          <t>SKU-58C29290</t>
        </is>
      </c>
      <c r="C54" s="231" t="inlineStr">
        <is>
          <t>是</t>
        </is>
      </c>
      <c r="D54" s="231" t="n">
        <v>8</v>
      </c>
      <c r="E54" s="231" t="inlineStr"/>
      <c r="F54" s="231" t="inlineStr"/>
      <c r="G54" s="231" t="inlineStr"/>
      <c r="H54" s="231" t="inlineStr"/>
      <c r="I54" s="231" t="inlineStr"/>
      <c r="J54" s="27" t="inlineStr"/>
      <c r="K54" s="27" t="inlineStr"/>
      <c r="L54" s="231" t="n">
        <v>100</v>
      </c>
      <c r="M54" s="19" t="inlineStr">
        <is>
          <t>Product-0F81BD89</t>
        </is>
      </c>
      <c r="N54" s="231" t="n">
        <v>3</v>
      </c>
      <c r="O54" s="181">
        <f>SUM(P54:AB54)</f>
        <v/>
      </c>
      <c r="P54" s="182">
        <f>ROUND(#REF!+#REF!+#REF!+预安排!F59+#REF!+'6月'!P54,5)</f>
        <v/>
      </c>
      <c r="Q54" s="182">
        <f>ROUND(#REF!+#REF!+#REF!+预安排!#REF!+#REF!+'6月'!Q54,5)</f>
        <v/>
      </c>
      <c r="R54" s="182">
        <f>ROUND(#REF!+#REF!+#REF!+预安排!G59+#REF!+'6月'!R54,5)</f>
        <v/>
      </c>
      <c r="S54" s="182">
        <f>ROUND(#REF!+#REF!+#REF!+预安排!#REF!+#REF!+'6月'!S54,5)</f>
        <v/>
      </c>
      <c r="T54" s="182">
        <f>ROUND(#REF!+#REF!+#REF!+预安排!#REF!+#REF!+'6月'!T54,5)</f>
        <v/>
      </c>
      <c r="U54" s="182">
        <f>ROUND(#REF!+#REF!+#REF!+预安排!O59+#REF!+'6月'!U54,5)</f>
        <v/>
      </c>
      <c r="V54" s="182">
        <f>ROUND(#REF!+#REF!+#REF!+预安排!P59+#REF!+'6月'!V54,5)</f>
        <v/>
      </c>
      <c r="W54" s="182">
        <f>ROUND(#REF!+#REF!+#REF!+预安排!Q59+#REF!+'6月'!W54,5)</f>
        <v/>
      </c>
      <c r="X54" s="182">
        <f>ROUND(#REF!+#REF!+#REF!+预安排!R59+#REF!+'6月'!X54,5)</f>
        <v/>
      </c>
      <c r="Y54" s="182">
        <f>ROUND(#REF!+#REF!+#REF!+预安排!S59+#REF!+'6月'!Y54,5)</f>
        <v/>
      </c>
      <c r="Z54" s="182">
        <f>ROUND(#REF!+#REF!+#REF!+预安排!#REF!+#REF!+'6月'!Z54,5)</f>
        <v/>
      </c>
      <c r="AA54" s="182">
        <f>ROUND(#REF!+#REF!+#REF!+预安排!#REF!+#REF!+'6月'!AA54,5)</f>
        <v/>
      </c>
      <c r="AB54" s="182">
        <f>ROUND(#REF!+#REF!+#REF!+预安排!#REF!+#REF!+'6月'!AB54,5)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  <c r="AG54" s="193">
        <f>计划!O54-O54</f>
        <v/>
      </c>
      <c r="AH54" s="193">
        <f>ROUND(AG54/$AH$1,2)</f>
        <v/>
      </c>
    </row>
    <row r="55" customFormat="1" s="1">
      <c r="A55" s="234" t="n"/>
      <c r="B55" s="231" t="inlineStr">
        <is>
          <t>SKU-204217AA</t>
        </is>
      </c>
      <c r="C55" s="231" t="inlineStr">
        <is>
          <t>是</t>
        </is>
      </c>
      <c r="D55" s="231" t="n">
        <v>9</v>
      </c>
      <c r="E55" s="231" t="inlineStr"/>
      <c r="F55" s="231" t="inlineStr"/>
      <c r="G55" s="231" t="inlineStr"/>
      <c r="H55" s="231" t="inlineStr"/>
      <c r="I55" s="231" t="inlineStr"/>
      <c r="J55" s="27" t="inlineStr"/>
      <c r="K55" s="27" t="inlineStr"/>
      <c r="L55" s="231" t="n">
        <v>100</v>
      </c>
      <c r="M55" s="19" t="inlineStr">
        <is>
          <t>Product-65B192F5</t>
        </is>
      </c>
      <c r="N55" s="231" t="n">
        <v>3</v>
      </c>
      <c r="O55" s="181">
        <f>SUM(P55:AB55)</f>
        <v/>
      </c>
      <c r="P55" s="182">
        <f>ROUND(#REF!+#REF!+#REF!+预安排!F60+#REF!+'6月'!P55,5)</f>
        <v/>
      </c>
      <c r="Q55" s="182">
        <f>ROUND(#REF!+#REF!+#REF!+预安排!#REF!+#REF!+'6月'!Q55,5)</f>
        <v/>
      </c>
      <c r="R55" s="182">
        <f>ROUND(#REF!+#REF!+#REF!+预安排!G60+#REF!+'6月'!R55,5)</f>
        <v/>
      </c>
      <c r="S55" s="182">
        <f>ROUND(#REF!+#REF!+#REF!+预安排!#REF!+#REF!+'6月'!S55,5)</f>
        <v/>
      </c>
      <c r="T55" s="182">
        <f>ROUND(#REF!+#REF!+#REF!+预安排!#REF!+#REF!+'6月'!T55,5)</f>
        <v/>
      </c>
      <c r="U55" s="182">
        <f>ROUND(#REF!+#REF!+#REF!+预安排!O60+#REF!+'6月'!U55,5)</f>
        <v/>
      </c>
      <c r="V55" s="182">
        <f>ROUND(#REF!+#REF!+#REF!+预安排!P60+#REF!+'6月'!V55,5)</f>
        <v/>
      </c>
      <c r="W55" s="182">
        <f>ROUND(#REF!+#REF!+#REF!+预安排!Q60+#REF!+'6月'!W55,5)</f>
        <v/>
      </c>
      <c r="X55" s="182">
        <f>ROUND(#REF!+#REF!+#REF!+预安排!R60+#REF!+'6月'!X55,5)</f>
        <v/>
      </c>
      <c r="Y55" s="182">
        <f>ROUND(#REF!+#REF!+#REF!+预安排!S60+#REF!+'6月'!Y55,5)</f>
        <v/>
      </c>
      <c r="Z55" s="182">
        <f>ROUND(#REF!+#REF!+#REF!+预安排!#REF!+#REF!+'6月'!Z55,5)</f>
        <v/>
      </c>
      <c r="AA55" s="182">
        <f>ROUND(#REF!+#REF!+#REF!+预安排!#REF!+#REF!+'6月'!AA55,5)</f>
        <v/>
      </c>
      <c r="AB55" s="182">
        <f>ROUND(#REF!+#REF!+#REF!+预安排!#REF!+#REF!+'6月'!AB55,5)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193">
        <f>计划!O55-O55</f>
        <v/>
      </c>
      <c r="AH55" s="193">
        <f>ROUND(AG55/$AH$1,2)</f>
        <v/>
      </c>
    </row>
    <row r="56" customFormat="1" s="1">
      <c r="A56" s="234" t="n"/>
      <c r="B56" s="231" t="inlineStr">
        <is>
          <t>SKU-AA06D68B</t>
        </is>
      </c>
      <c r="C56" s="231" t="inlineStr">
        <is>
          <t>是</t>
        </is>
      </c>
      <c r="D56" s="231" t="n">
        <v>5</v>
      </c>
      <c r="E56" s="231" t="inlineStr"/>
      <c r="F56" s="231" t="inlineStr"/>
      <c r="G56" s="231" t="inlineStr"/>
      <c r="H56" s="231" t="inlineStr"/>
      <c r="I56" s="231" t="inlineStr"/>
      <c r="J56" s="27" t="inlineStr"/>
      <c r="K56" s="27" t="inlineStr"/>
      <c r="L56" s="231" t="n">
        <v>100</v>
      </c>
      <c r="M56" s="19" t="inlineStr">
        <is>
          <t>Product-BC490182</t>
        </is>
      </c>
      <c r="N56" s="231" t="n">
        <v>1</v>
      </c>
      <c r="O56" s="181">
        <f>SUM(P56:AB56)</f>
        <v/>
      </c>
      <c r="P56" s="182">
        <f>ROUND(#REF!+#REF!+#REF!+预安排!F61+#REF!+'6月'!P56,5)</f>
        <v/>
      </c>
      <c r="Q56" s="182">
        <f>ROUND(#REF!+#REF!+#REF!+预安排!#REF!+#REF!+'6月'!Q56,5)</f>
        <v/>
      </c>
      <c r="R56" s="182">
        <f>ROUND(#REF!+#REF!+#REF!+预安排!G61+#REF!+'6月'!R56,5)</f>
        <v/>
      </c>
      <c r="S56" s="182">
        <f>ROUND(#REF!+#REF!+#REF!+预安排!#REF!+#REF!+'6月'!S56,5)</f>
        <v/>
      </c>
      <c r="T56" s="182">
        <f>ROUND(#REF!+#REF!+#REF!+预安排!#REF!+#REF!+'6月'!T56,5)</f>
        <v/>
      </c>
      <c r="U56" s="182">
        <f>ROUND(#REF!+#REF!+#REF!+预安排!O61+#REF!+'6月'!U56,5)</f>
        <v/>
      </c>
      <c r="V56" s="182">
        <f>ROUND(#REF!+#REF!+#REF!+预安排!P61+#REF!+'6月'!V56,5)</f>
        <v/>
      </c>
      <c r="W56" s="182">
        <f>ROUND(#REF!+#REF!+#REF!+预安排!Q61+#REF!+'6月'!W56,5)</f>
        <v/>
      </c>
      <c r="X56" s="182">
        <f>ROUND(#REF!+#REF!+#REF!+预安排!R61+#REF!+'6月'!X56,5)</f>
        <v/>
      </c>
      <c r="Y56" s="182">
        <f>ROUND(#REF!+#REF!+#REF!+预安排!S61+#REF!+'6月'!Y56,5)</f>
        <v/>
      </c>
      <c r="Z56" s="182">
        <f>ROUND(#REF!+#REF!+#REF!+预安排!#REF!+#REF!+'6月'!Z56,5)</f>
        <v/>
      </c>
      <c r="AA56" s="182">
        <f>ROUND(#REF!+#REF!+#REF!+预安排!#REF!+#REF!+'6月'!AA56,5)</f>
        <v/>
      </c>
      <c r="AB56" s="182">
        <f>ROUND(#REF!+#REF!+#REF!+预安排!#REF!+#REF!+'6月'!AB56,5)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  <c r="AG56" s="193">
        <f>计划!O56-O56</f>
        <v/>
      </c>
      <c r="AH56" s="193">
        <f>ROUND(AG56/$AH$1,2)</f>
        <v/>
      </c>
    </row>
    <row r="57" customFormat="1" s="1">
      <c r="A57" s="234" t="n"/>
      <c r="B57" s="231" t="inlineStr">
        <is>
          <t>SKU-AB711576</t>
        </is>
      </c>
      <c r="C57" s="231" t="inlineStr">
        <is>
          <t>是</t>
        </is>
      </c>
      <c r="D57" s="231" t="n">
        <v>7</v>
      </c>
      <c r="E57" s="231" t="inlineStr">
        <is>
          <t>是</t>
        </is>
      </c>
      <c r="F57" s="231" t="inlineStr"/>
      <c r="G57" s="231" t="inlineStr"/>
      <c r="H57" s="231" t="inlineStr"/>
      <c r="I57" s="231" t="inlineStr">
        <is>
          <t>是</t>
        </is>
      </c>
      <c r="J57" s="27" t="inlineStr">
        <is>
          <t>共</t>
        </is>
      </c>
      <c r="K57" s="27" t="inlineStr"/>
      <c r="L57" s="231" t="n">
        <v>100</v>
      </c>
      <c r="M57" s="19" t="inlineStr">
        <is>
          <t>Product-606B1B6A</t>
        </is>
      </c>
      <c r="N57" s="231" t="n">
        <v>2</v>
      </c>
      <c r="O57" s="181">
        <f>SUM(P57:AB57)</f>
        <v/>
      </c>
      <c r="P57" s="182">
        <f>ROUND(#REF!+#REF!+#REF!+预安排!F62+#REF!+'6月'!P57,5)</f>
        <v/>
      </c>
      <c r="Q57" s="182">
        <f>ROUND(#REF!+#REF!+#REF!+预安排!#REF!+#REF!+'6月'!Q57,5)</f>
        <v/>
      </c>
      <c r="R57" s="182">
        <f>ROUND(#REF!+#REF!+#REF!+预安排!G62+#REF!+'6月'!R57,5)</f>
        <v/>
      </c>
      <c r="S57" s="182">
        <f>ROUND(#REF!+#REF!+#REF!+预安排!#REF!+#REF!+'6月'!S57,5)</f>
        <v/>
      </c>
      <c r="T57" s="182">
        <f>ROUND(#REF!+#REF!+#REF!+预安排!#REF!+#REF!+'6月'!T57,5)</f>
        <v/>
      </c>
      <c r="U57" s="182">
        <f>ROUND(#REF!+#REF!+#REF!+预安排!O62+#REF!+'6月'!U57,5)</f>
        <v/>
      </c>
      <c r="V57" s="182">
        <f>ROUND(#REF!+#REF!+#REF!+预安排!P62+#REF!+'6月'!V57,5)</f>
        <v/>
      </c>
      <c r="W57" s="182">
        <f>ROUND(#REF!+#REF!+#REF!+预安排!Q62+#REF!+'6月'!W57,5)</f>
        <v/>
      </c>
      <c r="X57" s="182">
        <f>ROUND(#REF!+#REF!+#REF!+预安排!R62+#REF!+'6月'!X57,5)</f>
        <v/>
      </c>
      <c r="Y57" s="182">
        <f>ROUND(#REF!+#REF!+#REF!+预安排!S62+#REF!+'6月'!Y57,5)</f>
        <v/>
      </c>
      <c r="Z57" s="182">
        <f>ROUND(#REF!+#REF!+#REF!+预安排!#REF!+#REF!+'6月'!Z57,5)</f>
        <v/>
      </c>
      <c r="AA57" s="182">
        <f>ROUND(#REF!+#REF!+#REF!+预安排!#REF!+#REF!+'6月'!AA57,5)</f>
        <v/>
      </c>
      <c r="AB57" s="182">
        <f>ROUND(#REF!+#REF!+#REF!+预安排!#REF!+#REF!+'6月'!AB57,5)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193">
        <f>计划!O57-O57</f>
        <v/>
      </c>
      <c r="AH57" s="193">
        <f>ROUND(AG57/$AH$1,2)</f>
        <v/>
      </c>
    </row>
    <row r="58" customFormat="1" s="1">
      <c r="A58" s="234" t="n"/>
      <c r="B58" s="231" t="inlineStr">
        <is>
          <t>SKU-9F810407</t>
        </is>
      </c>
      <c r="C58" s="231" t="inlineStr">
        <is>
          <t>是</t>
        </is>
      </c>
      <c r="D58" s="231" t="n">
        <v>9</v>
      </c>
      <c r="E58" s="231" t="inlineStr"/>
      <c r="F58" s="231" t="inlineStr">
        <is>
          <t>是</t>
        </is>
      </c>
      <c r="G58" s="231" t="inlineStr"/>
      <c r="H58" s="231" t="inlineStr"/>
      <c r="I58" s="231" t="inlineStr">
        <is>
          <t>是</t>
        </is>
      </c>
      <c r="J58" s="27" t="inlineStr"/>
      <c r="K58" s="27" t="inlineStr"/>
      <c r="L58" s="231" t="n">
        <v>100</v>
      </c>
      <c r="M58" s="19" t="inlineStr">
        <is>
          <t>Product-F93B8445</t>
        </is>
      </c>
      <c r="N58" s="231" t="n">
        <v>3</v>
      </c>
      <c r="O58" s="181">
        <f>SUM(P58:AB58)</f>
        <v/>
      </c>
      <c r="P58" s="182">
        <f>ROUND(#REF!+#REF!+#REF!+预安排!F63+#REF!+'6月'!P58,5)</f>
        <v/>
      </c>
      <c r="Q58" s="182">
        <f>ROUND(#REF!+#REF!+#REF!+预安排!#REF!+#REF!+'6月'!Q58,5)</f>
        <v/>
      </c>
      <c r="R58" s="182">
        <f>ROUND(#REF!+#REF!+#REF!+预安排!G63+#REF!+'6月'!R58,5)</f>
        <v/>
      </c>
      <c r="S58" s="182">
        <f>ROUND(#REF!+#REF!+#REF!+预安排!#REF!+#REF!+'6月'!S58,5)</f>
        <v/>
      </c>
      <c r="T58" s="182">
        <f>ROUND(#REF!+#REF!+#REF!+预安排!#REF!+#REF!+'6月'!T58,5)</f>
        <v/>
      </c>
      <c r="U58" s="182">
        <f>ROUND(#REF!+#REF!+#REF!+预安排!O63+#REF!+'6月'!U58,5)</f>
        <v/>
      </c>
      <c r="V58" s="182">
        <f>ROUND(#REF!+#REF!+#REF!+预安排!P63+#REF!+'6月'!V58,5)</f>
        <v/>
      </c>
      <c r="W58" s="182">
        <f>ROUND(#REF!+#REF!+#REF!+预安排!Q63+#REF!+'6月'!W58,5)</f>
        <v/>
      </c>
      <c r="X58" s="182">
        <f>ROUND(#REF!+#REF!+#REF!+预安排!R63+#REF!+'6月'!X58,5)</f>
        <v/>
      </c>
      <c r="Y58" s="182">
        <f>ROUND(#REF!+#REF!+#REF!+预安排!S63+#REF!+'6月'!Y58,5)</f>
        <v/>
      </c>
      <c r="Z58" s="182">
        <f>ROUND(#REF!+#REF!+#REF!+预安排!#REF!+#REF!+'6月'!Z58,5)</f>
        <v/>
      </c>
      <c r="AA58" s="182">
        <f>ROUND(#REF!+#REF!+#REF!+预安排!#REF!+#REF!+'6月'!AA58,5)</f>
        <v/>
      </c>
      <c r="AB58" s="182">
        <f>ROUND(#REF!+#REF!+#REF!+预安排!#REF!+#REF!+'6月'!AB58,5)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193">
        <f>计划!O58-O58</f>
        <v/>
      </c>
      <c r="AH58" s="193">
        <f>ROUND(AG58/$AH$1,2)</f>
        <v/>
      </c>
    </row>
    <row r="59" customFormat="1" s="1">
      <c r="A59" s="234" t="n"/>
      <c r="B59" s="231" t="inlineStr">
        <is>
          <t>SKU-F676B681</t>
        </is>
      </c>
      <c r="C59" s="231" t="inlineStr">
        <is>
          <t>是</t>
        </is>
      </c>
      <c r="D59" s="231" t="n">
        <v>9</v>
      </c>
      <c r="E59" s="231" t="inlineStr"/>
      <c r="F59" s="231" t="inlineStr">
        <is>
          <t>是</t>
        </is>
      </c>
      <c r="G59" s="231" t="inlineStr"/>
      <c r="H59" s="231" t="inlineStr"/>
      <c r="I59" s="231" t="inlineStr">
        <is>
          <t>是</t>
        </is>
      </c>
      <c r="J59" s="27" t="inlineStr"/>
      <c r="K59" s="27" t="inlineStr"/>
      <c r="L59" s="231" t="n">
        <v>100</v>
      </c>
      <c r="M59" s="44" t="inlineStr">
        <is>
          <t>Product-33875634</t>
        </is>
      </c>
      <c r="N59" s="231" t="n">
        <v>1</v>
      </c>
      <c r="O59" s="181">
        <f>SUM(P59:AB59)</f>
        <v/>
      </c>
      <c r="P59" s="182">
        <f>ROUND(#REF!+#REF!+#REF!+预安排!F64+#REF!+'6月'!P59,5)</f>
        <v/>
      </c>
      <c r="Q59" s="182">
        <f>ROUND(#REF!+#REF!+#REF!+预安排!#REF!+#REF!+'6月'!Q59,5)</f>
        <v/>
      </c>
      <c r="R59" s="182">
        <f>ROUND(#REF!+#REF!+#REF!+预安排!G64+#REF!+'6月'!R59,5)</f>
        <v/>
      </c>
      <c r="S59" s="182">
        <f>ROUND(#REF!+#REF!+#REF!+预安排!#REF!+#REF!+'6月'!S59,5)</f>
        <v/>
      </c>
      <c r="T59" s="182">
        <f>ROUND(#REF!+#REF!+#REF!+预安排!#REF!+#REF!+'6月'!T59,5)</f>
        <v/>
      </c>
      <c r="U59" s="182">
        <f>ROUND(#REF!+#REF!+#REF!+预安排!O64+#REF!+'6月'!U59,5)</f>
        <v/>
      </c>
      <c r="V59" s="182">
        <f>ROUND(#REF!+#REF!+#REF!+预安排!P64+#REF!+'6月'!V59,5)</f>
        <v/>
      </c>
      <c r="W59" s="182">
        <f>ROUND(#REF!+#REF!+#REF!+预安排!Q64+#REF!+'6月'!W59,5)</f>
        <v/>
      </c>
      <c r="X59" s="182">
        <f>ROUND(#REF!+#REF!+#REF!+预安排!R64+#REF!+'6月'!X59,5)</f>
        <v/>
      </c>
      <c r="Y59" s="182">
        <f>ROUND(#REF!+#REF!+#REF!+预安排!S64+#REF!+'6月'!Y59,5)</f>
        <v/>
      </c>
      <c r="Z59" s="182">
        <f>ROUND(#REF!+#REF!+#REF!+预安排!#REF!+#REF!+'6月'!Z59,5)</f>
        <v/>
      </c>
      <c r="AA59" s="182">
        <f>ROUND(#REF!+#REF!+#REF!+预安排!#REF!+#REF!+'6月'!AA59,5)</f>
        <v/>
      </c>
      <c r="AB59" s="182">
        <f>ROUND(#REF!+#REF!+#REF!+预安排!#REF!+#REF!+'6月'!AB59,5)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  <c r="AG59" s="193">
        <f>计划!O59-O59</f>
        <v/>
      </c>
      <c r="AH59" s="193">
        <f>ROUND(AG59/$AH$1,2)</f>
        <v/>
      </c>
    </row>
    <row r="60" customFormat="1" s="1">
      <c r="A60" s="234" t="n"/>
      <c r="B60" s="231" t="inlineStr">
        <is>
          <t>SKU-E4C1BC6F</t>
        </is>
      </c>
      <c r="C60" s="231" t="inlineStr">
        <is>
          <t>是</t>
        </is>
      </c>
      <c r="D60" s="231" t="n">
        <v>8</v>
      </c>
      <c r="E60" s="231" t="inlineStr">
        <is>
          <t>是</t>
        </is>
      </c>
      <c r="F60" s="231" t="inlineStr"/>
      <c r="G60" s="231" t="inlineStr"/>
      <c r="H60" s="231" t="inlineStr"/>
      <c r="I60" s="231" t="inlineStr">
        <is>
          <t>是</t>
        </is>
      </c>
      <c r="J60" s="27" t="inlineStr">
        <is>
          <t>共</t>
        </is>
      </c>
      <c r="K60" s="27" t="inlineStr"/>
      <c r="L60" s="231" t="n">
        <v>100</v>
      </c>
      <c r="M60" s="19" t="inlineStr">
        <is>
          <t>Product-10F9DCAD</t>
        </is>
      </c>
      <c r="N60" s="231" t="n">
        <v>1</v>
      </c>
      <c r="O60" s="181">
        <f>SUM(P60:AB60)</f>
        <v/>
      </c>
      <c r="P60" s="182">
        <f>ROUND(#REF!+#REF!+#REF!+预安排!F65+#REF!+'6月'!P60,5)</f>
        <v/>
      </c>
      <c r="Q60" s="182">
        <f>ROUND(#REF!+#REF!+#REF!+预安排!#REF!+#REF!+'6月'!Q60,5)</f>
        <v/>
      </c>
      <c r="R60" s="182">
        <f>ROUND(#REF!+#REF!+#REF!+预安排!G65+#REF!+'6月'!R60,5)</f>
        <v/>
      </c>
      <c r="S60" s="182">
        <f>ROUND(#REF!+#REF!+#REF!+预安排!#REF!+#REF!+'6月'!S60,5)</f>
        <v/>
      </c>
      <c r="T60" s="182">
        <f>ROUND(#REF!+#REF!+#REF!+预安排!#REF!+#REF!+'6月'!T60,5)</f>
        <v/>
      </c>
      <c r="U60" s="182">
        <f>ROUND(#REF!+#REF!+#REF!+预安排!O65+#REF!+'6月'!U60,5)</f>
        <v/>
      </c>
      <c r="V60" s="182">
        <f>ROUND(#REF!+#REF!+#REF!+预安排!P65+#REF!+'6月'!V60,5)</f>
        <v/>
      </c>
      <c r="W60" s="182">
        <f>ROUND(#REF!+#REF!+#REF!+预安排!Q65+#REF!+'6月'!W60,5)</f>
        <v/>
      </c>
      <c r="X60" s="182">
        <f>ROUND(#REF!+#REF!+#REF!+预安排!R65+#REF!+'6月'!X60,5)</f>
        <v/>
      </c>
      <c r="Y60" s="182">
        <f>ROUND(#REF!+#REF!+#REF!+预安排!S65+#REF!+'6月'!Y60,5)</f>
        <v/>
      </c>
      <c r="Z60" s="182">
        <f>ROUND(#REF!+#REF!+#REF!+预安排!#REF!+#REF!+'6月'!Z60,5)</f>
        <v/>
      </c>
      <c r="AA60" s="182">
        <f>ROUND(#REF!+#REF!+#REF!+预安排!#REF!+#REF!+'6月'!AA60,5)</f>
        <v/>
      </c>
      <c r="AB60" s="182">
        <f>ROUND(#REF!+#REF!+#REF!+预安排!#REF!+#REF!+'6月'!AB60,5)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193">
        <f>计划!O60-O60</f>
        <v/>
      </c>
      <c r="AH60" s="193">
        <f>ROUND(AG60/$AH$1,2)</f>
        <v/>
      </c>
    </row>
    <row r="61" customFormat="1" s="1">
      <c r="A61" s="234" t="n"/>
      <c r="B61" s="231" t="inlineStr">
        <is>
          <t>SKU-CD605EDE</t>
        </is>
      </c>
      <c r="C61" s="231" t="inlineStr">
        <is>
          <t>是</t>
        </is>
      </c>
      <c r="D61" s="231" t="n">
        <v>9</v>
      </c>
      <c r="E61" s="231" t="inlineStr"/>
      <c r="F61" s="231" t="inlineStr">
        <is>
          <t>是</t>
        </is>
      </c>
      <c r="G61" s="231" t="inlineStr"/>
      <c r="H61" s="231" t="inlineStr"/>
      <c r="I61" s="231" t="inlineStr">
        <is>
          <t>是</t>
        </is>
      </c>
      <c r="J61" s="27" t="inlineStr"/>
      <c r="K61" s="27" t="inlineStr"/>
      <c r="L61" s="231" t="n">
        <v>100</v>
      </c>
      <c r="M61" s="19" t="inlineStr">
        <is>
          <t>Product-219B759F</t>
        </is>
      </c>
      <c r="N61" s="231" t="n">
        <v>1</v>
      </c>
      <c r="O61" s="181">
        <f>SUM(P61:AB61)</f>
        <v/>
      </c>
      <c r="P61" s="182">
        <f>ROUND(#REF!+#REF!+#REF!+预安排!F66+#REF!+'6月'!P61,5)</f>
        <v/>
      </c>
      <c r="Q61" s="182">
        <f>ROUND(#REF!+#REF!+#REF!+预安排!#REF!+#REF!+'6月'!Q61,5)</f>
        <v/>
      </c>
      <c r="R61" s="182">
        <f>ROUND(#REF!+#REF!+#REF!+预安排!G66+#REF!+'6月'!R61,5)</f>
        <v/>
      </c>
      <c r="S61" s="182">
        <f>ROUND(#REF!+#REF!+#REF!+预安排!#REF!+#REF!+'6月'!S61,5)</f>
        <v/>
      </c>
      <c r="T61" s="182">
        <f>ROUND(#REF!+#REF!+#REF!+预安排!#REF!+#REF!+'6月'!T61,5)</f>
        <v/>
      </c>
      <c r="U61" s="182">
        <f>ROUND(#REF!+#REF!+#REF!+预安排!O66+#REF!+'6月'!U61,5)</f>
        <v/>
      </c>
      <c r="V61" s="182">
        <f>ROUND(#REF!+#REF!+#REF!+预安排!P66+#REF!+'6月'!V61,5)</f>
        <v/>
      </c>
      <c r="W61" s="182">
        <f>ROUND(#REF!+#REF!+#REF!+预安排!Q66+#REF!+'6月'!W61,5)</f>
        <v/>
      </c>
      <c r="X61" s="182">
        <f>ROUND(#REF!+#REF!+#REF!+预安排!R66+#REF!+'6月'!X61,5)</f>
        <v/>
      </c>
      <c r="Y61" s="182">
        <f>ROUND(#REF!+#REF!+#REF!+预安排!S66+#REF!+'6月'!Y61,5)</f>
        <v/>
      </c>
      <c r="Z61" s="182">
        <f>ROUND(#REF!+#REF!+#REF!+预安排!#REF!+#REF!+'6月'!Z61,5)</f>
        <v/>
      </c>
      <c r="AA61" s="182">
        <f>ROUND(#REF!+#REF!+#REF!+预安排!#REF!+#REF!+'6月'!AA61,5)</f>
        <v/>
      </c>
      <c r="AB61" s="182">
        <f>ROUND(#REF!+#REF!+#REF!+预安排!#REF!+#REF!+'6月'!AB61,5)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193">
        <f>计划!O61-O61</f>
        <v/>
      </c>
      <c r="AH61" s="193">
        <f>ROUND(AG61/$AH$1,2)</f>
        <v/>
      </c>
    </row>
    <row r="62" customFormat="1" s="1">
      <c r="A62" s="235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196">
        <f>计划!O62-O62</f>
        <v/>
      </c>
      <c r="AH62" s="196">
        <f>ROUND(AG62/$AH$1,2)</f>
        <v/>
      </c>
    </row>
    <row r="63" customFormat="1" s="1">
      <c r="A63" s="25" t="inlineStr">
        <is>
          <t>深圳</t>
        </is>
      </c>
      <c r="B63" s="231" t="inlineStr">
        <is>
          <t>SKU-BBC3DCE6</t>
        </is>
      </c>
      <c r="C63" s="231" t="inlineStr">
        <is>
          <t>是</t>
        </is>
      </c>
      <c r="D63" s="231" t="n">
        <v>8</v>
      </c>
      <c r="E63" s="231" t="inlineStr">
        <is>
          <t>是</t>
        </is>
      </c>
      <c r="F63" s="231" t="inlineStr"/>
      <c r="G63" s="231" t="inlineStr"/>
      <c r="H63" s="231" t="inlineStr"/>
      <c r="I63" s="231" t="inlineStr">
        <is>
          <t>是</t>
        </is>
      </c>
      <c r="J63" s="27" t="inlineStr"/>
      <c r="K63" s="27" t="inlineStr"/>
      <c r="L63" s="231" t="n">
        <v>100</v>
      </c>
      <c r="M63" s="19" t="inlineStr">
        <is>
          <t>Product-3237B6F2</t>
        </is>
      </c>
      <c r="N63" s="231" t="n">
        <v>1</v>
      </c>
      <c r="O63" s="181">
        <f>SUM(P63:AB63)</f>
        <v/>
      </c>
      <c r="P63" s="182">
        <f>ROUND(#REF!+#REF!+#REF!+预安排!F68+#REF!+'6月'!P63,5)</f>
        <v/>
      </c>
      <c r="Q63" s="182">
        <f>ROUND(#REF!+#REF!+#REF!+预安排!#REF!+#REF!+'6月'!Q63,5)</f>
        <v/>
      </c>
      <c r="R63" s="182">
        <f>ROUND(#REF!+#REF!+#REF!+预安排!G68+#REF!+'6月'!R63,5)</f>
        <v/>
      </c>
      <c r="S63" s="182">
        <f>ROUND(#REF!+#REF!+#REF!+预安排!#REF!+#REF!+'6月'!S63,5)</f>
        <v/>
      </c>
      <c r="T63" s="182">
        <f>ROUND(#REF!+#REF!+#REF!+预安排!#REF!+#REF!+'6月'!T63,5)</f>
        <v/>
      </c>
      <c r="U63" s="182">
        <f>ROUND(#REF!+#REF!+#REF!+预安排!O68+#REF!+'6月'!U63,5)</f>
        <v/>
      </c>
      <c r="V63" s="182">
        <f>ROUND(#REF!+#REF!+#REF!+预安排!P68+#REF!+'6月'!V63,5)</f>
        <v/>
      </c>
      <c r="W63" s="182">
        <f>ROUND(#REF!+#REF!+#REF!+预安排!Q68+#REF!+'6月'!W63,5)</f>
        <v/>
      </c>
      <c r="X63" s="182">
        <f>ROUND(#REF!+#REF!+#REF!+预安排!R68+#REF!+'6月'!X63,5)</f>
        <v/>
      </c>
      <c r="Y63" s="182">
        <f>ROUND(#REF!+#REF!+#REF!+预安排!S68+#REF!+'6月'!Y63,5)</f>
        <v/>
      </c>
      <c r="Z63" s="182">
        <f>ROUND(#REF!+#REF!+#REF!+预安排!#REF!+#REF!+'6月'!Z63,5)</f>
        <v/>
      </c>
      <c r="AA63" s="182">
        <f>ROUND(#REF!+#REF!+#REF!+预安排!#REF!+#REF!+'6月'!AA63,5)</f>
        <v/>
      </c>
      <c r="AB63" s="182">
        <f>ROUND(#REF!+#REF!+#REF!+预安排!#REF!+#REF!+'6月'!AB63,5)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193">
        <f>计划!O63-O63</f>
        <v/>
      </c>
      <c r="AH63" s="193">
        <f>ROUND(AG63/$AH$1,2)</f>
        <v/>
      </c>
    </row>
    <row r="64" customFormat="1" s="1">
      <c r="A64" s="234" t="n"/>
      <c r="B64" s="231" t="inlineStr">
        <is>
          <t>SKU-B505F1AF</t>
        </is>
      </c>
      <c r="C64" s="231" t="inlineStr">
        <is>
          <t>是</t>
        </is>
      </c>
      <c r="D64" s="231" t="n">
        <v>10</v>
      </c>
      <c r="E64" s="231" t="inlineStr"/>
      <c r="F64" s="231" t="inlineStr">
        <is>
          <t>是</t>
        </is>
      </c>
      <c r="G64" s="231" t="inlineStr"/>
      <c r="H64" s="231" t="inlineStr"/>
      <c r="I64" s="231" t="inlineStr">
        <is>
          <t>是</t>
        </is>
      </c>
      <c r="J64" s="27" t="inlineStr"/>
      <c r="K64" s="27" t="inlineStr"/>
      <c r="L64" s="231" t="n">
        <v>100</v>
      </c>
      <c r="M64" s="19" t="inlineStr">
        <is>
          <t>Product-3EEAD3B7</t>
        </is>
      </c>
      <c r="N64" s="231" t="n">
        <v>1</v>
      </c>
      <c r="O64" s="181">
        <f>SUM(P64:AB64)</f>
        <v/>
      </c>
      <c r="P64" s="182">
        <f>ROUND(#REF!+#REF!+#REF!+预安排!F69+#REF!+'6月'!P64,5)</f>
        <v/>
      </c>
      <c r="Q64" s="182">
        <f>ROUND(#REF!+#REF!+#REF!+预安排!#REF!+#REF!+'6月'!Q64,5)</f>
        <v/>
      </c>
      <c r="R64" s="182">
        <f>ROUND(#REF!+#REF!+#REF!+预安排!G69+#REF!+'6月'!R64,5)</f>
        <v/>
      </c>
      <c r="S64" s="182">
        <f>ROUND(#REF!+#REF!+#REF!+预安排!#REF!+#REF!+'6月'!S64,5)</f>
        <v/>
      </c>
      <c r="T64" s="182">
        <f>ROUND(#REF!+#REF!+#REF!+预安排!#REF!+#REF!+'6月'!T64,5)</f>
        <v/>
      </c>
      <c r="U64" s="182">
        <f>ROUND(#REF!+#REF!+#REF!+预安排!O69+#REF!+'6月'!U64,5)</f>
        <v/>
      </c>
      <c r="V64" s="182">
        <f>ROUND(#REF!+#REF!+#REF!+预安排!P69+#REF!+'6月'!V64,5)</f>
        <v/>
      </c>
      <c r="W64" s="182">
        <f>ROUND(#REF!+#REF!+#REF!+预安排!Q69+#REF!+'6月'!W64,5)</f>
        <v/>
      </c>
      <c r="X64" s="182">
        <f>ROUND(#REF!+#REF!+#REF!+预安排!R69+#REF!+'6月'!X64,5)</f>
        <v/>
      </c>
      <c r="Y64" s="182">
        <f>ROUND(#REF!+#REF!+#REF!+预安排!S69+#REF!+'6月'!Y64,5)</f>
        <v/>
      </c>
      <c r="Z64" s="182">
        <f>ROUND(#REF!+#REF!+#REF!+预安排!#REF!+#REF!+'6月'!Z64,5)</f>
        <v/>
      </c>
      <c r="AA64" s="182">
        <f>ROUND(#REF!+#REF!+#REF!+预安排!#REF!+#REF!+'6月'!AA64,5)</f>
        <v/>
      </c>
      <c r="AB64" s="182">
        <f>ROUND(#REF!+#REF!+#REF!+预安排!#REF!+#REF!+'6月'!AB64,5)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193">
        <f>计划!O64-O64</f>
        <v/>
      </c>
      <c r="AH64" s="193">
        <f>ROUND(AG64/$AH$1,2)</f>
        <v/>
      </c>
    </row>
    <row r="65" customFormat="1" s="1">
      <c r="A65" s="235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196">
        <f>计划!O65-O65</f>
        <v/>
      </c>
      <c r="AH65" s="196">
        <f>ROUND(AG65/$AH$1,2)</f>
        <v/>
      </c>
    </row>
    <row r="66" customFormat="1" s="1">
      <c r="A66" s="25" t="inlineStr">
        <is>
          <t>甘肃</t>
        </is>
      </c>
      <c r="B66" s="231" t="inlineStr">
        <is>
          <t>SKU-ADBD66B8</t>
        </is>
      </c>
      <c r="C66" s="231" t="inlineStr">
        <is>
          <t>是</t>
        </is>
      </c>
      <c r="D66" s="231" t="n">
        <v>6</v>
      </c>
      <c r="E66" s="231" t="inlineStr"/>
      <c r="F66" s="231" t="inlineStr"/>
      <c r="G66" s="231" t="inlineStr"/>
      <c r="H66" s="231" t="inlineStr"/>
      <c r="I66" s="231" t="inlineStr"/>
      <c r="J66" s="27" t="inlineStr"/>
      <c r="K66" s="27" t="inlineStr"/>
      <c r="L66" s="231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>
        <f>ROUND(#REF!+#REF!+#REF!+预安排!F71+#REF!+'6月'!P66,5)</f>
        <v/>
      </c>
      <c r="Q66" s="182">
        <f>ROUND(#REF!+#REF!+#REF!+预安排!#REF!+#REF!+'6月'!Q66,5)</f>
        <v/>
      </c>
      <c r="R66" s="182">
        <f>ROUND(#REF!+#REF!+#REF!+预安排!G71+#REF!+'6月'!R66,5)</f>
        <v/>
      </c>
      <c r="S66" s="182">
        <f>ROUND(#REF!+#REF!+#REF!+预安排!#REF!+#REF!+'6月'!S66,5)</f>
        <v/>
      </c>
      <c r="T66" s="182">
        <f>ROUND(#REF!+#REF!+#REF!+预安排!#REF!+#REF!+'6月'!T66,5)</f>
        <v/>
      </c>
      <c r="U66" s="182">
        <f>ROUND(#REF!+#REF!+#REF!+预安排!O71+#REF!+'6月'!U66,5)</f>
        <v/>
      </c>
      <c r="V66" s="182">
        <f>ROUND(#REF!+#REF!+#REF!+预安排!P71+#REF!+'6月'!V66,5)</f>
        <v/>
      </c>
      <c r="W66" s="182">
        <f>ROUND(#REF!+#REF!+#REF!+预安排!Q71+#REF!+'6月'!W66,5)</f>
        <v/>
      </c>
      <c r="X66" s="182">
        <f>ROUND(#REF!+#REF!+#REF!+预安排!R71+#REF!+'6月'!X66,5)</f>
        <v/>
      </c>
      <c r="Y66" s="182">
        <f>ROUND(#REF!+#REF!+#REF!+预安排!S71+#REF!+'6月'!Y66,5)</f>
        <v/>
      </c>
      <c r="Z66" s="182">
        <f>ROUND(#REF!+#REF!+#REF!+预安排!#REF!+#REF!+'6月'!Z66,5)</f>
        <v/>
      </c>
      <c r="AA66" s="182">
        <f>ROUND(#REF!+#REF!+#REF!+预安排!#REF!+#REF!+'6月'!AA66,5)</f>
        <v/>
      </c>
      <c r="AB66" s="182">
        <f>ROUND(#REF!+#REF!+#REF!+预安排!#REF!+#REF!+'6月'!AB66,5)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193">
        <f>计划!O66-O66</f>
        <v/>
      </c>
      <c r="AH66" s="193">
        <f>ROUND(AG66/$AH$1,2)</f>
        <v/>
      </c>
    </row>
    <row r="67" customFormat="1" s="1">
      <c r="A67" s="234" t="n"/>
      <c r="B67" s="231" t="inlineStr">
        <is>
          <t>SKU-77309807</t>
        </is>
      </c>
      <c r="C67" s="231" t="inlineStr">
        <is>
          <t>是</t>
        </is>
      </c>
      <c r="D67" s="231" t="n">
        <v>8</v>
      </c>
      <c r="E67" s="231" t="inlineStr"/>
      <c r="F67" s="231" t="inlineStr"/>
      <c r="G67" s="231" t="inlineStr"/>
      <c r="H67" s="231" t="inlineStr"/>
      <c r="I67" s="231" t="inlineStr"/>
      <c r="J67" s="27" t="inlineStr">
        <is>
          <t>共</t>
        </is>
      </c>
      <c r="K67" s="27" t="inlineStr"/>
      <c r="L67" s="231" t="n">
        <v>100</v>
      </c>
      <c r="M67" s="19" t="inlineStr">
        <is>
          <t>Product-569CC6FE</t>
        </is>
      </c>
      <c r="N67" s="231" t="n">
        <v>2</v>
      </c>
      <c r="O67" s="181">
        <f>SUM(P67:AB67)</f>
        <v/>
      </c>
      <c r="P67" s="182">
        <f>ROUND(#REF!+#REF!+#REF!+预安排!F72+#REF!+'6月'!P67,5)</f>
        <v/>
      </c>
      <c r="Q67" s="182">
        <f>ROUND(#REF!+#REF!+#REF!+预安排!#REF!+#REF!+'6月'!Q67,5)</f>
        <v/>
      </c>
      <c r="R67" s="182">
        <f>ROUND(#REF!+#REF!+#REF!+预安排!G72+#REF!+'6月'!R67,5)</f>
        <v/>
      </c>
      <c r="S67" s="182">
        <f>ROUND(#REF!+#REF!+#REF!+预安排!#REF!+#REF!+'6月'!S67,5)</f>
        <v/>
      </c>
      <c r="T67" s="182">
        <f>ROUND(#REF!+#REF!+#REF!+预安排!#REF!+#REF!+'6月'!T67,5)</f>
        <v/>
      </c>
      <c r="U67" s="182">
        <f>ROUND(#REF!+#REF!+#REF!+预安排!O72+#REF!+'6月'!U67,5)</f>
        <v/>
      </c>
      <c r="V67" s="182">
        <f>ROUND(#REF!+#REF!+#REF!+预安排!P72+#REF!+'6月'!V67,5)</f>
        <v/>
      </c>
      <c r="W67" s="182">
        <f>ROUND(#REF!+#REF!+#REF!+预安排!Q72+#REF!+'6月'!W67,5)</f>
        <v/>
      </c>
      <c r="X67" s="182">
        <f>ROUND(#REF!+#REF!+#REF!+预安排!R72+#REF!+'6月'!X67,5)</f>
        <v/>
      </c>
      <c r="Y67" s="182">
        <f>ROUND(#REF!+#REF!+#REF!+预安排!S72+#REF!+'6月'!Y67,5)</f>
        <v/>
      </c>
      <c r="Z67" s="182">
        <f>ROUND(#REF!+#REF!+#REF!+预安排!#REF!+#REF!+'6月'!Z67,5)</f>
        <v/>
      </c>
      <c r="AA67" s="182">
        <f>ROUND(#REF!+#REF!+#REF!+预安排!#REF!+#REF!+'6月'!AA67,5)</f>
        <v/>
      </c>
      <c r="AB67" s="182">
        <f>ROUND(#REF!+#REF!+#REF!+预安排!#REF!+#REF!+'6月'!AB67,5)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  <c r="AG67" s="193">
        <f>计划!O67-O67</f>
        <v/>
      </c>
      <c r="AH67" s="193">
        <f>ROUND(AG67/$AH$1,2)</f>
        <v/>
      </c>
    </row>
    <row r="68" customFormat="1" s="1">
      <c r="A68" s="234" t="n"/>
      <c r="B68" s="231" t="inlineStr">
        <is>
          <t>SKU-20CF6943</t>
        </is>
      </c>
      <c r="C68" s="231" t="inlineStr">
        <is>
          <t>是</t>
        </is>
      </c>
      <c r="D68" s="231" t="n">
        <v>8</v>
      </c>
      <c r="E68" s="231" t="inlineStr"/>
      <c r="F68" s="231" t="inlineStr"/>
      <c r="G68" s="231" t="inlineStr"/>
      <c r="H68" s="231" t="inlineStr">
        <is>
          <t>是</t>
        </is>
      </c>
      <c r="I68" s="231" t="inlineStr">
        <is>
          <t>是</t>
        </is>
      </c>
      <c r="J68" s="27" t="inlineStr"/>
      <c r="K68" s="27" t="inlineStr"/>
      <c r="L68" s="231" t="n">
        <v>100</v>
      </c>
      <c r="M68" s="19" t="inlineStr">
        <is>
          <t>Product-D195C7CE</t>
        </is>
      </c>
      <c r="N68" s="231" t="n">
        <v>3</v>
      </c>
      <c r="O68" s="181">
        <f>SUM(P68:AB68)</f>
        <v/>
      </c>
      <c r="P68" s="182">
        <f>ROUND(#REF!+#REF!+#REF!+预安排!F73+#REF!+'6月'!P68,5)</f>
        <v/>
      </c>
      <c r="Q68" s="182">
        <f>ROUND(#REF!+#REF!+#REF!+预安排!#REF!+#REF!+'6月'!Q68,5)</f>
        <v/>
      </c>
      <c r="R68" s="182">
        <f>ROUND(#REF!+#REF!+#REF!+预安排!G73+#REF!+'6月'!R68,5)</f>
        <v/>
      </c>
      <c r="S68" s="182">
        <f>ROUND(#REF!+#REF!+#REF!+预安排!#REF!+#REF!+'6月'!S68,5)</f>
        <v/>
      </c>
      <c r="T68" s="182">
        <f>ROUND(#REF!+#REF!+#REF!+预安排!#REF!+#REF!+'6月'!T68,5)</f>
        <v/>
      </c>
      <c r="U68" s="182">
        <f>ROUND(#REF!+#REF!+#REF!+预安排!O73+#REF!+'6月'!U68,5)</f>
        <v/>
      </c>
      <c r="V68" s="182">
        <f>ROUND(#REF!+#REF!+#REF!+预安排!P73+#REF!+'6月'!V68,5)</f>
        <v/>
      </c>
      <c r="W68" s="182">
        <f>ROUND(#REF!+#REF!+#REF!+预安排!Q73+#REF!+'6月'!W68,5)</f>
        <v/>
      </c>
      <c r="X68" s="182">
        <f>ROUND(#REF!+#REF!+#REF!+预安排!R73+#REF!+'6月'!X68,5)</f>
        <v/>
      </c>
      <c r="Y68" s="182">
        <f>ROUND(#REF!+#REF!+#REF!+预安排!S73+#REF!+'6月'!Y68,5)</f>
        <v/>
      </c>
      <c r="Z68" s="182">
        <f>ROUND(#REF!+#REF!+#REF!+预安排!#REF!+#REF!+'6月'!Z68,5)</f>
        <v/>
      </c>
      <c r="AA68" s="182">
        <f>ROUND(#REF!+#REF!+#REF!+预安排!#REF!+#REF!+'6月'!AA68,5)</f>
        <v/>
      </c>
      <c r="AB68" s="182">
        <f>ROUND(#REF!+#REF!+#REF!+预安排!#REF!+#REF!+'6月'!AB68,5)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  <c r="AG68" s="193">
        <f>计划!O68-O68</f>
        <v/>
      </c>
      <c r="AH68" s="193">
        <f>ROUND(AG68/$AH$1,2)</f>
        <v/>
      </c>
    </row>
    <row r="69" customFormat="1" s="1">
      <c r="A69" s="234" t="n"/>
      <c r="B69" s="231" t="inlineStr">
        <is>
          <t>SKU-64A5E460</t>
        </is>
      </c>
      <c r="C69" s="231" t="inlineStr">
        <is>
          <t>是</t>
        </is>
      </c>
      <c r="D69" s="231" t="n">
        <v>8</v>
      </c>
      <c r="E69" s="231" t="inlineStr"/>
      <c r="F69" s="231" t="inlineStr">
        <is>
          <t>是</t>
        </is>
      </c>
      <c r="G69" s="231" t="inlineStr"/>
      <c r="H69" s="231" t="inlineStr"/>
      <c r="I69" s="231" t="inlineStr">
        <is>
          <t>是</t>
        </is>
      </c>
      <c r="J69" s="27" t="inlineStr"/>
      <c r="K69" s="27" t="inlineStr"/>
      <c r="L69" s="231" t="n">
        <v>100</v>
      </c>
      <c r="M69" s="19" t="inlineStr">
        <is>
          <t>Product-6C74D635</t>
        </is>
      </c>
      <c r="N69" s="231" t="n">
        <v>1</v>
      </c>
      <c r="O69" s="181">
        <f>SUM(P69:AB69)</f>
        <v/>
      </c>
      <c r="P69" s="182">
        <f>ROUND(#REF!+#REF!+#REF!+预安排!F74+#REF!+'6月'!P69,5)</f>
        <v/>
      </c>
      <c r="Q69" s="182">
        <f>ROUND(#REF!+#REF!+#REF!+预安排!#REF!+#REF!+'6月'!Q69,5)</f>
        <v/>
      </c>
      <c r="R69" s="182">
        <f>ROUND(#REF!+#REF!+#REF!+预安排!G74+#REF!+'6月'!R69,5)</f>
        <v/>
      </c>
      <c r="S69" s="182">
        <f>ROUND(#REF!+#REF!+#REF!+预安排!#REF!+#REF!+'6月'!S69,5)</f>
        <v/>
      </c>
      <c r="T69" s="182">
        <f>ROUND(#REF!+#REF!+#REF!+预安排!#REF!+#REF!+'6月'!T69,5)</f>
        <v/>
      </c>
      <c r="U69" s="182">
        <f>ROUND(#REF!+#REF!+#REF!+预安排!O74+#REF!+'6月'!U69,5)</f>
        <v/>
      </c>
      <c r="V69" s="182">
        <f>ROUND(#REF!+#REF!+#REF!+预安排!P74+#REF!+'6月'!V69,5)</f>
        <v/>
      </c>
      <c r="W69" s="182">
        <f>ROUND(#REF!+#REF!+#REF!+预安排!Q74+#REF!+'6月'!W69,5)</f>
        <v/>
      </c>
      <c r="X69" s="182">
        <f>ROUND(#REF!+#REF!+#REF!+预安排!R74+#REF!+'6月'!X69,5)</f>
        <v/>
      </c>
      <c r="Y69" s="182">
        <f>ROUND(#REF!+#REF!+#REF!+预安排!S74+#REF!+'6月'!Y69,5)</f>
        <v/>
      </c>
      <c r="Z69" s="182">
        <f>ROUND(#REF!+#REF!+#REF!+预安排!#REF!+#REF!+'6月'!Z69,5)</f>
        <v/>
      </c>
      <c r="AA69" s="182">
        <f>ROUND(#REF!+#REF!+#REF!+预安排!#REF!+#REF!+'6月'!AA69,5)</f>
        <v/>
      </c>
      <c r="AB69" s="182">
        <f>ROUND(#REF!+#REF!+#REF!+预安排!#REF!+#REF!+'6月'!AB69,5)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193">
        <f>计划!O69-O69</f>
        <v/>
      </c>
      <c r="AH69" s="193">
        <f>ROUND(AG69/$AH$1,2)</f>
        <v/>
      </c>
    </row>
    <row r="70" customFormat="1" s="1">
      <c r="A70" s="235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196">
        <f>计划!O70-O70</f>
        <v/>
      </c>
      <c r="AH70" s="196">
        <f>ROUND(AG70/$AH$1,2)</f>
        <v/>
      </c>
    </row>
    <row r="71" customFormat="1" s="1">
      <c r="A71" s="60" t="inlineStr">
        <is>
          <t>黑龙江</t>
        </is>
      </c>
      <c r="B71" s="231" t="inlineStr">
        <is>
          <t>SKU-D485CCCA</t>
        </is>
      </c>
      <c r="C71" s="231" t="inlineStr"/>
      <c r="D71" s="231" t="n">
        <v>10</v>
      </c>
      <c r="E71" s="231" t="inlineStr"/>
      <c r="F71" s="231" t="inlineStr">
        <is>
          <t>是</t>
        </is>
      </c>
      <c r="G71" s="231" t="inlineStr"/>
      <c r="H71" s="231" t="inlineStr"/>
      <c r="I71" s="231" t="inlineStr">
        <is>
          <t>是</t>
        </is>
      </c>
      <c r="J71" s="27" t="inlineStr"/>
      <c r="K71" s="27" t="inlineStr"/>
      <c r="L71" s="231" t="n">
        <v>100</v>
      </c>
      <c r="M71" s="19" t="inlineStr">
        <is>
          <t>Product-05507059</t>
        </is>
      </c>
      <c r="N71" s="231" t="n">
        <v>3</v>
      </c>
      <c r="O71" s="181">
        <f>SUM(P71:AB71)</f>
        <v/>
      </c>
      <c r="P71" s="182">
        <f>ROUND(#REF!+#REF!+#REF!+预安排!F76+#REF!+'6月'!P71,5)</f>
        <v/>
      </c>
      <c r="Q71" s="182">
        <f>ROUND(#REF!+#REF!+#REF!+预安排!#REF!+#REF!+'6月'!Q71,5)</f>
        <v/>
      </c>
      <c r="R71" s="182">
        <f>ROUND(#REF!+#REF!+#REF!+预安排!G76+#REF!+'6月'!R71,5)</f>
        <v/>
      </c>
      <c r="S71" s="182">
        <f>ROUND(#REF!+#REF!+#REF!+预安排!#REF!+#REF!+'6月'!S71,5)</f>
        <v/>
      </c>
      <c r="T71" s="182">
        <f>ROUND(#REF!+#REF!+#REF!+预安排!#REF!+#REF!+'6月'!T71,5)</f>
        <v/>
      </c>
      <c r="U71" s="182">
        <f>ROUND(#REF!+#REF!+#REF!+预安排!O76+#REF!+'6月'!U71,5)</f>
        <v/>
      </c>
      <c r="V71" s="182">
        <f>ROUND(#REF!+#REF!+#REF!+预安排!P76+#REF!+'6月'!V71,5)</f>
        <v/>
      </c>
      <c r="W71" s="182">
        <f>ROUND(#REF!+#REF!+#REF!+预安排!Q76+#REF!+'6月'!W71,5)</f>
        <v/>
      </c>
      <c r="X71" s="182">
        <f>ROUND(#REF!+#REF!+#REF!+预安排!R76+#REF!+'6月'!X71,5)</f>
        <v/>
      </c>
      <c r="Y71" s="182">
        <f>ROUND(#REF!+#REF!+#REF!+预安排!S76+#REF!+'6月'!Y71,5)</f>
        <v/>
      </c>
      <c r="Z71" s="182">
        <f>ROUND(#REF!+#REF!+#REF!+预安排!#REF!+#REF!+'6月'!Z71,5)</f>
        <v/>
      </c>
      <c r="AA71" s="182">
        <f>ROUND(#REF!+#REF!+#REF!+预安排!#REF!+#REF!+'6月'!AA71,5)</f>
        <v/>
      </c>
      <c r="AB71" s="182">
        <f>ROUND(#REF!+#REF!+#REF!+预安排!#REF!+#REF!+'6月'!AB71,5)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193">
        <f>计划!O71-O71</f>
        <v/>
      </c>
      <c r="AH71" s="193">
        <f>ROUND(AG71/$AH$1,2)</f>
        <v/>
      </c>
    </row>
    <row r="72" customFormat="1" s="1">
      <c r="A72" s="234" t="n"/>
      <c r="B72" s="231" t="inlineStr">
        <is>
          <t>SKU-66238053</t>
        </is>
      </c>
      <c r="C72" s="231" t="inlineStr"/>
      <c r="D72" s="231" t="n">
        <v>8</v>
      </c>
      <c r="E72" s="231" t="inlineStr">
        <is>
          <t>是</t>
        </is>
      </c>
      <c r="F72" s="231" t="inlineStr"/>
      <c r="G72" s="231" t="inlineStr"/>
      <c r="H72" s="231" t="inlineStr"/>
      <c r="I72" s="231" t="inlineStr">
        <is>
          <t>是</t>
        </is>
      </c>
      <c r="J72" s="27" t="inlineStr"/>
      <c r="K72" s="27" t="inlineStr"/>
      <c r="L72" s="231" t="n">
        <v>100</v>
      </c>
      <c r="M72" s="43" t="inlineStr">
        <is>
          <t>Product-B4F67B70</t>
        </is>
      </c>
      <c r="N72" s="231" t="n">
        <v>2</v>
      </c>
      <c r="O72" s="181">
        <f>SUM(P72:AB72)</f>
        <v/>
      </c>
      <c r="P72" s="182">
        <f>ROUND(#REF!+#REF!+#REF!+预安排!F77+#REF!+'6月'!P72,5)</f>
        <v/>
      </c>
      <c r="Q72" s="182">
        <f>ROUND(#REF!+#REF!+#REF!+预安排!#REF!+#REF!+'6月'!Q72,5)</f>
        <v/>
      </c>
      <c r="R72" s="182">
        <f>ROUND(#REF!+#REF!+#REF!+预安排!G77+#REF!+'6月'!R72,5)</f>
        <v/>
      </c>
      <c r="S72" s="182">
        <f>ROUND(#REF!+#REF!+#REF!+预安排!#REF!+#REF!+'6月'!S72,5)</f>
        <v/>
      </c>
      <c r="T72" s="182">
        <f>ROUND(#REF!+#REF!+#REF!+预安排!#REF!+#REF!+'6月'!T72,5)</f>
        <v/>
      </c>
      <c r="U72" s="182">
        <f>ROUND(#REF!+#REF!+#REF!+预安排!O77+#REF!+'6月'!U72,5)</f>
        <v/>
      </c>
      <c r="V72" s="182">
        <f>ROUND(#REF!+#REF!+#REF!+预安排!P77+#REF!+'6月'!V72,5)</f>
        <v/>
      </c>
      <c r="W72" s="182">
        <f>ROUND(#REF!+#REF!+#REF!+预安排!Q77+#REF!+'6月'!W72,5)</f>
        <v/>
      </c>
      <c r="X72" s="182">
        <f>ROUND(#REF!+#REF!+#REF!+预安排!R77+#REF!+'6月'!X72,5)</f>
        <v/>
      </c>
      <c r="Y72" s="182">
        <f>ROUND(#REF!+#REF!+#REF!+预安排!S77+#REF!+'6月'!Y72,5)</f>
        <v/>
      </c>
      <c r="Z72" s="182">
        <f>ROUND(#REF!+#REF!+#REF!+预安排!#REF!+#REF!+'6月'!Z72,5)</f>
        <v/>
      </c>
      <c r="AA72" s="182">
        <f>ROUND(#REF!+#REF!+#REF!+预安排!#REF!+#REF!+'6月'!AA72,5)</f>
        <v/>
      </c>
      <c r="AB72" s="182">
        <f>ROUND(#REF!+#REF!+#REF!+预安排!#REF!+#REF!+'6月'!AB72,5)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193">
        <f>计划!O72-O72</f>
        <v/>
      </c>
      <c r="AH72" s="193">
        <f>ROUND(AG72/$AH$1,2)</f>
        <v/>
      </c>
    </row>
    <row r="73" customFormat="1" s="1">
      <c r="A73" s="234" t="n"/>
      <c r="B73" s="231" t="inlineStr">
        <is>
          <t>SKU-AEC03642</t>
        </is>
      </c>
      <c r="C73" s="231" t="inlineStr"/>
      <c r="D73" s="231" t="n">
        <v>8</v>
      </c>
      <c r="E73" s="231" t="inlineStr"/>
      <c r="F73" s="231" t="inlineStr">
        <is>
          <t>是</t>
        </is>
      </c>
      <c r="G73" s="231" t="inlineStr"/>
      <c r="H73" s="231" t="inlineStr"/>
      <c r="I73" s="231" t="inlineStr">
        <is>
          <t>是</t>
        </is>
      </c>
      <c r="J73" s="27" t="inlineStr"/>
      <c r="K73" s="27" t="inlineStr"/>
      <c r="L73" s="231" t="n">
        <v>100</v>
      </c>
      <c r="M73" s="45" t="inlineStr">
        <is>
          <t>Product-5A4A091A</t>
        </is>
      </c>
      <c r="N73" s="231" t="n">
        <v>1</v>
      </c>
      <c r="O73" s="181">
        <f>SUM(P73:AB73)</f>
        <v/>
      </c>
      <c r="P73" s="182">
        <f>ROUND(#REF!+#REF!+#REF!+预安排!F78+#REF!+'6月'!P73,5)</f>
        <v/>
      </c>
      <c r="Q73" s="182">
        <f>ROUND(#REF!+#REF!+#REF!+预安排!#REF!+#REF!+'6月'!Q73,5)</f>
        <v/>
      </c>
      <c r="R73" s="182">
        <f>ROUND(#REF!+#REF!+#REF!+预安排!G78+#REF!+'6月'!R73,5)</f>
        <v/>
      </c>
      <c r="S73" s="182">
        <f>ROUND(#REF!+#REF!+#REF!+预安排!#REF!+#REF!+'6月'!S73,5)</f>
        <v/>
      </c>
      <c r="T73" s="182">
        <f>ROUND(#REF!+#REF!+#REF!+预安排!#REF!+#REF!+'6月'!T73,5)</f>
        <v/>
      </c>
      <c r="U73" s="182">
        <f>ROUND(#REF!+#REF!+#REF!+预安排!O78+#REF!+'6月'!U73,5)</f>
        <v/>
      </c>
      <c r="V73" s="182">
        <f>ROUND(#REF!+#REF!+#REF!+预安排!P78+#REF!+'6月'!V73,5)</f>
        <v/>
      </c>
      <c r="W73" s="182">
        <f>ROUND(#REF!+#REF!+#REF!+预安排!Q78+#REF!+'6月'!W73,5)</f>
        <v/>
      </c>
      <c r="X73" s="182">
        <f>ROUND(#REF!+#REF!+#REF!+预安排!R78+#REF!+'6月'!X73,5)</f>
        <v/>
      </c>
      <c r="Y73" s="182">
        <f>ROUND(#REF!+#REF!+#REF!+预安排!S78+#REF!+'6月'!Y73,5)</f>
        <v/>
      </c>
      <c r="Z73" s="182">
        <f>ROUND(#REF!+#REF!+#REF!+预安排!#REF!+#REF!+'6月'!Z73,5)</f>
        <v/>
      </c>
      <c r="AA73" s="182">
        <f>ROUND(#REF!+#REF!+#REF!+预安排!#REF!+#REF!+'6月'!AA73,5)</f>
        <v/>
      </c>
      <c r="AB73" s="182">
        <f>ROUND(#REF!+#REF!+#REF!+预安排!#REF!+#REF!+'6月'!AB73,5)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193">
        <f>计划!O73-O73</f>
        <v/>
      </c>
      <c r="AH73" s="193">
        <f>ROUND(AG73/$AH$1,2)</f>
        <v/>
      </c>
    </row>
    <row r="74" customFormat="1" s="1">
      <c r="A74" s="235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196">
        <f>计划!O74-O74</f>
        <v/>
      </c>
      <c r="AH74" s="196">
        <f>ROUND(AG74/$AH$1,2)</f>
        <v/>
      </c>
    </row>
    <row r="75" customFormat="1" s="1">
      <c r="A75" s="25" t="inlineStr">
        <is>
          <t>内蒙</t>
        </is>
      </c>
      <c r="B75" s="231" t="inlineStr">
        <is>
          <t>SKU-6FADBEBD</t>
        </is>
      </c>
      <c r="C75" s="231" t="inlineStr">
        <is>
          <t>是</t>
        </is>
      </c>
      <c r="D75" s="231" t="n">
        <v>5</v>
      </c>
      <c r="E75" s="231" t="inlineStr">
        <is>
          <t>是</t>
        </is>
      </c>
      <c r="F75" s="231" t="inlineStr"/>
      <c r="G75" s="231" t="inlineStr"/>
      <c r="H75" s="231" t="inlineStr"/>
      <c r="I75" s="231" t="inlineStr">
        <is>
          <t>是</t>
        </is>
      </c>
      <c r="J75" s="27" t="inlineStr">
        <is>
          <t>共</t>
        </is>
      </c>
      <c r="K75" s="27" t="inlineStr"/>
      <c r="L75" s="231" t="n">
        <v>100</v>
      </c>
      <c r="M75" s="19" t="inlineStr">
        <is>
          <t>Product-224E6368</t>
        </is>
      </c>
      <c r="N75" s="231" t="n">
        <v>1</v>
      </c>
      <c r="O75" s="181">
        <f>SUM(P75:AB75)</f>
        <v/>
      </c>
      <c r="P75" s="182">
        <f>ROUND(#REF!+#REF!+#REF!+预安排!F80+#REF!+'6月'!P75,5)</f>
        <v/>
      </c>
      <c r="Q75" s="182">
        <f>ROUND(#REF!+#REF!+#REF!+预安排!#REF!+#REF!+'6月'!Q75,5)</f>
        <v/>
      </c>
      <c r="R75" s="182">
        <f>ROUND(#REF!+#REF!+#REF!+预安排!G80+#REF!+'6月'!R75,5)</f>
        <v/>
      </c>
      <c r="S75" s="182">
        <f>ROUND(#REF!+#REF!+#REF!+预安排!#REF!+#REF!+'6月'!S75,5)</f>
        <v/>
      </c>
      <c r="T75" s="182">
        <f>ROUND(#REF!+#REF!+#REF!+预安排!#REF!+#REF!+'6月'!T75,5)</f>
        <v/>
      </c>
      <c r="U75" s="182">
        <f>ROUND(#REF!+#REF!+#REF!+预安排!O80+#REF!+'6月'!U75,5)</f>
        <v/>
      </c>
      <c r="V75" s="182">
        <f>ROUND(#REF!+#REF!+#REF!+预安排!P80+#REF!+'6月'!V75,5)</f>
        <v/>
      </c>
      <c r="W75" s="182">
        <f>ROUND(#REF!+#REF!+#REF!+预安排!Q80+#REF!+'6月'!W75,5)</f>
        <v/>
      </c>
      <c r="X75" s="182">
        <f>ROUND(#REF!+#REF!+#REF!+预安排!R80+#REF!+'6月'!X75,5)</f>
        <v/>
      </c>
      <c r="Y75" s="182">
        <f>ROUND(#REF!+#REF!+#REF!+预安排!S80+#REF!+'6月'!Y75,5)</f>
        <v/>
      </c>
      <c r="Z75" s="182">
        <f>ROUND(#REF!+#REF!+#REF!+预安排!#REF!+#REF!+'6月'!Z75,5)</f>
        <v/>
      </c>
      <c r="AA75" s="182">
        <f>ROUND(#REF!+#REF!+#REF!+预安排!#REF!+#REF!+'6月'!AA75,5)</f>
        <v/>
      </c>
      <c r="AB75" s="182">
        <f>ROUND(#REF!+#REF!+#REF!+预安排!#REF!+#REF!+'6月'!AB75,5)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193">
        <f>计划!O75-O75</f>
        <v/>
      </c>
      <c r="AH75" s="193">
        <f>ROUND(AG75/$AH$1,2)</f>
        <v/>
      </c>
    </row>
    <row r="76" customFormat="1" s="1">
      <c r="A76" s="234" t="n"/>
      <c r="B76" s="231" t="inlineStr">
        <is>
          <t>SKU-6772DEBE</t>
        </is>
      </c>
      <c r="C76" s="231" t="inlineStr">
        <is>
          <t>是</t>
        </is>
      </c>
      <c r="D76" s="231" t="n">
        <v>6</v>
      </c>
      <c r="E76" s="231" t="inlineStr"/>
      <c r="F76" s="231" t="inlineStr">
        <is>
          <t>是</t>
        </is>
      </c>
      <c r="G76" s="231" t="inlineStr"/>
      <c r="H76" s="231" t="inlineStr"/>
      <c r="I76" s="231" t="inlineStr">
        <is>
          <t>是</t>
        </is>
      </c>
      <c r="J76" s="27" t="inlineStr"/>
      <c r="K76" s="27" t="inlineStr"/>
      <c r="L76" s="231" t="n">
        <v>100</v>
      </c>
      <c r="M76" s="19" t="inlineStr">
        <is>
          <t>Product-82693D22</t>
        </is>
      </c>
      <c r="N76" s="231" t="n">
        <v>1</v>
      </c>
      <c r="O76" s="181">
        <f>SUM(P76:AB76)</f>
        <v/>
      </c>
      <c r="P76" s="182">
        <f>ROUND(#REF!+#REF!+#REF!+预安排!F81+#REF!+'6月'!P76,5)</f>
        <v/>
      </c>
      <c r="Q76" s="182">
        <f>ROUND(#REF!+#REF!+#REF!+预安排!#REF!+#REF!+'6月'!Q76,5)</f>
        <v/>
      </c>
      <c r="R76" s="182">
        <f>ROUND(#REF!+#REF!+#REF!+预安排!G81+#REF!+'6月'!R76,5)</f>
        <v/>
      </c>
      <c r="S76" s="182">
        <f>ROUND(#REF!+#REF!+#REF!+预安排!#REF!+#REF!+'6月'!S76,5)</f>
        <v/>
      </c>
      <c r="T76" s="182">
        <f>ROUND(#REF!+#REF!+#REF!+预安排!#REF!+#REF!+'6月'!T76,5)</f>
        <v/>
      </c>
      <c r="U76" s="182">
        <f>ROUND(#REF!+#REF!+#REF!+预安排!O81+#REF!+'6月'!U76,5)</f>
        <v/>
      </c>
      <c r="V76" s="182">
        <f>ROUND(#REF!+#REF!+#REF!+预安排!P81+#REF!+'6月'!V76,5)</f>
        <v/>
      </c>
      <c r="W76" s="182">
        <f>ROUND(#REF!+#REF!+#REF!+预安排!Q81+#REF!+'6月'!W76,5)</f>
        <v/>
      </c>
      <c r="X76" s="182">
        <f>ROUND(#REF!+#REF!+#REF!+预安排!R81+#REF!+'6月'!X76,5)</f>
        <v/>
      </c>
      <c r="Y76" s="182">
        <f>ROUND(#REF!+#REF!+#REF!+预安排!S81+#REF!+'6月'!Y76,5)</f>
        <v/>
      </c>
      <c r="Z76" s="182">
        <f>ROUND(#REF!+#REF!+#REF!+预安排!#REF!+#REF!+'6月'!Z76,5)</f>
        <v/>
      </c>
      <c r="AA76" s="182">
        <f>ROUND(#REF!+#REF!+#REF!+预安排!#REF!+#REF!+'6月'!AA76,5)</f>
        <v/>
      </c>
      <c r="AB76" s="182">
        <f>ROUND(#REF!+#REF!+#REF!+预安排!#REF!+#REF!+'6月'!AB76,5)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193">
        <f>计划!O76-O76</f>
        <v/>
      </c>
      <c r="AH76" s="193">
        <f>ROUND(AG76/$AH$1,2)</f>
        <v/>
      </c>
    </row>
    <row r="77" customFormat="1" s="1">
      <c r="A77" s="234" t="n"/>
      <c r="B77" s="231" t="inlineStr">
        <is>
          <t>SKU-3B2628FE</t>
        </is>
      </c>
      <c r="C77" s="231" t="inlineStr">
        <is>
          <t>是</t>
        </is>
      </c>
      <c r="D77" s="231" t="n">
        <v>8</v>
      </c>
      <c r="E77" s="231" t="inlineStr"/>
      <c r="F77" s="231" t="inlineStr">
        <is>
          <t>是</t>
        </is>
      </c>
      <c r="G77" s="231" t="inlineStr"/>
      <c r="H77" s="231" t="inlineStr"/>
      <c r="I77" s="231" t="inlineStr">
        <is>
          <t>是</t>
        </is>
      </c>
      <c r="J77" s="27" t="inlineStr"/>
      <c r="K77" s="27" t="inlineStr"/>
      <c r="L77" s="231" t="n">
        <v>100</v>
      </c>
      <c r="M77" s="44" t="inlineStr">
        <is>
          <t>Product-F68D7468</t>
        </is>
      </c>
      <c r="N77" s="231" t="n">
        <v>1</v>
      </c>
      <c r="O77" s="181">
        <f>SUM(P77:AB77)</f>
        <v/>
      </c>
      <c r="P77" s="182">
        <f>ROUND(#REF!+#REF!+#REF!+预安排!F82+#REF!+'6月'!P77,5)</f>
        <v/>
      </c>
      <c r="Q77" s="182">
        <f>ROUND(#REF!+#REF!+#REF!+预安排!#REF!+#REF!+'6月'!Q77,5)</f>
        <v/>
      </c>
      <c r="R77" s="182">
        <f>ROUND(#REF!+#REF!+#REF!+预安排!G82+#REF!+'6月'!R77,5)</f>
        <v/>
      </c>
      <c r="S77" s="182">
        <f>ROUND(#REF!+#REF!+#REF!+预安排!#REF!+#REF!+'6月'!S77,5)</f>
        <v/>
      </c>
      <c r="T77" s="182">
        <f>ROUND(#REF!+#REF!+#REF!+预安排!#REF!+#REF!+'6月'!T77,5)</f>
        <v/>
      </c>
      <c r="U77" s="182">
        <f>ROUND(#REF!+#REF!+#REF!+预安排!O82+#REF!+'6月'!U77,5)</f>
        <v/>
      </c>
      <c r="V77" s="182">
        <f>ROUND(#REF!+#REF!+#REF!+预安排!P82+#REF!+'6月'!V77,5)</f>
        <v/>
      </c>
      <c r="W77" s="182">
        <f>ROUND(#REF!+#REF!+#REF!+预安排!Q82+#REF!+'6月'!W77,5)</f>
        <v/>
      </c>
      <c r="X77" s="182">
        <f>ROUND(#REF!+#REF!+#REF!+预安排!R82+#REF!+'6月'!X77,5)</f>
        <v/>
      </c>
      <c r="Y77" s="182">
        <f>ROUND(#REF!+#REF!+#REF!+预安排!S82+#REF!+'6月'!Y77,5)</f>
        <v/>
      </c>
      <c r="Z77" s="182">
        <f>ROUND(#REF!+#REF!+#REF!+预安排!#REF!+#REF!+'6月'!Z77,5)</f>
        <v/>
      </c>
      <c r="AA77" s="182">
        <f>ROUND(#REF!+#REF!+#REF!+预安排!#REF!+#REF!+'6月'!AA77,5)</f>
        <v/>
      </c>
      <c r="AB77" s="182">
        <f>ROUND(#REF!+#REF!+#REF!+预安排!#REF!+#REF!+'6月'!AB77,5)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  <c r="AG77" s="193">
        <f>计划!O77-O77</f>
        <v/>
      </c>
      <c r="AH77" s="193">
        <f>ROUND(AG77/$AH$1,2)</f>
        <v/>
      </c>
    </row>
    <row r="78" customFormat="1" s="1">
      <c r="A78" s="234" t="n"/>
      <c r="B78" s="231" t="inlineStr">
        <is>
          <t>SKU-01CFC7C8</t>
        </is>
      </c>
      <c r="C78" s="231" t="inlineStr">
        <is>
          <t>是</t>
        </is>
      </c>
      <c r="D78" s="231" t="n">
        <v>3</v>
      </c>
      <c r="E78" s="231" t="inlineStr">
        <is>
          <t>是</t>
        </is>
      </c>
      <c r="F78" s="231" t="inlineStr"/>
      <c r="G78" s="231" t="inlineStr"/>
      <c r="H78" s="231" t="inlineStr"/>
      <c r="I78" s="231" t="inlineStr">
        <is>
          <t>是</t>
        </is>
      </c>
      <c r="J78" s="27" t="inlineStr"/>
      <c r="K78" s="27" t="inlineStr"/>
      <c r="L78" s="231" t="n">
        <v>100</v>
      </c>
      <c r="M78" s="19" t="inlineStr">
        <is>
          <t>Product-1385CA82</t>
        </is>
      </c>
      <c r="N78" s="231" t="n">
        <v>1</v>
      </c>
      <c r="O78" s="181">
        <f>SUM(P78:AB78)</f>
        <v/>
      </c>
      <c r="P78" s="182">
        <f>ROUND(#REF!+#REF!+#REF!+预安排!F83+#REF!+'6月'!P78,5)</f>
        <v/>
      </c>
      <c r="Q78" s="182">
        <f>ROUND(#REF!+#REF!+#REF!+预安排!#REF!+#REF!+'6月'!Q78,5)</f>
        <v/>
      </c>
      <c r="R78" s="182">
        <f>ROUND(#REF!+#REF!+#REF!+预安排!G83+#REF!+'6月'!R78,5)</f>
        <v/>
      </c>
      <c r="S78" s="182">
        <f>ROUND(#REF!+#REF!+#REF!+预安排!#REF!+#REF!+'6月'!S78,5)</f>
        <v/>
      </c>
      <c r="T78" s="182">
        <f>ROUND(#REF!+#REF!+#REF!+预安排!#REF!+#REF!+'6月'!T78,5)</f>
        <v/>
      </c>
      <c r="U78" s="182">
        <f>ROUND(#REF!+#REF!+#REF!+预安排!O83+#REF!+'6月'!U78,5)</f>
        <v/>
      </c>
      <c r="V78" s="182">
        <f>ROUND(#REF!+#REF!+#REF!+预安排!P83+#REF!+'6月'!V78,5)</f>
        <v/>
      </c>
      <c r="W78" s="182">
        <f>ROUND(#REF!+#REF!+#REF!+预安排!Q83+#REF!+'6月'!W78,5)</f>
        <v/>
      </c>
      <c r="X78" s="182">
        <f>ROUND(#REF!+#REF!+#REF!+预安排!R83+#REF!+'6月'!X78,5)</f>
        <v/>
      </c>
      <c r="Y78" s="182">
        <f>ROUND(#REF!+#REF!+#REF!+预安排!S83+#REF!+'6月'!Y78,5)</f>
        <v/>
      </c>
      <c r="Z78" s="182">
        <f>ROUND(#REF!+#REF!+#REF!+预安排!#REF!+#REF!+'6月'!Z78,5)</f>
        <v/>
      </c>
      <c r="AA78" s="182">
        <f>ROUND(#REF!+#REF!+#REF!+预安排!#REF!+#REF!+'6月'!AA78,5)</f>
        <v/>
      </c>
      <c r="AB78" s="182">
        <f>ROUND(#REF!+#REF!+#REF!+预安排!#REF!+#REF!+'6月'!AB78,5)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193">
        <f>计划!O78-O78</f>
        <v/>
      </c>
      <c r="AH78" s="193">
        <f>ROUND(AG78/$AH$1,2)</f>
        <v/>
      </c>
    </row>
    <row r="79" customFormat="1" s="1">
      <c r="A79" s="234" t="n"/>
      <c r="B79" s="231" t="inlineStr">
        <is>
          <t>SKU-3BC6D3D6</t>
        </is>
      </c>
      <c r="C79" s="231" t="inlineStr">
        <is>
          <t>是</t>
        </is>
      </c>
      <c r="D79" s="231" t="n">
        <v>10</v>
      </c>
      <c r="E79" s="231" t="inlineStr"/>
      <c r="F79" s="231" t="inlineStr"/>
      <c r="G79" s="231" t="inlineStr"/>
      <c r="H79" s="231" t="inlineStr"/>
      <c r="I79" s="231" t="inlineStr"/>
      <c r="J79" s="27" t="inlineStr"/>
      <c r="K79" s="27" t="inlineStr"/>
      <c r="L79" s="231" t="n">
        <v>100</v>
      </c>
      <c r="M79" s="19" t="inlineStr">
        <is>
          <t>Product-7FD02DE1</t>
        </is>
      </c>
      <c r="N79" s="231" t="n">
        <v>2</v>
      </c>
      <c r="O79" s="181">
        <f>SUM(P79:AB79)</f>
        <v/>
      </c>
      <c r="P79" s="182">
        <f>ROUND(#REF!+#REF!+#REF!+预安排!F84+#REF!+'6月'!P79,5)</f>
        <v/>
      </c>
      <c r="Q79" s="182">
        <f>ROUND(#REF!+#REF!+#REF!+预安排!#REF!+#REF!+'6月'!Q79,5)</f>
        <v/>
      </c>
      <c r="R79" s="182">
        <f>ROUND(#REF!+#REF!+#REF!+预安排!G84+#REF!+'6月'!R79,5)</f>
        <v/>
      </c>
      <c r="S79" s="182">
        <f>ROUND(#REF!+#REF!+#REF!+预安排!#REF!+#REF!+'6月'!S79,5)</f>
        <v/>
      </c>
      <c r="T79" s="182">
        <f>ROUND(#REF!+#REF!+#REF!+预安排!#REF!+#REF!+'6月'!T79,5)</f>
        <v/>
      </c>
      <c r="U79" s="182">
        <f>ROUND(#REF!+#REF!+#REF!+预安排!O84+#REF!+'6月'!U79,5)</f>
        <v/>
      </c>
      <c r="V79" s="182">
        <f>ROUND(#REF!+#REF!+#REF!+预安排!P84+#REF!+'6月'!V79,5)</f>
        <v/>
      </c>
      <c r="W79" s="182">
        <f>ROUND(#REF!+#REF!+#REF!+预安排!Q84+#REF!+'6月'!W79,5)</f>
        <v/>
      </c>
      <c r="X79" s="182">
        <f>ROUND(#REF!+#REF!+#REF!+预安排!R84+#REF!+'6月'!X79,5)</f>
        <v/>
      </c>
      <c r="Y79" s="182">
        <f>ROUND(#REF!+#REF!+#REF!+预安排!S84+#REF!+'6月'!Y79,5)</f>
        <v/>
      </c>
      <c r="Z79" s="182">
        <f>ROUND(#REF!+#REF!+#REF!+预安排!#REF!+#REF!+'6月'!Z79,5)</f>
        <v/>
      </c>
      <c r="AA79" s="182">
        <f>ROUND(#REF!+#REF!+#REF!+预安排!#REF!+#REF!+'6月'!AA79,5)</f>
        <v/>
      </c>
      <c r="AB79" s="182">
        <f>ROUND(#REF!+#REF!+#REF!+预安排!#REF!+#REF!+'6月'!AB79,5)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  <c r="AG79" s="193">
        <f>计划!O79-O79</f>
        <v/>
      </c>
      <c r="AH79" s="193">
        <f>ROUND(AG79/$AH$1,2)</f>
        <v/>
      </c>
    </row>
    <row r="80" customFormat="1" s="1">
      <c r="A80" s="235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196">
        <f>计划!O80-O80</f>
        <v/>
      </c>
      <c r="AH80" s="196">
        <f>ROUND(AG80/$AH$1,2)</f>
        <v/>
      </c>
    </row>
    <row r="81" customFormat="1" s="1">
      <c r="A81" s="25" t="inlineStr">
        <is>
          <t>海南</t>
        </is>
      </c>
      <c r="B81" s="231" t="inlineStr">
        <is>
          <t>SKU-2379F692</t>
        </is>
      </c>
      <c r="C81" s="231" t="inlineStr"/>
      <c r="D81" s="231" t="n">
        <v>8</v>
      </c>
      <c r="E81" s="231" t="inlineStr">
        <is>
          <t>是</t>
        </is>
      </c>
      <c r="F81" s="231" t="inlineStr"/>
      <c r="G81" s="231" t="inlineStr"/>
      <c r="H81" s="231" t="inlineStr">
        <is>
          <t>是</t>
        </is>
      </c>
      <c r="I81" s="231" t="inlineStr">
        <is>
          <t>是</t>
        </is>
      </c>
      <c r="J81" s="27" t="inlineStr"/>
      <c r="K81" s="27" t="inlineStr"/>
      <c r="L81" s="231" t="n">
        <v>100</v>
      </c>
      <c r="M81" s="19" t="inlineStr">
        <is>
          <t>Product-1E77ED33</t>
        </is>
      </c>
      <c r="N81" s="231" t="n">
        <v>1</v>
      </c>
      <c r="O81" s="181">
        <f>SUM(P81:AB81)</f>
        <v/>
      </c>
      <c r="P81" s="182">
        <f>ROUND(#REF!+#REF!+#REF!+预安排!F86+#REF!+'6月'!P81,5)</f>
        <v/>
      </c>
      <c r="Q81" s="182">
        <f>ROUND(#REF!+#REF!+#REF!+预安排!#REF!+#REF!+'6月'!Q81,5)</f>
        <v/>
      </c>
      <c r="R81" s="182">
        <f>ROUND(#REF!+#REF!+#REF!+预安排!G86+#REF!+'6月'!R81,5)</f>
        <v/>
      </c>
      <c r="S81" s="182">
        <f>ROUND(#REF!+#REF!+#REF!+预安排!#REF!+#REF!+'6月'!S81,5)</f>
        <v/>
      </c>
      <c r="T81" s="182">
        <f>ROUND(#REF!+#REF!+#REF!+预安排!#REF!+#REF!+'6月'!T81,5)</f>
        <v/>
      </c>
      <c r="U81" s="182">
        <f>ROUND(#REF!+#REF!+#REF!+预安排!O86+#REF!+'6月'!U81,5)</f>
        <v/>
      </c>
      <c r="V81" s="182">
        <f>ROUND(#REF!+#REF!+#REF!+预安排!P86+#REF!+'6月'!V81,5)</f>
        <v/>
      </c>
      <c r="W81" s="182">
        <f>ROUND(#REF!+#REF!+#REF!+预安排!Q86+#REF!+'6月'!W81,5)</f>
        <v/>
      </c>
      <c r="X81" s="182">
        <f>ROUND(#REF!+#REF!+#REF!+预安排!R86+#REF!+'6月'!X81,5)</f>
        <v/>
      </c>
      <c r="Y81" s="182">
        <f>ROUND(#REF!+#REF!+#REF!+预安排!S86+#REF!+'6月'!Y81,5)</f>
        <v/>
      </c>
      <c r="Z81" s="182">
        <f>ROUND(#REF!+#REF!+#REF!+预安排!#REF!+#REF!+'6月'!Z81,5)</f>
        <v/>
      </c>
      <c r="AA81" s="182">
        <f>ROUND(#REF!+#REF!+#REF!+预安排!#REF!+#REF!+'6月'!AA81,5)</f>
        <v/>
      </c>
      <c r="AB81" s="182">
        <f>ROUND(#REF!+#REF!+#REF!+预安排!#REF!+#REF!+'6月'!AB81,5)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193">
        <f>计划!O81-O81</f>
        <v/>
      </c>
      <c r="AH81" s="193">
        <f>ROUND(AG81/$AH$1,2)</f>
        <v/>
      </c>
    </row>
    <row r="82" customFormat="1" s="1">
      <c r="A82" s="234" t="n"/>
      <c r="B82" s="231" t="inlineStr">
        <is>
          <t>SKU-F2B0F984</t>
        </is>
      </c>
      <c r="C82" s="231" t="inlineStr"/>
      <c r="D82" s="231" t="n">
        <v>10</v>
      </c>
      <c r="E82" s="231" t="inlineStr"/>
      <c r="F82" s="231" t="inlineStr"/>
      <c r="G82" s="231" t="inlineStr"/>
      <c r="H82" s="231" t="inlineStr"/>
      <c r="I82" s="231" t="inlineStr"/>
      <c r="J82" s="27" t="inlineStr"/>
      <c r="K82" s="27" t="inlineStr"/>
      <c r="L82" s="231" t="n">
        <v>100</v>
      </c>
      <c r="M82" s="19" t="inlineStr">
        <is>
          <t>Product-BB38CDED</t>
        </is>
      </c>
      <c r="N82" s="231" t="n">
        <v>1</v>
      </c>
      <c r="O82" s="181">
        <f>SUM(P82:AB82)</f>
        <v/>
      </c>
      <c r="P82" s="182">
        <f>ROUND(#REF!+#REF!+#REF!+预安排!F87+#REF!+'6月'!P82,5)</f>
        <v/>
      </c>
      <c r="Q82" s="182">
        <f>ROUND(#REF!+#REF!+#REF!+预安排!#REF!+#REF!+'6月'!Q82,5)</f>
        <v/>
      </c>
      <c r="R82" s="182">
        <f>ROUND(#REF!+#REF!+#REF!+预安排!G87+#REF!+'6月'!R82,5)</f>
        <v/>
      </c>
      <c r="S82" s="182">
        <f>ROUND(#REF!+#REF!+#REF!+预安排!#REF!+#REF!+'6月'!S82,5)</f>
        <v/>
      </c>
      <c r="T82" s="182">
        <f>ROUND(#REF!+#REF!+#REF!+预安排!#REF!+#REF!+'6月'!T82,5)</f>
        <v/>
      </c>
      <c r="U82" s="182">
        <f>ROUND(#REF!+#REF!+#REF!+预安排!O87+#REF!+'6月'!U82,5)</f>
        <v/>
      </c>
      <c r="V82" s="182">
        <f>ROUND(#REF!+#REF!+#REF!+预安排!P87+#REF!+'6月'!V82,5)</f>
        <v/>
      </c>
      <c r="W82" s="182">
        <f>ROUND(#REF!+#REF!+#REF!+预安排!Q87+#REF!+'6月'!W82,5)</f>
        <v/>
      </c>
      <c r="X82" s="182">
        <f>ROUND(#REF!+#REF!+#REF!+预安排!R87+#REF!+'6月'!X82,5)</f>
        <v/>
      </c>
      <c r="Y82" s="182">
        <f>ROUND(#REF!+#REF!+#REF!+预安排!S87+#REF!+'6月'!Y82,5)</f>
        <v/>
      </c>
      <c r="Z82" s="182">
        <f>ROUND(#REF!+#REF!+#REF!+预安排!#REF!+#REF!+'6月'!Z82,5)</f>
        <v/>
      </c>
      <c r="AA82" s="182">
        <f>ROUND(#REF!+#REF!+#REF!+预安排!#REF!+#REF!+'6月'!AA82,5)</f>
        <v/>
      </c>
      <c r="AB82" s="182">
        <f>ROUND(#REF!+#REF!+#REF!+预安排!#REF!+#REF!+'6月'!AB82,5)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193">
        <f>计划!O82-O82</f>
        <v/>
      </c>
      <c r="AH82" s="193">
        <f>ROUND(AG82/$AH$1,2)</f>
        <v/>
      </c>
    </row>
    <row r="83" customFormat="1" s="1">
      <c r="A83" s="235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196">
        <f>计划!O83-O83</f>
        <v/>
      </c>
      <c r="AH83" s="196">
        <f>ROUND(AG83/$AH$1,2)</f>
        <v/>
      </c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196">
        <f>计划!O84-O84</f>
        <v/>
      </c>
      <c r="AH84" s="196">
        <f>ROUND(AG84/$AH$1,2)</f>
        <v/>
      </c>
    </row>
    <row r="85" customFormat="1" s="1">
      <c r="A85" s="25" t="inlineStr">
        <is>
          <t>江苏</t>
        </is>
      </c>
      <c r="B85" s="231" t="inlineStr">
        <is>
          <t>SKU-8A01A251</t>
        </is>
      </c>
      <c r="C85" s="231" t="inlineStr">
        <is>
          <t>是</t>
        </is>
      </c>
      <c r="D85" s="231" t="n">
        <v>11</v>
      </c>
      <c r="E85" s="231" t="inlineStr"/>
      <c r="F85" s="231" t="inlineStr"/>
      <c r="G85" s="231" t="inlineStr"/>
      <c r="H85" s="231" t="inlineStr"/>
      <c r="I85" s="231" t="inlineStr"/>
      <c r="J85" s="27" t="inlineStr"/>
      <c r="K85" s="27" t="inlineStr"/>
      <c r="L85" s="231" t="n">
        <v>100</v>
      </c>
      <c r="M85" s="33" t="inlineStr">
        <is>
          <t>Product-E520A49A</t>
        </is>
      </c>
      <c r="N85" s="231" t="n">
        <v>2</v>
      </c>
      <c r="O85" s="181">
        <f>SUM(P85:AB85)</f>
        <v/>
      </c>
      <c r="P85" s="182">
        <f>ROUND(#REF!+#REF!+#REF!+预安排!F90+#REF!+'6月'!P85,5)</f>
        <v/>
      </c>
      <c r="Q85" s="182">
        <f>ROUND(#REF!+#REF!+#REF!+预安排!#REF!+#REF!+'6月'!Q85,5)</f>
        <v/>
      </c>
      <c r="R85" s="182">
        <f>ROUND(#REF!+#REF!+#REF!+预安排!G90+#REF!+'6月'!R85,5)</f>
        <v/>
      </c>
      <c r="S85" s="182">
        <f>ROUND(#REF!+#REF!+#REF!+预安排!#REF!+#REF!+'6月'!S85,5)</f>
        <v/>
      </c>
      <c r="T85" s="182">
        <f>ROUND(#REF!+#REF!+#REF!+预安排!#REF!+#REF!+'6月'!T85,5)</f>
        <v/>
      </c>
      <c r="U85" s="182">
        <f>ROUND(#REF!+#REF!+#REF!+预安排!O90+#REF!+'6月'!U85,5)</f>
        <v/>
      </c>
      <c r="V85" s="182">
        <f>ROUND(#REF!+#REF!+#REF!+预安排!P90+#REF!+'6月'!V85,5)</f>
        <v/>
      </c>
      <c r="W85" s="182">
        <f>ROUND(#REF!+#REF!+#REF!+预安排!Q90+#REF!+'6月'!W85,5)</f>
        <v/>
      </c>
      <c r="X85" s="182">
        <f>ROUND(#REF!+#REF!+#REF!+预安排!R90+#REF!+'6月'!X85,5)</f>
        <v/>
      </c>
      <c r="Y85" s="182">
        <f>ROUND(#REF!+#REF!+#REF!+预安排!S90+#REF!+'6月'!Y85,5)</f>
        <v/>
      </c>
      <c r="Z85" s="182">
        <f>ROUND(#REF!+#REF!+#REF!+预安排!#REF!+#REF!+'6月'!Z85,5)</f>
        <v/>
      </c>
      <c r="AA85" s="182">
        <f>ROUND(#REF!+#REF!+#REF!+预安排!#REF!+#REF!+'6月'!AA85,5)</f>
        <v/>
      </c>
      <c r="AB85" s="182">
        <f>ROUND(#REF!+#REF!+#REF!+预安排!#REF!+#REF!+'6月'!AB85,5)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  <c r="AG85" s="193">
        <f>计划!O85-O85</f>
        <v/>
      </c>
      <c r="AH85" s="193">
        <f>ROUND(AG85/$AH$1,2)</f>
        <v/>
      </c>
    </row>
    <row r="86" customFormat="1" s="1">
      <c r="A86" s="234" t="n"/>
      <c r="B86" s="231" t="inlineStr">
        <is>
          <t>SKU-F12BD851</t>
        </is>
      </c>
      <c r="C86" s="231" t="inlineStr">
        <is>
          <t>是</t>
        </is>
      </c>
      <c r="D86" s="231" t="n">
        <v>11</v>
      </c>
      <c r="E86" s="231" t="inlineStr"/>
      <c r="F86" s="231" t="inlineStr"/>
      <c r="G86" s="231" t="inlineStr"/>
      <c r="H86" s="231" t="inlineStr"/>
      <c r="I86" s="231" t="inlineStr"/>
      <c r="J86" s="27" t="inlineStr">
        <is>
          <t>共</t>
        </is>
      </c>
      <c r="K86" s="27" t="inlineStr"/>
      <c r="L86" s="231" t="n">
        <v>100</v>
      </c>
      <c r="M86" s="19" t="inlineStr">
        <is>
          <t>Product-C8CC2E46</t>
        </is>
      </c>
      <c r="N86" s="231" t="n">
        <v>2</v>
      </c>
      <c r="O86" s="181">
        <f>SUM(P86:AB86)</f>
        <v/>
      </c>
      <c r="P86" s="182">
        <f>ROUND(#REF!+#REF!+#REF!+预安排!F91+#REF!+'6月'!P86,5)</f>
        <v/>
      </c>
      <c r="Q86" s="182">
        <f>ROUND(#REF!+#REF!+#REF!+预安排!#REF!+#REF!+'6月'!Q86,5)</f>
        <v/>
      </c>
      <c r="R86" s="182">
        <f>ROUND(#REF!+#REF!+#REF!+预安排!G91+#REF!+'6月'!R86,5)</f>
        <v/>
      </c>
      <c r="S86" s="182">
        <f>ROUND(#REF!+#REF!+#REF!+预安排!#REF!+#REF!+'6月'!S86,5)</f>
        <v/>
      </c>
      <c r="T86" s="182">
        <f>ROUND(#REF!+#REF!+#REF!+预安排!#REF!+#REF!+'6月'!T86,5)</f>
        <v/>
      </c>
      <c r="U86" s="182">
        <f>ROUND(#REF!+#REF!+#REF!+预安排!O91+#REF!+'6月'!U86,5)</f>
        <v/>
      </c>
      <c r="V86" s="182">
        <f>ROUND(#REF!+#REF!+#REF!+预安排!P91+#REF!+'6月'!V86,5)</f>
        <v/>
      </c>
      <c r="W86" s="182">
        <f>ROUND(#REF!+#REF!+#REF!+预安排!Q91+#REF!+'6月'!W86,5)</f>
        <v/>
      </c>
      <c r="X86" s="182">
        <f>ROUND(#REF!+#REF!+#REF!+预安排!R91+#REF!+'6月'!X86,5)</f>
        <v/>
      </c>
      <c r="Y86" s="182">
        <f>ROUND(#REF!+#REF!+#REF!+预安排!S91+#REF!+'6月'!Y86,5)</f>
        <v/>
      </c>
      <c r="Z86" s="182">
        <f>ROUND(#REF!+#REF!+#REF!+预安排!#REF!+#REF!+'6月'!Z86,5)</f>
        <v/>
      </c>
      <c r="AA86" s="182">
        <f>ROUND(#REF!+#REF!+#REF!+预安排!#REF!+#REF!+'6月'!AA86,5)</f>
        <v/>
      </c>
      <c r="AB86" s="182">
        <f>ROUND(#REF!+#REF!+#REF!+预安排!#REF!+#REF!+'6月'!AB86,5)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  <c r="AG86" s="193">
        <f>计划!O86-O86</f>
        <v/>
      </c>
      <c r="AH86" s="193">
        <f>ROUND(AG86/$AH$1,2)</f>
        <v/>
      </c>
    </row>
    <row r="87" customFormat="1" s="1">
      <c r="A87" s="234" t="n"/>
      <c r="B87" s="231" t="inlineStr">
        <is>
          <t>SKU-FBC6A90A</t>
        </is>
      </c>
      <c r="C87" s="231" t="inlineStr">
        <is>
          <t>是</t>
        </is>
      </c>
      <c r="D87" s="231" t="n">
        <v>11</v>
      </c>
      <c r="E87" s="231" t="inlineStr"/>
      <c r="F87" s="231" t="inlineStr"/>
      <c r="G87" s="231" t="inlineStr"/>
      <c r="H87" s="231" t="inlineStr"/>
      <c r="I87" s="231" t="inlineStr"/>
      <c r="J87" s="27" t="inlineStr"/>
      <c r="K87" s="27" t="inlineStr"/>
      <c r="L87" s="231" t="n">
        <v>100</v>
      </c>
      <c r="M87" s="44" t="inlineStr">
        <is>
          <t>Product-6215959E</t>
        </is>
      </c>
      <c r="N87" s="231" t="n">
        <v>1</v>
      </c>
      <c r="O87" s="181">
        <f>SUM(P87:AB87)</f>
        <v/>
      </c>
      <c r="P87" s="182">
        <f>ROUND(#REF!+#REF!+#REF!+预安排!F92+#REF!+'6月'!P87,5)</f>
        <v/>
      </c>
      <c r="Q87" s="182">
        <f>ROUND(#REF!+#REF!+#REF!+预安排!#REF!+#REF!+'6月'!Q87,5)</f>
        <v/>
      </c>
      <c r="R87" s="182">
        <f>ROUND(#REF!+#REF!+#REF!+预安排!G92+#REF!+'6月'!R87,5)</f>
        <v/>
      </c>
      <c r="S87" s="182">
        <f>ROUND(#REF!+#REF!+#REF!+预安排!#REF!+#REF!+'6月'!S87,5)</f>
        <v/>
      </c>
      <c r="T87" s="182">
        <f>ROUND(#REF!+#REF!+#REF!+预安排!#REF!+#REF!+'6月'!T87,5)</f>
        <v/>
      </c>
      <c r="U87" s="182">
        <f>ROUND(#REF!+#REF!+#REF!+预安排!O92+#REF!+'6月'!U87,5)</f>
        <v/>
      </c>
      <c r="V87" s="182">
        <f>ROUND(#REF!+#REF!+#REF!+预安排!P92+#REF!+'6月'!V87,5)</f>
        <v/>
      </c>
      <c r="W87" s="182">
        <f>ROUND(#REF!+#REF!+#REF!+预安排!Q92+#REF!+'6月'!W87,5)</f>
        <v/>
      </c>
      <c r="X87" s="182">
        <f>ROUND(#REF!+#REF!+#REF!+预安排!R92+#REF!+'6月'!X87,5)</f>
        <v/>
      </c>
      <c r="Y87" s="182">
        <f>ROUND(#REF!+#REF!+#REF!+预安排!S92+#REF!+'6月'!Y87,5)</f>
        <v/>
      </c>
      <c r="Z87" s="182">
        <f>ROUND(#REF!+#REF!+#REF!+预安排!#REF!+#REF!+'6月'!Z87,5)</f>
        <v/>
      </c>
      <c r="AA87" s="182">
        <f>ROUND(#REF!+#REF!+#REF!+预安排!#REF!+#REF!+'6月'!AA87,5)</f>
        <v/>
      </c>
      <c r="AB87" s="182">
        <f>ROUND(#REF!+#REF!+#REF!+预安排!#REF!+#REF!+'6月'!AB87,5)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193">
        <f>计划!O87-O87</f>
        <v/>
      </c>
      <c r="AH87" s="193">
        <f>ROUND(AG87/$AH$1,2)</f>
        <v/>
      </c>
    </row>
    <row r="88" customFormat="1" s="1">
      <c r="A88" s="234" t="n"/>
      <c r="B88" s="231" t="inlineStr">
        <is>
          <t>SKU-8D50A17D</t>
        </is>
      </c>
      <c r="C88" s="231" t="inlineStr">
        <is>
          <t>是</t>
        </is>
      </c>
      <c r="D88" s="231" t="n">
        <v>5</v>
      </c>
      <c r="E88" s="231" t="inlineStr">
        <is>
          <t>是</t>
        </is>
      </c>
      <c r="F88" s="231" t="inlineStr"/>
      <c r="G88" s="231" t="inlineStr"/>
      <c r="H88" s="231" t="inlineStr"/>
      <c r="I88" s="231" t="inlineStr">
        <is>
          <t>是</t>
        </is>
      </c>
      <c r="J88" s="27" t="inlineStr">
        <is>
          <t>共</t>
        </is>
      </c>
      <c r="K88" s="27" t="inlineStr"/>
      <c r="L88" s="231" t="n">
        <v>100</v>
      </c>
      <c r="M88" s="19" t="inlineStr">
        <is>
          <t>Product-33956506</t>
        </is>
      </c>
      <c r="N88" s="231" t="n">
        <v>1</v>
      </c>
      <c r="O88" s="181">
        <f>SUM(P88:AB88)</f>
        <v/>
      </c>
      <c r="P88" s="182">
        <f>ROUND(#REF!+#REF!+#REF!+预安排!F93+#REF!+'6月'!P88,5)</f>
        <v/>
      </c>
      <c r="Q88" s="182">
        <f>ROUND(#REF!+#REF!+#REF!+预安排!#REF!+#REF!+'6月'!Q88,5)</f>
        <v/>
      </c>
      <c r="R88" s="182">
        <f>ROUND(#REF!+#REF!+#REF!+预安排!G93+#REF!+'6月'!R88,5)</f>
        <v/>
      </c>
      <c r="S88" s="182">
        <f>ROUND(#REF!+#REF!+#REF!+预安排!#REF!+#REF!+'6月'!S88,5)</f>
        <v/>
      </c>
      <c r="T88" s="182">
        <f>ROUND(#REF!+#REF!+#REF!+预安排!#REF!+#REF!+'6月'!T88,5)</f>
        <v/>
      </c>
      <c r="U88" s="182">
        <f>ROUND(#REF!+#REF!+#REF!+预安排!O93+#REF!+'6月'!U88,5)</f>
        <v/>
      </c>
      <c r="V88" s="182">
        <f>ROUND(#REF!+#REF!+#REF!+预安排!P93+#REF!+'6月'!V88,5)</f>
        <v/>
      </c>
      <c r="W88" s="182">
        <f>ROUND(#REF!+#REF!+#REF!+预安排!Q93+#REF!+'6月'!W88,5)</f>
        <v/>
      </c>
      <c r="X88" s="182">
        <f>ROUND(#REF!+#REF!+#REF!+预安排!R93+#REF!+'6月'!X88,5)</f>
        <v/>
      </c>
      <c r="Y88" s="182">
        <f>ROUND(#REF!+#REF!+#REF!+预安排!S93+#REF!+'6月'!Y88,5)</f>
        <v/>
      </c>
      <c r="Z88" s="182">
        <f>ROUND(#REF!+#REF!+#REF!+预安排!#REF!+#REF!+'6月'!Z88,5)</f>
        <v/>
      </c>
      <c r="AA88" s="182">
        <f>ROUND(#REF!+#REF!+#REF!+预安排!#REF!+#REF!+'6月'!AA88,5)</f>
        <v/>
      </c>
      <c r="AB88" s="182">
        <f>ROUND(#REF!+#REF!+#REF!+预安排!#REF!+#REF!+'6月'!AB88,5)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193">
        <f>计划!O88-O88</f>
        <v/>
      </c>
      <c r="AH88" s="193">
        <f>ROUND(AG88/$AH$1,2)</f>
        <v/>
      </c>
    </row>
    <row r="89" customFormat="1" s="1">
      <c r="A89" s="234" t="n"/>
      <c r="B89" s="231" t="inlineStr">
        <is>
          <t>SKU-685DD3D2</t>
        </is>
      </c>
      <c r="C89" s="231" t="inlineStr">
        <is>
          <t>是</t>
        </is>
      </c>
      <c r="D89" s="231" t="n">
        <v>6</v>
      </c>
      <c r="E89" s="231" t="inlineStr">
        <is>
          <t>是</t>
        </is>
      </c>
      <c r="F89" s="231" t="inlineStr"/>
      <c r="G89" s="231" t="inlineStr"/>
      <c r="H89" s="231" t="inlineStr"/>
      <c r="I89" s="231" t="inlineStr">
        <is>
          <t>是</t>
        </is>
      </c>
      <c r="J89" s="27" t="inlineStr">
        <is>
          <t>共</t>
        </is>
      </c>
      <c r="K89" s="27" t="inlineStr"/>
      <c r="L89" s="231" t="n">
        <v>100</v>
      </c>
      <c r="M89" s="19" t="inlineStr">
        <is>
          <t>Product-F61FD83C</t>
        </is>
      </c>
      <c r="N89" s="231" t="n">
        <v>1</v>
      </c>
      <c r="O89" s="181">
        <f>SUM(P89:AB89)</f>
        <v/>
      </c>
      <c r="P89" s="182">
        <f>ROUND(#REF!+#REF!+#REF!+预安排!F94+#REF!+'6月'!P89,5)</f>
        <v/>
      </c>
      <c r="Q89" s="182">
        <f>ROUND(#REF!+#REF!+#REF!+预安排!#REF!+#REF!+'6月'!Q89,5)</f>
        <v/>
      </c>
      <c r="R89" s="182">
        <f>ROUND(#REF!+#REF!+#REF!+预安排!G94+#REF!+'6月'!R89,5)</f>
        <v/>
      </c>
      <c r="S89" s="182">
        <f>ROUND(#REF!+#REF!+#REF!+预安排!#REF!+#REF!+'6月'!S89,5)</f>
        <v/>
      </c>
      <c r="T89" s="182">
        <f>ROUND(#REF!+#REF!+#REF!+预安排!#REF!+#REF!+'6月'!T89,5)</f>
        <v/>
      </c>
      <c r="U89" s="182">
        <f>ROUND(#REF!+#REF!+#REF!+预安排!O94+#REF!+'6月'!U89,5)</f>
        <v/>
      </c>
      <c r="V89" s="182">
        <f>ROUND(#REF!+#REF!+#REF!+预安排!P94+#REF!+'6月'!V89,5)</f>
        <v/>
      </c>
      <c r="W89" s="182">
        <f>ROUND(#REF!+#REF!+#REF!+预安排!Q94+#REF!+'6月'!W89,5)</f>
        <v/>
      </c>
      <c r="X89" s="182">
        <f>ROUND(#REF!+#REF!+#REF!+预安排!R94+#REF!+'6月'!X89,5)</f>
        <v/>
      </c>
      <c r="Y89" s="182">
        <f>ROUND(#REF!+#REF!+#REF!+预安排!S94+#REF!+'6月'!Y89,5)</f>
        <v/>
      </c>
      <c r="Z89" s="182">
        <f>ROUND(#REF!+#REF!+#REF!+预安排!#REF!+#REF!+'6月'!Z89,5)</f>
        <v/>
      </c>
      <c r="AA89" s="182">
        <f>ROUND(#REF!+#REF!+#REF!+预安排!#REF!+#REF!+'6月'!AA89,5)</f>
        <v/>
      </c>
      <c r="AB89" s="182">
        <f>ROUND(#REF!+#REF!+#REF!+预安排!#REF!+#REF!+'6月'!AB89,5)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193">
        <f>计划!O89-O89</f>
        <v/>
      </c>
      <c r="AH89" s="193">
        <f>ROUND(AG89/$AH$1,2)</f>
        <v/>
      </c>
    </row>
    <row r="90" customFormat="1" s="1">
      <c r="A90" s="234" t="n"/>
      <c r="B90" s="231" t="inlineStr">
        <is>
          <t>SKU-55E23DA5</t>
        </is>
      </c>
      <c r="C90" s="231" t="inlineStr">
        <is>
          <t>是</t>
        </is>
      </c>
      <c r="D90" s="231" t="n">
        <v>8</v>
      </c>
      <c r="E90" s="231" t="inlineStr">
        <is>
          <t>是</t>
        </is>
      </c>
      <c r="F90" s="231" t="inlineStr"/>
      <c r="G90" s="231" t="inlineStr"/>
      <c r="H90" s="231" t="inlineStr"/>
      <c r="I90" s="231" t="inlineStr">
        <is>
          <t>是</t>
        </is>
      </c>
      <c r="J90" s="27" t="inlineStr">
        <is>
          <t>共</t>
        </is>
      </c>
      <c r="K90" s="27" t="inlineStr"/>
      <c r="L90" s="231" t="n">
        <v>100</v>
      </c>
      <c r="M90" s="19" t="inlineStr">
        <is>
          <t>Product-7D170E46</t>
        </is>
      </c>
      <c r="N90" s="231" t="n">
        <v>2</v>
      </c>
      <c r="O90" s="181">
        <f>SUM(P90:AB90)</f>
        <v/>
      </c>
      <c r="P90" s="182">
        <f>ROUND(#REF!+#REF!+#REF!+预安排!F95+#REF!+'6月'!P90,5)</f>
        <v/>
      </c>
      <c r="Q90" s="182">
        <f>ROUND(#REF!+#REF!+#REF!+预安排!#REF!+#REF!+'6月'!Q90,5)</f>
        <v/>
      </c>
      <c r="R90" s="182">
        <f>ROUND(#REF!+#REF!+#REF!+预安排!G95+#REF!+'6月'!R90,5)</f>
        <v/>
      </c>
      <c r="S90" s="182">
        <f>ROUND(#REF!+#REF!+#REF!+预安排!#REF!+#REF!+'6月'!S90,5)</f>
        <v/>
      </c>
      <c r="T90" s="182">
        <f>ROUND(#REF!+#REF!+#REF!+预安排!#REF!+#REF!+'6月'!T90,5)</f>
        <v/>
      </c>
      <c r="U90" s="182">
        <f>ROUND(#REF!+#REF!+#REF!+预安排!O95+#REF!+'6月'!U90,5)</f>
        <v/>
      </c>
      <c r="V90" s="182">
        <f>ROUND(#REF!+#REF!+#REF!+预安排!P95+#REF!+'6月'!V90,5)</f>
        <v/>
      </c>
      <c r="W90" s="182">
        <f>ROUND(#REF!+#REF!+#REF!+预安排!Q95+#REF!+'6月'!W90,5)</f>
        <v/>
      </c>
      <c r="X90" s="182">
        <f>ROUND(#REF!+#REF!+#REF!+预安排!R95+#REF!+'6月'!X90,5)</f>
        <v/>
      </c>
      <c r="Y90" s="182">
        <f>ROUND(#REF!+#REF!+#REF!+预安排!S95+#REF!+'6月'!Y90,5)</f>
        <v/>
      </c>
      <c r="Z90" s="182">
        <f>ROUND(#REF!+#REF!+#REF!+预安排!#REF!+#REF!+'6月'!Z90,5)</f>
        <v/>
      </c>
      <c r="AA90" s="182">
        <f>ROUND(#REF!+#REF!+#REF!+预安排!#REF!+#REF!+'6月'!AA90,5)</f>
        <v/>
      </c>
      <c r="AB90" s="182">
        <f>ROUND(#REF!+#REF!+#REF!+预安排!#REF!+#REF!+'6月'!AB90,5)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193">
        <f>计划!O90-O90</f>
        <v/>
      </c>
      <c r="AH90" s="193">
        <f>ROUND(AG90/$AH$1,2)</f>
        <v/>
      </c>
    </row>
    <row r="91" customFormat="1" s="1">
      <c r="A91" s="234" t="n"/>
      <c r="B91" s="231" t="inlineStr">
        <is>
          <t>SKU-07310B8A</t>
        </is>
      </c>
      <c r="C91" s="231" t="inlineStr">
        <is>
          <t>是</t>
        </is>
      </c>
      <c r="D91" s="231" t="n">
        <v>5</v>
      </c>
      <c r="E91" s="231" t="inlineStr">
        <is>
          <t>是</t>
        </is>
      </c>
      <c r="F91" s="231" t="inlineStr"/>
      <c r="G91" s="231" t="inlineStr"/>
      <c r="H91" s="231" t="inlineStr"/>
      <c r="I91" s="231" t="inlineStr">
        <is>
          <t>是</t>
        </is>
      </c>
      <c r="J91" s="27" t="inlineStr">
        <is>
          <t>共</t>
        </is>
      </c>
      <c r="K91" s="27" t="inlineStr"/>
      <c r="L91" s="231" t="n">
        <v>100</v>
      </c>
      <c r="M91" s="19" t="inlineStr">
        <is>
          <t>Product-9FF55A7C</t>
        </is>
      </c>
      <c r="N91" s="231" t="n">
        <v>1</v>
      </c>
      <c r="O91" s="181">
        <f>SUM(P91:AB91)</f>
        <v/>
      </c>
      <c r="P91" s="182">
        <f>ROUND(#REF!+#REF!+#REF!+预安排!F96+#REF!+'6月'!P91,5)</f>
        <v/>
      </c>
      <c r="Q91" s="182">
        <f>ROUND(#REF!+#REF!+#REF!+预安排!#REF!+#REF!+'6月'!Q91,5)</f>
        <v/>
      </c>
      <c r="R91" s="182">
        <f>ROUND(#REF!+#REF!+#REF!+预安排!G96+#REF!+'6月'!R91,5)</f>
        <v/>
      </c>
      <c r="S91" s="182">
        <f>ROUND(#REF!+#REF!+#REF!+预安排!#REF!+#REF!+'6月'!S91,5)</f>
        <v/>
      </c>
      <c r="T91" s="182">
        <f>ROUND(#REF!+#REF!+#REF!+预安排!#REF!+#REF!+'6月'!T91,5)</f>
        <v/>
      </c>
      <c r="U91" s="182">
        <f>ROUND(#REF!+#REF!+#REF!+预安排!O96+#REF!+'6月'!U91,5)</f>
        <v/>
      </c>
      <c r="V91" s="182">
        <f>ROUND(#REF!+#REF!+#REF!+预安排!P96+#REF!+'6月'!V91,5)</f>
        <v/>
      </c>
      <c r="W91" s="182">
        <f>ROUND(#REF!+#REF!+#REF!+预安排!Q96+#REF!+'6月'!W91,5)</f>
        <v/>
      </c>
      <c r="X91" s="182">
        <f>ROUND(#REF!+#REF!+#REF!+预安排!R96+#REF!+'6月'!X91,5)</f>
        <v/>
      </c>
      <c r="Y91" s="182">
        <f>ROUND(#REF!+#REF!+#REF!+预安排!S96+#REF!+'6月'!Y91,5)</f>
        <v/>
      </c>
      <c r="Z91" s="182">
        <f>ROUND(#REF!+#REF!+#REF!+预安排!#REF!+#REF!+'6月'!Z91,5)</f>
        <v/>
      </c>
      <c r="AA91" s="182">
        <f>ROUND(#REF!+#REF!+#REF!+预安排!#REF!+#REF!+'6月'!AA91,5)</f>
        <v/>
      </c>
      <c r="AB91" s="182">
        <f>ROUND(#REF!+#REF!+#REF!+预安排!#REF!+#REF!+'6月'!AB91,5)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193">
        <f>计划!O91-O91</f>
        <v/>
      </c>
      <c r="AH91" s="193">
        <f>ROUND(AG91/$AH$1,2)</f>
        <v/>
      </c>
    </row>
    <row r="92" customFormat="1" s="1">
      <c r="A92" s="234" t="n"/>
      <c r="B92" s="231" t="inlineStr">
        <is>
          <t>SKU-8EBE1AD6</t>
        </is>
      </c>
      <c r="C92" s="231" t="inlineStr">
        <is>
          <t>是</t>
        </is>
      </c>
      <c r="D92" s="231" t="n">
        <v>6</v>
      </c>
      <c r="E92" s="231" t="inlineStr">
        <is>
          <t>是</t>
        </is>
      </c>
      <c r="F92" s="231" t="inlineStr"/>
      <c r="G92" s="231" t="inlineStr"/>
      <c r="H92" s="231" t="inlineStr"/>
      <c r="I92" s="231" t="inlineStr">
        <is>
          <t>是</t>
        </is>
      </c>
      <c r="J92" s="27" t="inlineStr"/>
      <c r="K92" s="27" t="inlineStr"/>
      <c r="L92" s="231" t="n">
        <v>100</v>
      </c>
      <c r="M92" s="19" t="inlineStr">
        <is>
          <t>Product-9A6C9779</t>
        </is>
      </c>
      <c r="N92" s="231" t="n">
        <v>1</v>
      </c>
      <c r="O92" s="181">
        <f>SUM(P92:AB92)</f>
        <v/>
      </c>
      <c r="P92" s="182">
        <f>ROUND(#REF!+#REF!+#REF!+预安排!F97+#REF!+'6月'!P92,5)</f>
        <v/>
      </c>
      <c r="Q92" s="182">
        <f>ROUND(#REF!+#REF!+#REF!+预安排!#REF!+#REF!+'6月'!Q92,5)</f>
        <v/>
      </c>
      <c r="R92" s="182">
        <f>ROUND(#REF!+#REF!+#REF!+预安排!G97+#REF!+'6月'!R92,5)</f>
        <v/>
      </c>
      <c r="S92" s="182">
        <f>ROUND(#REF!+#REF!+#REF!+预安排!#REF!+#REF!+'6月'!S92,5)</f>
        <v/>
      </c>
      <c r="T92" s="182">
        <f>ROUND(#REF!+#REF!+#REF!+预安排!#REF!+#REF!+'6月'!T92,5)</f>
        <v/>
      </c>
      <c r="U92" s="182">
        <f>ROUND(#REF!+#REF!+#REF!+预安排!O97+#REF!+'6月'!U92,5)</f>
        <v/>
      </c>
      <c r="V92" s="182">
        <f>ROUND(#REF!+#REF!+#REF!+预安排!P97+#REF!+'6月'!V92,5)</f>
        <v/>
      </c>
      <c r="W92" s="182">
        <f>ROUND(#REF!+#REF!+#REF!+预安排!Q97+#REF!+'6月'!W92,5)</f>
        <v/>
      </c>
      <c r="X92" s="182">
        <f>ROUND(#REF!+#REF!+#REF!+预安排!R97+#REF!+'6月'!X92,5)</f>
        <v/>
      </c>
      <c r="Y92" s="182">
        <f>ROUND(#REF!+#REF!+#REF!+预安排!S97+#REF!+'6月'!Y92,5)</f>
        <v/>
      </c>
      <c r="Z92" s="182">
        <f>ROUND(#REF!+#REF!+#REF!+预安排!#REF!+#REF!+'6月'!Z92,5)</f>
        <v/>
      </c>
      <c r="AA92" s="182">
        <f>ROUND(#REF!+#REF!+#REF!+预安排!#REF!+#REF!+'6月'!AA92,5)</f>
        <v/>
      </c>
      <c r="AB92" s="182">
        <f>ROUND(#REF!+#REF!+#REF!+预安排!#REF!+#REF!+'6月'!AB92,5)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193">
        <f>计划!O92-O92</f>
        <v/>
      </c>
      <c r="AH92" s="193">
        <f>ROUND(AG92/$AH$1,2)</f>
        <v/>
      </c>
    </row>
    <row r="93" customFormat="1" s="1">
      <c r="A93" s="234" t="n"/>
      <c r="B93" s="231" t="inlineStr">
        <is>
          <t>SKU-06D5C6B5</t>
        </is>
      </c>
      <c r="C93" s="231" t="inlineStr">
        <is>
          <t>是</t>
        </is>
      </c>
      <c r="D93" s="231" t="n">
        <v>11</v>
      </c>
      <c r="E93" s="231" t="inlineStr"/>
      <c r="F93" s="231" t="inlineStr"/>
      <c r="G93" s="231" t="inlineStr"/>
      <c r="H93" s="231" t="inlineStr"/>
      <c r="I93" s="231" t="inlineStr"/>
      <c r="J93" s="27" t="inlineStr">
        <is>
          <t>共</t>
        </is>
      </c>
      <c r="K93" s="27" t="inlineStr"/>
      <c r="L93" s="231" t="n">
        <v>100</v>
      </c>
      <c r="M93" s="19" t="inlineStr">
        <is>
          <t>Product-79046E1F</t>
        </is>
      </c>
      <c r="N93" s="231" t="n">
        <v>1</v>
      </c>
      <c r="O93" s="181">
        <f>SUM(P93:AB93)</f>
        <v/>
      </c>
      <c r="P93" s="182">
        <f>ROUND(#REF!+#REF!+#REF!+预安排!F98+#REF!+'6月'!P93,5)</f>
        <v/>
      </c>
      <c r="Q93" s="182">
        <f>ROUND(#REF!+#REF!+#REF!+预安排!#REF!+#REF!+'6月'!Q93,5)</f>
        <v/>
      </c>
      <c r="R93" s="182">
        <f>ROUND(#REF!+#REF!+#REF!+预安排!G98+#REF!+'6月'!R93,5)</f>
        <v/>
      </c>
      <c r="S93" s="182">
        <f>ROUND(#REF!+#REF!+#REF!+预安排!#REF!+#REF!+'6月'!S93,5)</f>
        <v/>
      </c>
      <c r="T93" s="182">
        <f>ROUND(#REF!+#REF!+#REF!+预安排!#REF!+#REF!+'6月'!T93,5)</f>
        <v/>
      </c>
      <c r="U93" s="182">
        <f>ROUND(#REF!+#REF!+#REF!+预安排!O98+#REF!+'6月'!U93,5)</f>
        <v/>
      </c>
      <c r="V93" s="182">
        <f>ROUND(#REF!+#REF!+#REF!+预安排!P98+#REF!+'6月'!V93,5)</f>
        <v/>
      </c>
      <c r="W93" s="182">
        <f>ROUND(#REF!+#REF!+#REF!+预安排!Q98+#REF!+'6月'!W93,5)</f>
        <v/>
      </c>
      <c r="X93" s="182">
        <f>ROUND(#REF!+#REF!+#REF!+预安排!R98+#REF!+'6月'!X93,5)</f>
        <v/>
      </c>
      <c r="Y93" s="182">
        <f>ROUND(#REF!+#REF!+#REF!+预安排!S98+#REF!+'6月'!Y93,5)</f>
        <v/>
      </c>
      <c r="Z93" s="182">
        <f>ROUND(#REF!+#REF!+#REF!+预安排!#REF!+#REF!+'6月'!Z93,5)</f>
        <v/>
      </c>
      <c r="AA93" s="182">
        <f>ROUND(#REF!+#REF!+#REF!+预安排!#REF!+#REF!+'6月'!AA93,5)</f>
        <v/>
      </c>
      <c r="AB93" s="182">
        <f>ROUND(#REF!+#REF!+#REF!+预安排!#REF!+#REF!+'6月'!AB93,5)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193">
        <f>计划!O93-O93</f>
        <v/>
      </c>
      <c r="AH93" s="193">
        <f>ROUND(AG93/$AH$1,2)</f>
        <v/>
      </c>
    </row>
    <row r="94" customFormat="1" s="1">
      <c r="A94" s="234" t="n"/>
      <c r="B94" s="231" t="inlineStr">
        <is>
          <t>SKU-0472D802</t>
        </is>
      </c>
      <c r="C94" s="231" t="inlineStr">
        <is>
          <t>是</t>
        </is>
      </c>
      <c r="D94" s="231" t="n">
        <v>6</v>
      </c>
      <c r="E94" s="231" t="inlineStr">
        <is>
          <t>是</t>
        </is>
      </c>
      <c r="F94" s="231" t="inlineStr"/>
      <c r="G94" s="231" t="inlineStr"/>
      <c r="H94" s="231" t="inlineStr"/>
      <c r="I94" s="231" t="inlineStr">
        <is>
          <t>是</t>
        </is>
      </c>
      <c r="J94" s="27" t="inlineStr"/>
      <c r="K94" s="27" t="inlineStr"/>
      <c r="L94" s="231" t="n">
        <v>100</v>
      </c>
      <c r="M94" s="19" t="inlineStr">
        <is>
          <t>Product-0EE8F563</t>
        </is>
      </c>
      <c r="N94" s="231" t="n">
        <v>1</v>
      </c>
      <c r="O94" s="181">
        <f>SUM(P94:AB94)</f>
        <v/>
      </c>
      <c r="P94" s="182">
        <f>ROUND(#REF!+#REF!+#REF!+预安排!F99+#REF!+'6月'!P94,5)</f>
        <v/>
      </c>
      <c r="Q94" s="182">
        <f>ROUND(#REF!+#REF!+#REF!+预安排!#REF!+#REF!+'6月'!Q94,5)</f>
        <v/>
      </c>
      <c r="R94" s="182">
        <f>ROUND(#REF!+#REF!+#REF!+预安排!G99+#REF!+'6月'!R94,5)</f>
        <v/>
      </c>
      <c r="S94" s="182">
        <f>ROUND(#REF!+#REF!+#REF!+预安排!#REF!+#REF!+'6月'!S94,5)</f>
        <v/>
      </c>
      <c r="T94" s="182">
        <f>ROUND(#REF!+#REF!+#REF!+预安排!#REF!+#REF!+'6月'!T94,5)</f>
        <v/>
      </c>
      <c r="U94" s="182">
        <f>ROUND(#REF!+#REF!+#REF!+预安排!O99+#REF!+'6月'!U94,5)</f>
        <v/>
      </c>
      <c r="V94" s="182">
        <f>ROUND(#REF!+#REF!+#REF!+预安排!P99+#REF!+'6月'!V94,5)</f>
        <v/>
      </c>
      <c r="W94" s="182">
        <f>ROUND(#REF!+#REF!+#REF!+预安排!Q99+#REF!+'6月'!W94,5)</f>
        <v/>
      </c>
      <c r="X94" s="182">
        <f>ROUND(#REF!+#REF!+#REF!+预安排!R99+#REF!+'6月'!X94,5)</f>
        <v/>
      </c>
      <c r="Y94" s="182">
        <f>ROUND(#REF!+#REF!+#REF!+预安排!S99+#REF!+'6月'!Y94,5)</f>
        <v/>
      </c>
      <c r="Z94" s="182">
        <f>ROUND(#REF!+#REF!+#REF!+预安排!#REF!+#REF!+'6月'!Z94,5)</f>
        <v/>
      </c>
      <c r="AA94" s="182">
        <f>ROUND(#REF!+#REF!+#REF!+预安排!#REF!+#REF!+'6月'!AA94,5)</f>
        <v/>
      </c>
      <c r="AB94" s="182">
        <f>ROUND(#REF!+#REF!+#REF!+预安排!#REF!+#REF!+'6月'!AB94,5)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193">
        <f>计划!O94-O94</f>
        <v/>
      </c>
      <c r="AH94" s="193">
        <f>ROUND(AG94/$AH$1,2)</f>
        <v/>
      </c>
    </row>
    <row r="95" customFormat="1" s="1">
      <c r="A95" s="234" t="n"/>
      <c r="B95" s="231" t="inlineStr">
        <is>
          <t>SKU-8992A5AF</t>
        </is>
      </c>
      <c r="C95" s="231" t="inlineStr">
        <is>
          <t>是</t>
        </is>
      </c>
      <c r="D95" s="231" t="n">
        <v>10</v>
      </c>
      <c r="E95" s="231" t="inlineStr"/>
      <c r="F95" s="231" t="inlineStr"/>
      <c r="G95" s="231" t="inlineStr"/>
      <c r="H95" s="231" t="inlineStr"/>
      <c r="I95" s="231" t="inlineStr"/>
      <c r="J95" s="27" t="inlineStr"/>
      <c r="K95" s="27" t="inlineStr"/>
      <c r="L95" s="231" t="n">
        <v>100</v>
      </c>
      <c r="M95" s="19" t="inlineStr">
        <is>
          <t>Product-15073DAA</t>
        </is>
      </c>
      <c r="N95" s="231" t="n">
        <v>1</v>
      </c>
      <c r="O95" s="181">
        <f>SUM(P95:AB95)</f>
        <v/>
      </c>
      <c r="P95" s="182">
        <f>ROUND(#REF!+#REF!+#REF!+预安排!F100+#REF!+'6月'!P95,5)</f>
        <v/>
      </c>
      <c r="Q95" s="182">
        <f>ROUND(#REF!+#REF!+#REF!+预安排!#REF!+#REF!+'6月'!Q95,5)</f>
        <v/>
      </c>
      <c r="R95" s="182">
        <f>ROUND(#REF!+#REF!+#REF!+预安排!G100+#REF!+'6月'!R95,5)</f>
        <v/>
      </c>
      <c r="S95" s="182">
        <f>ROUND(#REF!+#REF!+#REF!+预安排!#REF!+#REF!+'6月'!S95,5)</f>
        <v/>
      </c>
      <c r="T95" s="182">
        <f>ROUND(#REF!+#REF!+#REF!+预安排!#REF!+#REF!+'6月'!T95,5)</f>
        <v/>
      </c>
      <c r="U95" s="182">
        <f>ROUND(#REF!+#REF!+#REF!+预安排!O100+#REF!+'6月'!U95,5)</f>
        <v/>
      </c>
      <c r="V95" s="182">
        <f>ROUND(#REF!+#REF!+#REF!+预安排!P100+#REF!+'6月'!V95,5)</f>
        <v/>
      </c>
      <c r="W95" s="182">
        <f>ROUND(#REF!+#REF!+#REF!+预安排!Q100+#REF!+'6月'!W95,5)</f>
        <v/>
      </c>
      <c r="X95" s="182">
        <f>ROUND(#REF!+#REF!+#REF!+预安排!R100+#REF!+'6月'!X95,5)</f>
        <v/>
      </c>
      <c r="Y95" s="182">
        <f>ROUND(#REF!+#REF!+#REF!+预安排!S100+#REF!+'6月'!Y95,5)</f>
        <v/>
      </c>
      <c r="Z95" s="182">
        <f>ROUND(#REF!+#REF!+#REF!+预安排!#REF!+#REF!+'6月'!Z95,5)</f>
        <v/>
      </c>
      <c r="AA95" s="182">
        <f>ROUND(#REF!+#REF!+#REF!+预安排!#REF!+#REF!+'6月'!AA95,5)</f>
        <v/>
      </c>
      <c r="AB95" s="182">
        <f>ROUND(#REF!+#REF!+#REF!+预安排!#REF!+#REF!+'6月'!AB95,5)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193">
        <f>计划!O95-O95</f>
        <v/>
      </c>
      <c r="AH95" s="193">
        <f>ROUND(AG95/$AH$1,2)</f>
        <v/>
      </c>
    </row>
    <row r="96" customFormat="1" s="1">
      <c r="A96" s="234" t="n"/>
      <c r="B96" s="231" t="inlineStr">
        <is>
          <t>SKU-9DFEFE7F</t>
        </is>
      </c>
      <c r="C96" s="231" t="inlineStr">
        <is>
          <t>是</t>
        </is>
      </c>
      <c r="D96" s="231" t="n">
        <v>6</v>
      </c>
      <c r="E96" s="231" t="inlineStr">
        <is>
          <t>是</t>
        </is>
      </c>
      <c r="F96" s="231" t="inlineStr"/>
      <c r="G96" s="231" t="inlineStr"/>
      <c r="H96" s="231" t="inlineStr">
        <is>
          <t>是</t>
        </is>
      </c>
      <c r="I96" s="231" t="inlineStr">
        <is>
          <t>是</t>
        </is>
      </c>
      <c r="J96" s="27" t="inlineStr"/>
      <c r="K96" s="27" t="inlineStr"/>
      <c r="L96" s="231" t="n">
        <v>100</v>
      </c>
      <c r="M96" s="19" t="inlineStr">
        <is>
          <t>Product-14B419F6</t>
        </is>
      </c>
      <c r="N96" s="231" t="n">
        <v>1</v>
      </c>
      <c r="O96" s="181">
        <f>SUM(P96:AB96)</f>
        <v/>
      </c>
      <c r="P96" s="182">
        <f>ROUND(#REF!+#REF!+#REF!+预安排!F101+#REF!+'6月'!P96,5)</f>
        <v/>
      </c>
      <c r="Q96" s="182">
        <f>ROUND(#REF!+#REF!+#REF!+预安排!#REF!+#REF!+'6月'!Q96,5)</f>
        <v/>
      </c>
      <c r="R96" s="182">
        <f>ROUND(#REF!+#REF!+#REF!+预安排!G101+#REF!+'6月'!R96,5)</f>
        <v/>
      </c>
      <c r="S96" s="182">
        <f>ROUND(#REF!+#REF!+#REF!+预安排!#REF!+#REF!+'6月'!S96,5)</f>
        <v/>
      </c>
      <c r="T96" s="182">
        <f>ROUND(#REF!+#REF!+#REF!+预安排!#REF!+#REF!+'6月'!T96,5)</f>
        <v/>
      </c>
      <c r="U96" s="182">
        <f>ROUND(#REF!+#REF!+#REF!+预安排!O101+#REF!+'6月'!U96,5)</f>
        <v/>
      </c>
      <c r="V96" s="182">
        <f>ROUND(#REF!+#REF!+#REF!+预安排!P101+#REF!+'6月'!V96,5)</f>
        <v/>
      </c>
      <c r="W96" s="182">
        <f>ROUND(#REF!+#REF!+#REF!+预安排!Q101+#REF!+'6月'!W96,5)</f>
        <v/>
      </c>
      <c r="X96" s="182">
        <f>ROUND(#REF!+#REF!+#REF!+预安排!R101+#REF!+'6月'!X96,5)</f>
        <v/>
      </c>
      <c r="Y96" s="182">
        <f>ROUND(#REF!+#REF!+#REF!+预安排!S101+#REF!+'6月'!Y96,5)</f>
        <v/>
      </c>
      <c r="Z96" s="182">
        <f>ROUND(#REF!+#REF!+#REF!+预安排!#REF!+#REF!+'6月'!Z96,5)</f>
        <v/>
      </c>
      <c r="AA96" s="182">
        <f>ROUND(#REF!+#REF!+#REF!+预安排!#REF!+#REF!+'6月'!AA96,5)</f>
        <v/>
      </c>
      <c r="AB96" s="182">
        <f>ROUND(#REF!+#REF!+#REF!+预安排!#REF!+#REF!+'6月'!AB96,5)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193">
        <f>计划!O96-O96</f>
        <v/>
      </c>
      <c r="AH96" s="193">
        <f>ROUND(AG96/$AH$1,2)</f>
        <v/>
      </c>
    </row>
    <row r="97" customFormat="1" s="1">
      <c r="A97" s="234" t="n"/>
      <c r="B97" s="231" t="inlineStr">
        <is>
          <t>SKU-707B6E8A</t>
        </is>
      </c>
      <c r="C97" s="231" t="inlineStr">
        <is>
          <t>是</t>
        </is>
      </c>
      <c r="D97" s="231" t="n">
        <v>3</v>
      </c>
      <c r="E97" s="231" t="inlineStr">
        <is>
          <t>是</t>
        </is>
      </c>
      <c r="F97" s="231" t="inlineStr"/>
      <c r="G97" s="231" t="inlineStr"/>
      <c r="H97" s="231" t="inlineStr"/>
      <c r="I97" s="231" t="inlineStr">
        <is>
          <t>是</t>
        </is>
      </c>
      <c r="J97" s="27" t="inlineStr"/>
      <c r="K97" s="27" t="inlineStr"/>
      <c r="L97" s="231" t="n">
        <v>100</v>
      </c>
      <c r="M97" s="19" t="inlineStr">
        <is>
          <t>Product-069A5966</t>
        </is>
      </c>
      <c r="N97" s="231" t="n">
        <v>1</v>
      </c>
      <c r="O97" s="181">
        <f>SUM(P97:AB97)</f>
        <v/>
      </c>
      <c r="P97" s="182">
        <f>ROUND(#REF!+#REF!+#REF!+预安排!F102+#REF!+'6月'!P97,5)</f>
        <v/>
      </c>
      <c r="Q97" s="182">
        <f>ROUND(#REF!+#REF!+#REF!+预安排!#REF!+#REF!+'6月'!Q97,5)</f>
        <v/>
      </c>
      <c r="R97" s="182">
        <f>ROUND(#REF!+#REF!+#REF!+预安排!G102+#REF!+'6月'!R97,5)</f>
        <v/>
      </c>
      <c r="S97" s="182">
        <f>ROUND(#REF!+#REF!+#REF!+预安排!#REF!+#REF!+'6月'!S97,5)</f>
        <v/>
      </c>
      <c r="T97" s="182">
        <f>ROUND(#REF!+#REF!+#REF!+预安排!#REF!+#REF!+'6月'!T97,5)</f>
        <v/>
      </c>
      <c r="U97" s="182">
        <f>ROUND(#REF!+#REF!+#REF!+预安排!O102+#REF!+'6月'!U97,5)</f>
        <v/>
      </c>
      <c r="V97" s="182">
        <f>ROUND(#REF!+#REF!+#REF!+预安排!P102+#REF!+'6月'!V97,5)</f>
        <v/>
      </c>
      <c r="W97" s="182">
        <f>ROUND(#REF!+#REF!+#REF!+预安排!Q102+#REF!+'6月'!W97,5)</f>
        <v/>
      </c>
      <c r="X97" s="182">
        <f>ROUND(#REF!+#REF!+#REF!+预安排!R102+#REF!+'6月'!X97,5)</f>
        <v/>
      </c>
      <c r="Y97" s="182">
        <f>ROUND(#REF!+#REF!+#REF!+预安排!S102+#REF!+'6月'!Y97,5)</f>
        <v/>
      </c>
      <c r="Z97" s="182">
        <f>ROUND(#REF!+#REF!+#REF!+预安排!#REF!+#REF!+'6月'!Z97,5)</f>
        <v/>
      </c>
      <c r="AA97" s="182">
        <f>ROUND(#REF!+#REF!+#REF!+预安排!#REF!+#REF!+'6月'!AA97,5)</f>
        <v/>
      </c>
      <c r="AB97" s="182">
        <f>ROUND(#REF!+#REF!+#REF!+预安排!#REF!+#REF!+'6月'!AB97,5)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193">
        <f>计划!O97-O97</f>
        <v/>
      </c>
      <c r="AH97" s="193">
        <f>ROUND(AG97/$AH$1,2)</f>
        <v/>
      </c>
    </row>
    <row r="98" customFormat="1" s="1">
      <c r="A98" s="234" t="n"/>
      <c r="B98" s="231" t="inlineStr">
        <is>
          <t>SKU-5969B13C</t>
        </is>
      </c>
      <c r="C98" s="231" t="inlineStr">
        <is>
          <t>是</t>
        </is>
      </c>
      <c r="D98" s="231" t="n">
        <v>11</v>
      </c>
      <c r="E98" s="231" t="inlineStr"/>
      <c r="F98" s="231" t="inlineStr"/>
      <c r="G98" s="231" t="inlineStr"/>
      <c r="H98" s="231" t="inlineStr"/>
      <c r="I98" s="231" t="inlineStr"/>
      <c r="J98" s="27" t="inlineStr">
        <is>
          <t>共</t>
        </is>
      </c>
      <c r="K98" s="27" t="inlineStr"/>
      <c r="L98" s="231" t="n">
        <v>100</v>
      </c>
      <c r="M98" s="19" t="inlineStr">
        <is>
          <t>Product-D41D58A6</t>
        </is>
      </c>
      <c r="N98" s="231" t="n">
        <v>1</v>
      </c>
      <c r="O98" s="181">
        <f>SUM(P98:AB98)</f>
        <v/>
      </c>
      <c r="P98" s="182">
        <f>ROUND(#REF!+#REF!+#REF!+预安排!F103+#REF!+'6月'!P98,5)</f>
        <v/>
      </c>
      <c r="Q98" s="182">
        <f>ROUND(#REF!+#REF!+#REF!+预安排!#REF!+#REF!+'6月'!Q98,5)</f>
        <v/>
      </c>
      <c r="R98" s="182">
        <f>ROUND(#REF!+#REF!+#REF!+预安排!G103+#REF!+'6月'!R98,5)</f>
        <v/>
      </c>
      <c r="S98" s="182">
        <f>ROUND(#REF!+#REF!+#REF!+预安排!#REF!+#REF!+'6月'!S98,5)</f>
        <v/>
      </c>
      <c r="T98" s="182">
        <f>ROUND(#REF!+#REF!+#REF!+预安排!#REF!+#REF!+'6月'!T98,5)</f>
        <v/>
      </c>
      <c r="U98" s="182">
        <f>ROUND(#REF!+#REF!+#REF!+预安排!O103+#REF!+'6月'!U98,5)</f>
        <v/>
      </c>
      <c r="V98" s="182">
        <f>ROUND(#REF!+#REF!+#REF!+预安排!P103+#REF!+'6月'!V98,5)</f>
        <v/>
      </c>
      <c r="W98" s="182">
        <f>ROUND(#REF!+#REF!+#REF!+预安排!Q103+#REF!+'6月'!W98,5)</f>
        <v/>
      </c>
      <c r="X98" s="182">
        <f>ROUND(#REF!+#REF!+#REF!+预安排!R103+#REF!+'6月'!X98,5)</f>
        <v/>
      </c>
      <c r="Y98" s="182">
        <f>ROUND(#REF!+#REF!+#REF!+预安排!S103+#REF!+'6月'!Y98,5)</f>
        <v/>
      </c>
      <c r="Z98" s="182">
        <f>ROUND(#REF!+#REF!+#REF!+预安排!#REF!+#REF!+'6月'!Z98,5)</f>
        <v/>
      </c>
      <c r="AA98" s="182">
        <f>ROUND(#REF!+#REF!+#REF!+预安排!#REF!+#REF!+'6月'!AA98,5)</f>
        <v/>
      </c>
      <c r="AB98" s="182">
        <f>ROUND(#REF!+#REF!+#REF!+预安排!#REF!+#REF!+'6月'!AB98,5)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193">
        <f>计划!O98-O98</f>
        <v/>
      </c>
      <c r="AH98" s="193">
        <f>ROUND(AG98/$AH$1,2)</f>
        <v/>
      </c>
    </row>
    <row r="99" customFormat="1" s="1">
      <c r="A99" s="234" t="n"/>
      <c r="B99" s="231" t="inlineStr">
        <is>
          <t>SKU-54FF462C</t>
        </is>
      </c>
      <c r="C99" s="231" t="inlineStr">
        <is>
          <t>是</t>
        </is>
      </c>
      <c r="D99" s="231" t="n">
        <v>11</v>
      </c>
      <c r="E99" s="231" t="inlineStr"/>
      <c r="F99" s="231" t="inlineStr"/>
      <c r="G99" s="231" t="inlineStr"/>
      <c r="H99" s="231" t="inlineStr"/>
      <c r="I99" s="231" t="inlineStr"/>
      <c r="J99" s="27" t="inlineStr">
        <is>
          <t>共</t>
        </is>
      </c>
      <c r="K99" s="27" t="inlineStr"/>
      <c r="L99" s="231" t="n">
        <v>100</v>
      </c>
      <c r="M99" s="19" t="inlineStr">
        <is>
          <t>Product-61A907C6</t>
        </is>
      </c>
      <c r="N99" s="231" t="n">
        <v>1</v>
      </c>
      <c r="O99" s="181">
        <f>SUM(P99:AB99)</f>
        <v/>
      </c>
      <c r="P99" s="182">
        <f>ROUND(#REF!+#REF!+#REF!+预安排!F104+#REF!+'6月'!P99,5)</f>
        <v/>
      </c>
      <c r="Q99" s="182">
        <f>ROUND(#REF!+#REF!+#REF!+预安排!#REF!+#REF!+'6月'!Q99,5)</f>
        <v/>
      </c>
      <c r="R99" s="182">
        <f>ROUND(#REF!+#REF!+#REF!+预安排!G104+#REF!+'6月'!R99,5)</f>
        <v/>
      </c>
      <c r="S99" s="182">
        <f>ROUND(#REF!+#REF!+#REF!+预安排!#REF!+#REF!+'6月'!S99,5)</f>
        <v/>
      </c>
      <c r="T99" s="182">
        <f>ROUND(#REF!+#REF!+#REF!+预安排!#REF!+#REF!+'6月'!T99,5)</f>
        <v/>
      </c>
      <c r="U99" s="182">
        <f>ROUND(#REF!+#REF!+#REF!+预安排!O104+#REF!+'6月'!U99,5)</f>
        <v/>
      </c>
      <c r="V99" s="182">
        <f>ROUND(#REF!+#REF!+#REF!+预安排!P104+#REF!+'6月'!V99,5)</f>
        <v/>
      </c>
      <c r="W99" s="182">
        <f>ROUND(#REF!+#REF!+#REF!+预安排!Q104+#REF!+'6月'!W99,5)</f>
        <v/>
      </c>
      <c r="X99" s="182">
        <f>ROUND(#REF!+#REF!+#REF!+预安排!R104+#REF!+'6月'!X99,5)</f>
        <v/>
      </c>
      <c r="Y99" s="182">
        <f>ROUND(#REF!+#REF!+#REF!+预安排!S104+#REF!+'6月'!Y99,5)</f>
        <v/>
      </c>
      <c r="Z99" s="182">
        <f>ROUND(#REF!+#REF!+#REF!+预安排!#REF!+#REF!+'6月'!Z99,5)</f>
        <v/>
      </c>
      <c r="AA99" s="182">
        <f>ROUND(#REF!+#REF!+#REF!+预安排!#REF!+#REF!+'6月'!AA99,5)</f>
        <v/>
      </c>
      <c r="AB99" s="182">
        <f>ROUND(#REF!+#REF!+#REF!+预安排!#REF!+#REF!+'6月'!AB99,5)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  <c r="AG99" s="193">
        <f>计划!O99-O99</f>
        <v/>
      </c>
      <c r="AH99" s="193">
        <f>ROUND(AG99/$AH$1,2)</f>
        <v/>
      </c>
    </row>
    <row r="100" customFormat="1" s="1">
      <c r="A100" s="234" t="n"/>
      <c r="B100" s="231" t="inlineStr">
        <is>
          <t>SKU-124FFA8F</t>
        </is>
      </c>
      <c r="C100" s="231" t="inlineStr">
        <is>
          <t>是</t>
        </is>
      </c>
      <c r="D100" s="231" t="n">
        <v>8</v>
      </c>
      <c r="E100" s="231" t="inlineStr"/>
      <c r="F100" s="231" t="inlineStr">
        <is>
          <t>是</t>
        </is>
      </c>
      <c r="G100" s="231" t="inlineStr"/>
      <c r="H100" s="231" t="inlineStr"/>
      <c r="I100" s="231" t="inlineStr">
        <is>
          <t>是</t>
        </is>
      </c>
      <c r="J100" s="27" t="inlineStr"/>
      <c r="K100" s="27" t="inlineStr"/>
      <c r="L100" s="231" t="n">
        <v>100</v>
      </c>
      <c r="M100" s="33" t="inlineStr">
        <is>
          <t>Product-D911580D</t>
        </is>
      </c>
      <c r="N100" s="231" t="n">
        <v>1</v>
      </c>
      <c r="O100" s="181">
        <f>SUM(P100:AB100)</f>
        <v/>
      </c>
      <c r="P100" s="182">
        <f>ROUND(#REF!+#REF!+#REF!+预安排!F105+#REF!+'6月'!P100,5)</f>
        <v/>
      </c>
      <c r="Q100" s="182">
        <f>ROUND(#REF!+#REF!+#REF!+预安排!#REF!+#REF!+'6月'!Q100,5)</f>
        <v/>
      </c>
      <c r="R100" s="182">
        <f>ROUND(#REF!+#REF!+#REF!+预安排!G105+#REF!+'6月'!R100,5)</f>
        <v/>
      </c>
      <c r="S100" s="182">
        <f>ROUND(#REF!+#REF!+#REF!+预安排!#REF!+#REF!+'6月'!S100,5)</f>
        <v/>
      </c>
      <c r="T100" s="182">
        <f>ROUND(#REF!+#REF!+#REF!+预安排!#REF!+#REF!+'6月'!T100,5)</f>
        <v/>
      </c>
      <c r="U100" s="182">
        <f>ROUND(#REF!+#REF!+#REF!+预安排!O105+#REF!+'6月'!U100,5)</f>
        <v/>
      </c>
      <c r="V100" s="182">
        <f>ROUND(#REF!+#REF!+#REF!+预安排!P105+#REF!+'6月'!V100,5)</f>
        <v/>
      </c>
      <c r="W100" s="182">
        <f>ROUND(#REF!+#REF!+#REF!+预安排!Q105+#REF!+'6月'!W100,5)</f>
        <v/>
      </c>
      <c r="X100" s="182">
        <f>ROUND(#REF!+#REF!+#REF!+预安排!R105+#REF!+'6月'!X100,5)</f>
        <v/>
      </c>
      <c r="Y100" s="182">
        <f>ROUND(#REF!+#REF!+#REF!+预安排!S105+#REF!+'6月'!Y100,5)</f>
        <v/>
      </c>
      <c r="Z100" s="182">
        <f>ROUND(#REF!+#REF!+#REF!+预安排!#REF!+#REF!+'6月'!Z100,5)</f>
        <v/>
      </c>
      <c r="AA100" s="182">
        <f>ROUND(#REF!+#REF!+#REF!+预安排!#REF!+#REF!+'6月'!AA100,5)</f>
        <v/>
      </c>
      <c r="AB100" s="182">
        <f>ROUND(#REF!+#REF!+#REF!+预安排!#REF!+#REF!+'6月'!AB100,5)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193">
        <f>计划!O100-O100</f>
        <v/>
      </c>
      <c r="AH100" s="193">
        <f>ROUND(AG100/$AH$1,2)</f>
        <v/>
      </c>
    </row>
    <row r="101" customFormat="1" s="1">
      <c r="A101" s="234" t="n"/>
      <c r="B101" s="231" t="inlineStr">
        <is>
          <t>SKU-AA4E2A39</t>
        </is>
      </c>
      <c r="C101" s="231" t="inlineStr">
        <is>
          <t>是</t>
        </is>
      </c>
      <c r="D101" s="231" t="n">
        <v>10</v>
      </c>
      <c r="E101" s="231" t="inlineStr"/>
      <c r="F101" s="231" t="inlineStr">
        <is>
          <t>是</t>
        </is>
      </c>
      <c r="G101" s="231" t="inlineStr"/>
      <c r="H101" s="231" t="inlineStr"/>
      <c r="I101" s="231" t="inlineStr">
        <is>
          <t>是</t>
        </is>
      </c>
      <c r="J101" s="27" t="inlineStr"/>
      <c r="K101" s="27" t="inlineStr"/>
      <c r="L101" s="231" t="n">
        <v>100</v>
      </c>
      <c r="M101" s="33" t="inlineStr">
        <is>
          <t>Product-702B5290</t>
        </is>
      </c>
      <c r="N101" s="231" t="n">
        <v>1</v>
      </c>
      <c r="O101" s="181">
        <f>SUM(P101:AB101)</f>
        <v/>
      </c>
      <c r="P101" s="182">
        <f>ROUND(#REF!+#REF!+#REF!+预安排!F106+#REF!+'6月'!P101,5)</f>
        <v/>
      </c>
      <c r="Q101" s="182">
        <f>ROUND(#REF!+#REF!+#REF!+预安排!#REF!+#REF!+'6月'!Q101,5)</f>
        <v/>
      </c>
      <c r="R101" s="182">
        <f>ROUND(#REF!+#REF!+#REF!+预安排!G106+#REF!+'6月'!R101,5)</f>
        <v/>
      </c>
      <c r="S101" s="182">
        <f>ROUND(#REF!+#REF!+#REF!+预安排!#REF!+#REF!+'6月'!S101,5)</f>
        <v/>
      </c>
      <c r="T101" s="182">
        <f>ROUND(#REF!+#REF!+#REF!+预安排!#REF!+#REF!+'6月'!T101,5)</f>
        <v/>
      </c>
      <c r="U101" s="182">
        <f>ROUND(#REF!+#REF!+#REF!+预安排!O106+#REF!+'6月'!U101,5)</f>
        <v/>
      </c>
      <c r="V101" s="182">
        <f>ROUND(#REF!+#REF!+#REF!+预安排!P106+#REF!+'6月'!V101,5)</f>
        <v/>
      </c>
      <c r="W101" s="182">
        <f>ROUND(#REF!+#REF!+#REF!+预安排!Q106+#REF!+'6月'!W101,5)</f>
        <v/>
      </c>
      <c r="X101" s="182">
        <f>ROUND(#REF!+#REF!+#REF!+预安排!R106+#REF!+'6月'!X101,5)</f>
        <v/>
      </c>
      <c r="Y101" s="182">
        <f>ROUND(#REF!+#REF!+#REF!+预安排!S106+#REF!+'6月'!Y101,5)</f>
        <v/>
      </c>
      <c r="Z101" s="182">
        <f>ROUND(#REF!+#REF!+#REF!+预安排!#REF!+#REF!+'6月'!Z101,5)</f>
        <v/>
      </c>
      <c r="AA101" s="182">
        <f>ROUND(#REF!+#REF!+#REF!+预安排!#REF!+#REF!+'6月'!AA101,5)</f>
        <v/>
      </c>
      <c r="AB101" s="182">
        <f>ROUND(#REF!+#REF!+#REF!+预安排!#REF!+#REF!+'6月'!AB101,5)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193">
        <f>计划!O101-O101</f>
        <v/>
      </c>
      <c r="AH101" s="193">
        <f>ROUND(AG101/$AH$1,2)</f>
        <v/>
      </c>
    </row>
    <row r="102" customFormat="1" s="1">
      <c r="A102" s="234" t="n"/>
      <c r="B102" s="231" t="inlineStr">
        <is>
          <t>SKU-913263BA</t>
        </is>
      </c>
      <c r="C102" s="231" t="inlineStr">
        <is>
          <t>是</t>
        </is>
      </c>
      <c r="D102" s="231" t="n">
        <v>10</v>
      </c>
      <c r="E102" s="231" t="inlineStr"/>
      <c r="F102" s="231" t="inlineStr">
        <is>
          <t>是</t>
        </is>
      </c>
      <c r="G102" s="231" t="inlineStr"/>
      <c r="H102" s="231" t="inlineStr"/>
      <c r="I102" s="231" t="inlineStr">
        <is>
          <t>是</t>
        </is>
      </c>
      <c r="J102" s="27" t="inlineStr"/>
      <c r="K102" s="27" t="inlineStr"/>
      <c r="L102" s="231" t="n">
        <v>100</v>
      </c>
      <c r="M102" s="19" t="inlineStr">
        <is>
          <t>Product-702B5290</t>
        </is>
      </c>
      <c r="N102" s="231" t="n">
        <v>1</v>
      </c>
      <c r="O102" s="181">
        <f>SUM(P102:AB102)</f>
        <v/>
      </c>
      <c r="P102" s="182">
        <f>ROUND(#REF!+#REF!+#REF!+预安排!F107+#REF!+'6月'!P102,5)</f>
        <v/>
      </c>
      <c r="Q102" s="182">
        <f>ROUND(#REF!+#REF!+#REF!+预安排!#REF!+#REF!+'6月'!Q102,5)</f>
        <v/>
      </c>
      <c r="R102" s="182">
        <f>ROUND(#REF!+#REF!+#REF!+预安排!G107+#REF!+'6月'!R102,5)</f>
        <v/>
      </c>
      <c r="S102" s="182">
        <f>ROUND(#REF!+#REF!+#REF!+预安排!#REF!+#REF!+'6月'!S102,5)</f>
        <v/>
      </c>
      <c r="T102" s="182">
        <f>ROUND(#REF!+#REF!+#REF!+预安排!#REF!+#REF!+'6月'!T102,5)</f>
        <v/>
      </c>
      <c r="U102" s="182">
        <f>ROUND(#REF!+#REF!+#REF!+预安排!O107+#REF!+'6月'!U102,5)</f>
        <v/>
      </c>
      <c r="V102" s="182">
        <f>ROUND(#REF!+#REF!+#REF!+预安排!P107+#REF!+'6月'!V102,5)</f>
        <v/>
      </c>
      <c r="W102" s="182">
        <f>ROUND(#REF!+#REF!+#REF!+预安排!Q107+#REF!+'6月'!W102,5)</f>
        <v/>
      </c>
      <c r="X102" s="182">
        <f>ROUND(#REF!+#REF!+#REF!+预安排!R107+#REF!+'6月'!X102,5)</f>
        <v/>
      </c>
      <c r="Y102" s="182">
        <f>ROUND(#REF!+#REF!+#REF!+预安排!S107+#REF!+'6月'!Y102,5)</f>
        <v/>
      </c>
      <c r="Z102" s="182">
        <f>ROUND(#REF!+#REF!+#REF!+预安排!#REF!+#REF!+'6月'!Z102,5)</f>
        <v/>
      </c>
      <c r="AA102" s="182">
        <f>ROUND(#REF!+#REF!+#REF!+预安排!#REF!+#REF!+'6月'!AA102,5)</f>
        <v/>
      </c>
      <c r="AB102" s="182">
        <f>ROUND(#REF!+#REF!+#REF!+预安排!#REF!+#REF!+'6月'!AB102,5)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193">
        <f>计划!O102-O102</f>
        <v/>
      </c>
      <c r="AH102" s="193">
        <f>ROUND(AG102/$AH$1,2)</f>
        <v/>
      </c>
    </row>
    <row r="103" customFormat="1" s="1">
      <c r="A103" s="235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196">
        <f>计划!O103-O103</f>
        <v/>
      </c>
      <c r="AH103" s="196">
        <f>ROUND(AG103/$AH$1,2)</f>
        <v/>
      </c>
    </row>
    <row r="104" customFormat="1" s="1">
      <c r="A104" s="25" t="inlineStr">
        <is>
          <t>浙江</t>
        </is>
      </c>
      <c r="B104" s="231" t="inlineStr">
        <is>
          <t>SKU-C3332279</t>
        </is>
      </c>
      <c r="C104" s="231" t="inlineStr">
        <is>
          <t>是</t>
        </is>
      </c>
      <c r="D104" s="231" t="n">
        <v>11</v>
      </c>
      <c r="E104" s="231" t="inlineStr"/>
      <c r="F104" s="231" t="inlineStr"/>
      <c r="G104" s="231" t="inlineStr"/>
      <c r="H104" s="231" t="inlineStr"/>
      <c r="I104" s="231" t="inlineStr"/>
      <c r="J104" s="27" t="inlineStr">
        <is>
          <t>共</t>
        </is>
      </c>
      <c r="K104" s="27" t="inlineStr"/>
      <c r="L104" s="231" t="n">
        <v>100</v>
      </c>
      <c r="M104" s="19" t="inlineStr">
        <is>
          <t>Product-DBF6F56C</t>
        </is>
      </c>
      <c r="N104" s="231" t="n">
        <v>2</v>
      </c>
      <c r="O104" s="181">
        <f>SUM(P104:AB104)</f>
        <v/>
      </c>
      <c r="P104" s="182">
        <f>ROUND(#REF!+#REF!+#REF!+预安排!F109+#REF!+'6月'!P104,5)</f>
        <v/>
      </c>
      <c r="Q104" s="182">
        <f>ROUND(#REF!+#REF!+#REF!+预安排!#REF!+#REF!+'6月'!Q104,5)</f>
        <v/>
      </c>
      <c r="R104" s="182">
        <f>ROUND(#REF!+#REF!+#REF!+预安排!G109+#REF!+'6月'!R104,5)</f>
        <v/>
      </c>
      <c r="S104" s="182">
        <f>ROUND(#REF!+#REF!+#REF!+预安排!#REF!+#REF!+'6月'!S104,5)</f>
        <v/>
      </c>
      <c r="T104" s="182">
        <f>ROUND(#REF!+#REF!+#REF!+预安排!#REF!+#REF!+'6月'!T104,5)</f>
        <v/>
      </c>
      <c r="U104" s="182">
        <f>ROUND(#REF!+#REF!+#REF!+预安排!O109+#REF!+'6月'!U104,5)</f>
        <v/>
      </c>
      <c r="V104" s="182">
        <f>ROUND(#REF!+#REF!+#REF!+预安排!P109+#REF!+'6月'!V104,5)</f>
        <v/>
      </c>
      <c r="W104" s="182">
        <f>ROUND(#REF!+#REF!+#REF!+预安排!Q109+#REF!+'6月'!W104,5)</f>
        <v/>
      </c>
      <c r="X104" s="182">
        <f>ROUND(#REF!+#REF!+#REF!+预安排!R109+#REF!+'6月'!X104,5)</f>
        <v/>
      </c>
      <c r="Y104" s="182">
        <f>ROUND(#REF!+#REF!+#REF!+预安排!S109+#REF!+'6月'!Y104,5)</f>
        <v/>
      </c>
      <c r="Z104" s="182">
        <f>ROUND(#REF!+#REF!+#REF!+预安排!#REF!+#REF!+'6月'!Z104,5)</f>
        <v/>
      </c>
      <c r="AA104" s="182">
        <f>ROUND(#REF!+#REF!+#REF!+预安排!#REF!+#REF!+'6月'!AA104,5)</f>
        <v/>
      </c>
      <c r="AB104" s="182">
        <f>ROUND(#REF!+#REF!+#REF!+预安排!#REF!+#REF!+'6月'!AB104,5)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193">
        <f>计划!O104-O104</f>
        <v/>
      </c>
      <c r="AH104" s="193">
        <f>ROUND(AG104/$AH$1,2)</f>
        <v/>
      </c>
    </row>
    <row r="105" customFormat="1" s="1">
      <c r="A105" s="234" t="n"/>
      <c r="B105" s="231" t="inlineStr">
        <is>
          <t>SKU-98BD550F</t>
        </is>
      </c>
      <c r="C105" s="231" t="inlineStr">
        <is>
          <t>是</t>
        </is>
      </c>
      <c r="D105" s="231" t="n">
        <v>11</v>
      </c>
      <c r="E105" s="231" t="inlineStr"/>
      <c r="F105" s="231" t="inlineStr"/>
      <c r="G105" s="231" t="inlineStr"/>
      <c r="H105" s="231" t="inlineStr"/>
      <c r="I105" s="231" t="inlineStr"/>
      <c r="J105" s="27" t="inlineStr">
        <is>
          <t>共</t>
        </is>
      </c>
      <c r="K105" s="27" t="inlineStr"/>
      <c r="L105" s="231" t="n">
        <v>100</v>
      </c>
      <c r="M105" s="19" t="inlineStr">
        <is>
          <t>Product-63C67A59</t>
        </is>
      </c>
      <c r="N105" s="231" t="n">
        <v>1</v>
      </c>
      <c r="O105" s="181">
        <f>SUM(P105:AB105)</f>
        <v/>
      </c>
      <c r="P105" s="182">
        <f>ROUND(#REF!+#REF!+#REF!+预安排!F110+#REF!+'6月'!P105,5)</f>
        <v/>
      </c>
      <c r="Q105" s="182">
        <f>ROUND(#REF!+#REF!+#REF!+预安排!#REF!+#REF!+'6月'!Q105,5)</f>
        <v/>
      </c>
      <c r="R105" s="182">
        <f>ROUND(#REF!+#REF!+#REF!+预安排!G110+#REF!+'6月'!R105,5)</f>
        <v/>
      </c>
      <c r="S105" s="182">
        <f>ROUND(#REF!+#REF!+#REF!+预安排!#REF!+#REF!+'6月'!S105,5)</f>
        <v/>
      </c>
      <c r="T105" s="182">
        <f>ROUND(#REF!+#REF!+#REF!+预安排!#REF!+#REF!+'6月'!T105,5)</f>
        <v/>
      </c>
      <c r="U105" s="182">
        <f>ROUND(#REF!+#REF!+#REF!+预安排!O110+#REF!+'6月'!U105,5)</f>
        <v/>
      </c>
      <c r="V105" s="182">
        <f>ROUND(#REF!+#REF!+#REF!+预安排!P110+#REF!+'6月'!V105,5)</f>
        <v/>
      </c>
      <c r="W105" s="182">
        <f>ROUND(#REF!+#REF!+#REF!+预安排!Q110+#REF!+'6月'!W105,5)</f>
        <v/>
      </c>
      <c r="X105" s="182">
        <f>ROUND(#REF!+#REF!+#REF!+预安排!R110+#REF!+'6月'!X105,5)</f>
        <v/>
      </c>
      <c r="Y105" s="182">
        <f>ROUND(#REF!+#REF!+#REF!+预安排!S110+#REF!+'6月'!Y105,5)</f>
        <v/>
      </c>
      <c r="Z105" s="182">
        <f>ROUND(#REF!+#REF!+#REF!+预安排!#REF!+#REF!+'6月'!Z105,5)</f>
        <v/>
      </c>
      <c r="AA105" s="182">
        <f>ROUND(#REF!+#REF!+#REF!+预安排!#REF!+#REF!+'6月'!AA105,5)</f>
        <v/>
      </c>
      <c r="AB105" s="182">
        <f>ROUND(#REF!+#REF!+#REF!+预安排!#REF!+#REF!+'6月'!AB105,5)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193">
        <f>计划!O105-O105</f>
        <v/>
      </c>
      <c r="AH105" s="193">
        <f>ROUND(AG105/$AH$1,2)</f>
        <v/>
      </c>
    </row>
    <row r="106" customFormat="1" s="1">
      <c r="A106" s="234" t="n"/>
      <c r="B106" s="231" t="inlineStr">
        <is>
          <t>SKU-9165C4CC</t>
        </is>
      </c>
      <c r="C106" s="231" t="inlineStr">
        <is>
          <t>是</t>
        </is>
      </c>
      <c r="D106" s="231" t="n">
        <v>11</v>
      </c>
      <c r="E106" s="231" t="inlineStr"/>
      <c r="F106" s="231" t="inlineStr"/>
      <c r="G106" s="231" t="inlineStr"/>
      <c r="H106" s="231" t="inlineStr"/>
      <c r="I106" s="231" t="inlineStr"/>
      <c r="J106" s="27" t="inlineStr"/>
      <c r="K106" s="27" t="inlineStr"/>
      <c r="L106" s="231" t="n">
        <v>100</v>
      </c>
      <c r="M106" s="44" t="inlineStr">
        <is>
          <t>Product-4EAD9177</t>
        </is>
      </c>
      <c r="N106" s="231" t="n">
        <v>2</v>
      </c>
      <c r="O106" s="181">
        <f>SUM(P106:AB106)</f>
        <v/>
      </c>
      <c r="P106" s="182">
        <f>ROUND(#REF!+#REF!+#REF!+预安排!F111+#REF!+'6月'!P106,5)</f>
        <v/>
      </c>
      <c r="Q106" s="182">
        <f>ROUND(#REF!+#REF!+#REF!+预安排!#REF!+#REF!+'6月'!Q106,5)</f>
        <v/>
      </c>
      <c r="R106" s="182">
        <f>ROUND(#REF!+#REF!+#REF!+预安排!G111+#REF!+'6月'!R106,5)</f>
        <v/>
      </c>
      <c r="S106" s="182">
        <f>ROUND(#REF!+#REF!+#REF!+预安排!#REF!+#REF!+'6月'!S106,5)</f>
        <v/>
      </c>
      <c r="T106" s="182">
        <f>ROUND(#REF!+#REF!+#REF!+预安排!#REF!+#REF!+'6月'!T106,5)</f>
        <v/>
      </c>
      <c r="U106" s="182">
        <f>ROUND(#REF!+#REF!+#REF!+预安排!O111+#REF!+'6月'!U106,5)</f>
        <v/>
      </c>
      <c r="V106" s="182">
        <f>ROUND(#REF!+#REF!+#REF!+预安排!P111+#REF!+'6月'!V106,5)</f>
        <v/>
      </c>
      <c r="W106" s="182">
        <f>ROUND(#REF!+#REF!+#REF!+预安排!Q111+#REF!+'6月'!W106,5)</f>
        <v/>
      </c>
      <c r="X106" s="182">
        <f>ROUND(#REF!+#REF!+#REF!+预安排!R111+#REF!+'6月'!X106,5)</f>
        <v/>
      </c>
      <c r="Y106" s="182">
        <f>ROUND(#REF!+#REF!+#REF!+预安排!S111+#REF!+'6月'!Y106,5)</f>
        <v/>
      </c>
      <c r="Z106" s="182">
        <f>ROUND(#REF!+#REF!+#REF!+预安排!#REF!+#REF!+'6月'!Z106,5)</f>
        <v/>
      </c>
      <c r="AA106" s="182">
        <f>ROUND(#REF!+#REF!+#REF!+预安排!#REF!+#REF!+'6月'!AA106,5)</f>
        <v/>
      </c>
      <c r="AB106" s="182">
        <f>ROUND(#REF!+#REF!+#REF!+预安排!#REF!+#REF!+'6月'!AB106,5)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193">
        <f>计划!O106-O106</f>
        <v/>
      </c>
      <c r="AH106" s="193">
        <f>ROUND(AG106/$AH$1,2)</f>
        <v/>
      </c>
    </row>
    <row r="107" customFormat="1" s="1">
      <c r="A107" s="234" t="n"/>
      <c r="B107" s="231" t="inlineStr">
        <is>
          <t>SKU-7B3379FF</t>
        </is>
      </c>
      <c r="C107" s="231" t="inlineStr">
        <is>
          <t>是</t>
        </is>
      </c>
      <c r="D107" s="231" t="n">
        <v>8</v>
      </c>
      <c r="E107" s="231" t="inlineStr"/>
      <c r="F107" s="231" t="inlineStr"/>
      <c r="G107" s="231" t="inlineStr"/>
      <c r="H107" s="231" t="inlineStr"/>
      <c r="I107" s="231" t="inlineStr"/>
      <c r="J107" s="27" t="inlineStr"/>
      <c r="K107" s="27" t="inlineStr"/>
      <c r="L107" s="231" t="n">
        <v>100</v>
      </c>
      <c r="M107" s="19" t="inlineStr">
        <is>
          <t>Product-B1B25B5B</t>
        </is>
      </c>
      <c r="N107" s="231" t="n">
        <v>1</v>
      </c>
      <c r="O107" s="181">
        <f>SUM(P107:AB107)</f>
        <v/>
      </c>
      <c r="P107" s="182">
        <f>ROUND(#REF!+#REF!+#REF!+预安排!F112+#REF!+'6月'!P107,5)</f>
        <v/>
      </c>
      <c r="Q107" s="182">
        <f>ROUND(#REF!+#REF!+#REF!+预安排!#REF!+#REF!+'6月'!Q107,5)</f>
        <v/>
      </c>
      <c r="R107" s="182">
        <f>ROUND(#REF!+#REF!+#REF!+预安排!G112+#REF!+'6月'!R107,5)</f>
        <v/>
      </c>
      <c r="S107" s="182">
        <f>ROUND(#REF!+#REF!+#REF!+预安排!#REF!+#REF!+'6月'!S107,5)</f>
        <v/>
      </c>
      <c r="T107" s="182">
        <f>ROUND(#REF!+#REF!+#REF!+预安排!#REF!+#REF!+'6月'!T107,5)</f>
        <v/>
      </c>
      <c r="U107" s="182">
        <f>ROUND(#REF!+#REF!+#REF!+预安排!O112+#REF!+'6月'!U107,5)</f>
        <v/>
      </c>
      <c r="V107" s="182">
        <f>ROUND(#REF!+#REF!+#REF!+预安排!P112+#REF!+'6月'!V107,5)</f>
        <v/>
      </c>
      <c r="W107" s="182">
        <f>ROUND(#REF!+#REF!+#REF!+预安排!Q112+#REF!+'6月'!W107,5)</f>
        <v/>
      </c>
      <c r="X107" s="182">
        <f>ROUND(#REF!+#REF!+#REF!+预安排!R112+#REF!+'6月'!X107,5)</f>
        <v/>
      </c>
      <c r="Y107" s="182">
        <f>ROUND(#REF!+#REF!+#REF!+预安排!S112+#REF!+'6月'!Y107,5)</f>
        <v/>
      </c>
      <c r="Z107" s="182">
        <f>ROUND(#REF!+#REF!+#REF!+预安排!#REF!+#REF!+'6月'!Z107,5)</f>
        <v/>
      </c>
      <c r="AA107" s="182">
        <f>ROUND(#REF!+#REF!+#REF!+预安排!#REF!+#REF!+'6月'!AA107,5)</f>
        <v/>
      </c>
      <c r="AB107" s="182">
        <f>ROUND(#REF!+#REF!+#REF!+预安排!#REF!+#REF!+'6月'!AB107,5)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193">
        <f>计划!O107-O107</f>
        <v/>
      </c>
      <c r="AH107" s="193">
        <f>ROUND(AG107/$AH$1,2)</f>
        <v/>
      </c>
    </row>
    <row r="108" customFormat="1" s="1">
      <c r="A108" s="234" t="n"/>
      <c r="B108" s="231" t="inlineStr">
        <is>
          <t>SKU-32F1EBAD</t>
        </is>
      </c>
      <c r="C108" s="231" t="inlineStr">
        <is>
          <t>是</t>
        </is>
      </c>
      <c r="D108" s="231" t="n">
        <v>11</v>
      </c>
      <c r="E108" s="231" t="inlineStr"/>
      <c r="F108" s="231" t="inlineStr"/>
      <c r="G108" s="231" t="inlineStr"/>
      <c r="H108" s="231" t="inlineStr"/>
      <c r="I108" s="231" t="inlineStr"/>
      <c r="J108" s="27" t="inlineStr">
        <is>
          <t>共</t>
        </is>
      </c>
      <c r="K108" s="27" t="inlineStr"/>
      <c r="L108" s="231" t="n">
        <v>100</v>
      </c>
      <c r="M108" s="19" t="inlineStr">
        <is>
          <t>Product-1D056F53</t>
        </is>
      </c>
      <c r="N108" s="231" t="n">
        <v>1</v>
      </c>
      <c r="O108" s="181">
        <f>SUM(P108:AB108)</f>
        <v/>
      </c>
      <c r="P108" s="182">
        <f>ROUND(#REF!+#REF!+#REF!+预安排!F113+#REF!+'6月'!P108,5)</f>
        <v/>
      </c>
      <c r="Q108" s="182">
        <f>ROUND(#REF!+#REF!+#REF!+预安排!#REF!+#REF!+'6月'!Q108,5)</f>
        <v/>
      </c>
      <c r="R108" s="182">
        <f>ROUND(#REF!+#REF!+#REF!+预安排!G113+#REF!+'6月'!R108,5)</f>
        <v/>
      </c>
      <c r="S108" s="182">
        <f>ROUND(#REF!+#REF!+#REF!+预安排!#REF!+#REF!+'6月'!S108,5)</f>
        <v/>
      </c>
      <c r="T108" s="182">
        <f>ROUND(#REF!+#REF!+#REF!+预安排!#REF!+#REF!+'6月'!T108,5)</f>
        <v/>
      </c>
      <c r="U108" s="182">
        <f>ROUND(#REF!+#REF!+#REF!+预安排!O113+#REF!+'6月'!U108,5)</f>
        <v/>
      </c>
      <c r="V108" s="182">
        <f>ROUND(#REF!+#REF!+#REF!+预安排!P113+#REF!+'6月'!V108,5)</f>
        <v/>
      </c>
      <c r="W108" s="182">
        <f>ROUND(#REF!+#REF!+#REF!+预安排!Q113+#REF!+'6月'!W108,5)</f>
        <v/>
      </c>
      <c r="X108" s="182">
        <f>ROUND(#REF!+#REF!+#REF!+预安排!R113+#REF!+'6月'!X108,5)</f>
        <v/>
      </c>
      <c r="Y108" s="182">
        <f>ROUND(#REF!+#REF!+#REF!+预安排!S113+#REF!+'6月'!Y108,5)</f>
        <v/>
      </c>
      <c r="Z108" s="182">
        <f>ROUND(#REF!+#REF!+#REF!+预安排!#REF!+#REF!+'6月'!Z108,5)</f>
        <v/>
      </c>
      <c r="AA108" s="182">
        <f>ROUND(#REF!+#REF!+#REF!+预安排!#REF!+#REF!+'6月'!AA108,5)</f>
        <v/>
      </c>
      <c r="AB108" s="182">
        <f>ROUND(#REF!+#REF!+#REF!+预安排!#REF!+#REF!+'6月'!AB108,5)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193">
        <f>计划!O108-O108</f>
        <v/>
      </c>
      <c r="AH108" s="193">
        <f>ROUND(AG108/$AH$1,2)</f>
        <v/>
      </c>
    </row>
    <row r="109" customFormat="1" s="1">
      <c r="A109" s="234" t="n"/>
      <c r="B109" s="231" t="inlineStr">
        <is>
          <t>SKU-94863575</t>
        </is>
      </c>
      <c r="C109" s="231" t="inlineStr">
        <is>
          <t>是</t>
        </is>
      </c>
      <c r="D109" s="231" t="n">
        <v>11</v>
      </c>
      <c r="E109" s="231" t="inlineStr"/>
      <c r="F109" s="231" t="inlineStr"/>
      <c r="G109" s="231" t="inlineStr"/>
      <c r="H109" s="231" t="inlineStr"/>
      <c r="I109" s="231" t="inlineStr"/>
      <c r="J109" s="27" t="inlineStr"/>
      <c r="K109" s="27" t="inlineStr"/>
      <c r="L109" s="231" t="n">
        <v>100</v>
      </c>
      <c r="M109" s="19" t="inlineStr">
        <is>
          <t>Product-ED96D303</t>
        </is>
      </c>
      <c r="N109" s="231" t="n">
        <v>1</v>
      </c>
      <c r="O109" s="181">
        <f>SUM(P109:AB109)</f>
        <v/>
      </c>
      <c r="P109" s="182">
        <f>ROUND(#REF!+#REF!+#REF!+预安排!F114+#REF!+'6月'!P109,5)</f>
        <v/>
      </c>
      <c r="Q109" s="182">
        <f>ROUND(#REF!+#REF!+#REF!+预安排!#REF!+#REF!+'6月'!Q109,5)</f>
        <v/>
      </c>
      <c r="R109" s="182">
        <f>ROUND(#REF!+#REF!+#REF!+预安排!G114+#REF!+'6月'!R109,5)</f>
        <v/>
      </c>
      <c r="S109" s="182">
        <f>ROUND(#REF!+#REF!+#REF!+预安排!#REF!+#REF!+'6月'!S109,5)</f>
        <v/>
      </c>
      <c r="T109" s="182">
        <f>ROUND(#REF!+#REF!+#REF!+预安排!#REF!+#REF!+'6月'!T109,5)</f>
        <v/>
      </c>
      <c r="U109" s="182">
        <f>ROUND(#REF!+#REF!+#REF!+预安排!O114+#REF!+'6月'!U109,5)</f>
        <v/>
      </c>
      <c r="V109" s="182">
        <f>ROUND(#REF!+#REF!+#REF!+预安排!P114+#REF!+'6月'!V109,5)</f>
        <v/>
      </c>
      <c r="W109" s="182">
        <f>ROUND(#REF!+#REF!+#REF!+预安排!Q114+#REF!+'6月'!W109,5)</f>
        <v/>
      </c>
      <c r="X109" s="182">
        <f>ROUND(#REF!+#REF!+#REF!+预安排!R114+#REF!+'6月'!X109,5)</f>
        <v/>
      </c>
      <c r="Y109" s="182">
        <f>ROUND(#REF!+#REF!+#REF!+预安排!S114+#REF!+'6月'!Y109,5)</f>
        <v/>
      </c>
      <c r="Z109" s="182">
        <f>ROUND(#REF!+#REF!+#REF!+预安排!#REF!+#REF!+'6月'!Z109,5)</f>
        <v/>
      </c>
      <c r="AA109" s="182">
        <f>ROUND(#REF!+#REF!+#REF!+预安排!#REF!+#REF!+'6月'!AA109,5)</f>
        <v/>
      </c>
      <c r="AB109" s="182">
        <f>ROUND(#REF!+#REF!+#REF!+预安排!#REF!+#REF!+'6月'!AB109,5)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193">
        <f>计划!O109-O109</f>
        <v/>
      </c>
      <c r="AH109" s="193">
        <f>ROUND(AG109/$AH$1,2)</f>
        <v/>
      </c>
    </row>
    <row r="110" customFormat="1" s="1">
      <c r="A110" s="234" t="n"/>
      <c r="B110" s="231" t="inlineStr">
        <is>
          <t>SKU-2FCA7D22</t>
        </is>
      </c>
      <c r="C110" s="231" t="inlineStr">
        <is>
          <t>是</t>
        </is>
      </c>
      <c r="D110" s="231" t="n">
        <v>11</v>
      </c>
      <c r="E110" s="231" t="inlineStr"/>
      <c r="F110" s="231" t="inlineStr"/>
      <c r="G110" s="231" t="inlineStr"/>
      <c r="H110" s="231" t="inlineStr"/>
      <c r="I110" s="231" t="inlineStr"/>
      <c r="J110" s="27" t="inlineStr"/>
      <c r="K110" s="27" t="inlineStr"/>
      <c r="L110" s="231" t="n">
        <v>100</v>
      </c>
      <c r="M110" s="19" t="inlineStr">
        <is>
          <t>Product-7CFF1ED9</t>
        </is>
      </c>
      <c r="N110" s="231" t="n">
        <v>1</v>
      </c>
      <c r="O110" s="181">
        <f>SUM(P110:AB110)</f>
        <v/>
      </c>
      <c r="P110" s="182">
        <f>ROUND(#REF!+#REF!+#REF!+预安排!F115+#REF!+'6月'!P110,5)</f>
        <v/>
      </c>
      <c r="Q110" s="182">
        <f>ROUND(#REF!+#REF!+#REF!+预安排!#REF!+#REF!+'6月'!Q110,5)</f>
        <v/>
      </c>
      <c r="R110" s="182">
        <f>ROUND(#REF!+#REF!+#REF!+预安排!G115+#REF!+'6月'!R110,5)</f>
        <v/>
      </c>
      <c r="S110" s="182">
        <f>ROUND(#REF!+#REF!+#REF!+预安排!#REF!+#REF!+'6月'!S110,5)</f>
        <v/>
      </c>
      <c r="T110" s="182">
        <f>ROUND(#REF!+#REF!+#REF!+预安排!#REF!+#REF!+'6月'!T110,5)</f>
        <v/>
      </c>
      <c r="U110" s="182">
        <f>ROUND(#REF!+#REF!+#REF!+预安排!O115+#REF!+'6月'!U110,5)</f>
        <v/>
      </c>
      <c r="V110" s="182">
        <f>ROUND(#REF!+#REF!+#REF!+预安排!P115+#REF!+'6月'!V110,5)</f>
        <v/>
      </c>
      <c r="W110" s="182">
        <f>ROUND(#REF!+#REF!+#REF!+预安排!Q115+#REF!+'6月'!W110,5)</f>
        <v/>
      </c>
      <c r="X110" s="182">
        <f>ROUND(#REF!+#REF!+#REF!+预安排!R115+#REF!+'6月'!X110,5)</f>
        <v/>
      </c>
      <c r="Y110" s="182">
        <f>ROUND(#REF!+#REF!+#REF!+预安排!S115+#REF!+'6月'!Y110,5)</f>
        <v/>
      </c>
      <c r="Z110" s="182">
        <f>ROUND(#REF!+#REF!+#REF!+预安排!#REF!+#REF!+'6月'!Z110,5)</f>
        <v/>
      </c>
      <c r="AA110" s="182">
        <f>ROUND(#REF!+#REF!+#REF!+预安排!#REF!+#REF!+'6月'!AA110,5)</f>
        <v/>
      </c>
      <c r="AB110" s="182">
        <f>ROUND(#REF!+#REF!+#REF!+预安排!#REF!+#REF!+'6月'!AB110,5)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193">
        <f>计划!O110-O110</f>
        <v/>
      </c>
      <c r="AH110" s="193">
        <f>ROUND(AG110/$AH$1,2)</f>
        <v/>
      </c>
    </row>
    <row r="111" customFormat="1" s="1">
      <c r="A111" s="234" t="n"/>
      <c r="B111" s="231" t="inlineStr">
        <is>
          <t>SKU-2B469B0C</t>
        </is>
      </c>
      <c r="C111" s="231" t="inlineStr">
        <is>
          <t>是</t>
        </is>
      </c>
      <c r="D111" s="231" t="n">
        <v>5</v>
      </c>
      <c r="E111" s="231" t="inlineStr">
        <is>
          <t>是</t>
        </is>
      </c>
      <c r="F111" s="231" t="inlineStr"/>
      <c r="G111" s="231" t="inlineStr"/>
      <c r="H111" s="231" t="inlineStr"/>
      <c r="I111" s="231" t="inlineStr">
        <is>
          <t>是</t>
        </is>
      </c>
      <c r="J111" s="27" t="inlineStr">
        <is>
          <t>共</t>
        </is>
      </c>
      <c r="K111" s="27" t="inlineStr"/>
      <c r="L111" s="231" t="n">
        <v>100</v>
      </c>
      <c r="M111" s="19" t="inlineStr">
        <is>
          <t>Product-782A1545</t>
        </is>
      </c>
      <c r="N111" s="231" t="n">
        <v>1</v>
      </c>
      <c r="O111" s="181">
        <f>SUM(P111:AB111)</f>
        <v/>
      </c>
      <c r="P111" s="182">
        <f>ROUND(#REF!+#REF!+#REF!+预安排!F116+#REF!+'6月'!P111,5)</f>
        <v/>
      </c>
      <c r="Q111" s="182">
        <f>ROUND(#REF!+#REF!+#REF!+预安排!#REF!+#REF!+'6月'!Q111,5)</f>
        <v/>
      </c>
      <c r="R111" s="182">
        <f>ROUND(#REF!+#REF!+#REF!+预安排!G116+#REF!+'6月'!R111,5)</f>
        <v/>
      </c>
      <c r="S111" s="182">
        <f>ROUND(#REF!+#REF!+#REF!+预安排!#REF!+#REF!+'6月'!S111,5)</f>
        <v/>
      </c>
      <c r="T111" s="182">
        <f>ROUND(#REF!+#REF!+#REF!+预安排!#REF!+#REF!+'6月'!T111,5)</f>
        <v/>
      </c>
      <c r="U111" s="182">
        <f>ROUND(#REF!+#REF!+#REF!+预安排!O116+#REF!+'6月'!U111,5)</f>
        <v/>
      </c>
      <c r="V111" s="182">
        <f>ROUND(#REF!+#REF!+#REF!+预安排!P116+#REF!+'6月'!V111,5)</f>
        <v/>
      </c>
      <c r="W111" s="182">
        <f>ROUND(#REF!+#REF!+#REF!+预安排!Q116+#REF!+'6月'!W111,5)</f>
        <v/>
      </c>
      <c r="X111" s="182">
        <f>ROUND(#REF!+#REF!+#REF!+预安排!R116+#REF!+'6月'!X111,5)</f>
        <v/>
      </c>
      <c r="Y111" s="182">
        <f>ROUND(#REF!+#REF!+#REF!+预安排!S116+#REF!+'6月'!Y111,5)</f>
        <v/>
      </c>
      <c r="Z111" s="182">
        <f>ROUND(#REF!+#REF!+#REF!+预安排!#REF!+#REF!+'6月'!Z111,5)</f>
        <v/>
      </c>
      <c r="AA111" s="182">
        <f>ROUND(#REF!+#REF!+#REF!+预安排!#REF!+#REF!+'6月'!AA111,5)</f>
        <v/>
      </c>
      <c r="AB111" s="182">
        <f>ROUND(#REF!+#REF!+#REF!+预安排!#REF!+#REF!+'6月'!AB111,5)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193">
        <f>计划!O111-O111</f>
        <v/>
      </c>
      <c r="AH111" s="193">
        <f>ROUND(AG111/$AH$1,2)</f>
        <v/>
      </c>
    </row>
    <row r="112" customFormat="1" s="1">
      <c r="A112" s="234" t="n"/>
      <c r="B112" s="231" t="inlineStr">
        <is>
          <t>SKU-D352A232</t>
        </is>
      </c>
      <c r="C112" s="231" t="inlineStr">
        <is>
          <t>是</t>
        </is>
      </c>
      <c r="D112" s="231" t="n">
        <v>10</v>
      </c>
      <c r="E112" s="231" t="inlineStr"/>
      <c r="F112" s="231" t="inlineStr"/>
      <c r="G112" s="231" t="inlineStr">
        <is>
          <t>是</t>
        </is>
      </c>
      <c r="H112" s="231" t="inlineStr"/>
      <c r="I112" s="231" t="inlineStr">
        <is>
          <t>是</t>
        </is>
      </c>
      <c r="J112" s="27" t="inlineStr"/>
      <c r="K112" s="27" t="inlineStr"/>
      <c r="L112" s="231" t="n">
        <v>100</v>
      </c>
      <c r="M112" s="33" t="inlineStr">
        <is>
          <t>Product-6DB46461</t>
        </is>
      </c>
      <c r="N112" s="231" t="n">
        <v>1</v>
      </c>
      <c r="O112" s="181">
        <f>SUM(P112:AB112)</f>
        <v/>
      </c>
      <c r="P112" s="182">
        <f>ROUND(#REF!+#REF!+#REF!+预安排!F117+#REF!+'6月'!P112,5)</f>
        <v/>
      </c>
      <c r="Q112" s="182">
        <f>ROUND(#REF!+#REF!+#REF!+预安排!#REF!+#REF!+'6月'!Q112,5)</f>
        <v/>
      </c>
      <c r="R112" s="182">
        <f>ROUND(#REF!+#REF!+#REF!+预安排!G117+#REF!+'6月'!R112,5)</f>
        <v/>
      </c>
      <c r="S112" s="182">
        <f>ROUND(#REF!+#REF!+#REF!+预安排!#REF!+#REF!+'6月'!S112,5)</f>
        <v/>
      </c>
      <c r="T112" s="182">
        <f>ROUND(#REF!+#REF!+#REF!+预安排!#REF!+#REF!+'6月'!T112,5)</f>
        <v/>
      </c>
      <c r="U112" s="182">
        <f>ROUND(#REF!+#REF!+#REF!+预安排!O117+#REF!+'6月'!U112,5)</f>
        <v/>
      </c>
      <c r="V112" s="182">
        <f>ROUND(#REF!+#REF!+#REF!+预安排!P117+#REF!+'6月'!V112,5)</f>
        <v/>
      </c>
      <c r="W112" s="182">
        <f>ROUND(#REF!+#REF!+#REF!+预安排!Q117+#REF!+'6月'!W112,5)</f>
        <v/>
      </c>
      <c r="X112" s="182">
        <f>ROUND(#REF!+#REF!+#REF!+预安排!R117+#REF!+'6月'!X112,5)</f>
        <v/>
      </c>
      <c r="Y112" s="182">
        <f>ROUND(#REF!+#REF!+#REF!+预安排!S117+#REF!+'6月'!Y112,5)</f>
        <v/>
      </c>
      <c r="Z112" s="182">
        <f>ROUND(#REF!+#REF!+#REF!+预安排!#REF!+#REF!+'6月'!Z112,5)</f>
        <v/>
      </c>
      <c r="AA112" s="182">
        <f>ROUND(#REF!+#REF!+#REF!+预安排!#REF!+#REF!+'6月'!AA112,5)</f>
        <v/>
      </c>
      <c r="AB112" s="182">
        <f>ROUND(#REF!+#REF!+#REF!+预安排!#REF!+#REF!+'6月'!AB112,5)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193">
        <f>计划!O112-O112</f>
        <v/>
      </c>
      <c r="AH112" s="193">
        <f>ROUND(AG112/$AH$1,2)</f>
        <v/>
      </c>
    </row>
    <row r="113" customFormat="1" s="1">
      <c r="A113" s="234" t="n"/>
      <c r="B113" s="231" t="inlineStr">
        <is>
          <t>SKU-497F1297</t>
        </is>
      </c>
      <c r="C113" s="231" t="inlineStr">
        <is>
          <t>是</t>
        </is>
      </c>
      <c r="D113" s="231" t="n">
        <v>10</v>
      </c>
      <c r="E113" s="231" t="inlineStr"/>
      <c r="F113" s="231" t="inlineStr">
        <is>
          <t>是</t>
        </is>
      </c>
      <c r="G113" s="231" t="inlineStr"/>
      <c r="H113" s="231" t="inlineStr"/>
      <c r="I113" s="231" t="inlineStr">
        <is>
          <t>是</t>
        </is>
      </c>
      <c r="J113" s="27" t="inlineStr"/>
      <c r="K113" s="27" t="inlineStr"/>
      <c r="L113" s="231" t="n">
        <v>100</v>
      </c>
      <c r="M113" s="19" t="inlineStr">
        <is>
          <t>Product-FC06EE76</t>
        </is>
      </c>
      <c r="N113" s="231" t="n">
        <v>1</v>
      </c>
      <c r="O113" s="181">
        <f>SUM(P113:AB113)</f>
        <v/>
      </c>
      <c r="P113" s="182">
        <f>ROUND(#REF!+#REF!+#REF!+预安排!F118+#REF!+'6月'!P113,5)</f>
        <v/>
      </c>
      <c r="Q113" s="182">
        <f>ROUND(#REF!+#REF!+#REF!+预安排!#REF!+#REF!+'6月'!Q113,5)</f>
        <v/>
      </c>
      <c r="R113" s="182">
        <f>ROUND(#REF!+#REF!+#REF!+预安排!G118+#REF!+'6月'!R113,5)</f>
        <v/>
      </c>
      <c r="S113" s="182">
        <f>ROUND(#REF!+#REF!+#REF!+预安排!#REF!+#REF!+'6月'!S113,5)</f>
        <v/>
      </c>
      <c r="T113" s="182">
        <f>ROUND(#REF!+#REF!+#REF!+预安排!#REF!+#REF!+'6月'!T113,5)</f>
        <v/>
      </c>
      <c r="U113" s="182">
        <f>ROUND(#REF!+#REF!+#REF!+预安排!O118+#REF!+'6月'!U113,5)</f>
        <v/>
      </c>
      <c r="V113" s="182">
        <f>ROUND(#REF!+#REF!+#REF!+预安排!P118+#REF!+'6月'!V113,5)</f>
        <v/>
      </c>
      <c r="W113" s="182">
        <f>ROUND(#REF!+#REF!+#REF!+预安排!Q118+#REF!+'6月'!W113,5)</f>
        <v/>
      </c>
      <c r="X113" s="182">
        <f>ROUND(#REF!+#REF!+#REF!+预安排!R118+#REF!+'6月'!X113,5)</f>
        <v/>
      </c>
      <c r="Y113" s="182">
        <f>ROUND(#REF!+#REF!+#REF!+预安排!S118+#REF!+'6月'!Y113,5)</f>
        <v/>
      </c>
      <c r="Z113" s="182">
        <f>ROUND(#REF!+#REF!+#REF!+预安排!#REF!+#REF!+'6月'!Z113,5)</f>
        <v/>
      </c>
      <c r="AA113" s="182">
        <f>ROUND(#REF!+#REF!+#REF!+预安排!#REF!+#REF!+'6月'!AA113,5)</f>
        <v/>
      </c>
      <c r="AB113" s="182">
        <f>ROUND(#REF!+#REF!+#REF!+预安排!#REF!+#REF!+'6月'!AB113,5)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193">
        <f>计划!O113-O113</f>
        <v/>
      </c>
      <c r="AH113" s="193">
        <f>ROUND(AG113/$AH$1,2)</f>
        <v/>
      </c>
    </row>
    <row r="114" customFormat="1" s="1">
      <c r="A114" s="234" t="n"/>
      <c r="B114" s="231" t="inlineStr">
        <is>
          <t>SKU-E6463606</t>
        </is>
      </c>
      <c r="C114" s="231" t="inlineStr">
        <is>
          <t>是</t>
        </is>
      </c>
      <c r="D114" s="231" t="n">
        <v>9</v>
      </c>
      <c r="E114" s="231" t="inlineStr"/>
      <c r="F114" s="231" t="inlineStr">
        <is>
          <t>是</t>
        </is>
      </c>
      <c r="G114" s="231" t="inlineStr"/>
      <c r="H114" s="231" t="inlineStr"/>
      <c r="I114" s="231" t="inlineStr">
        <is>
          <t>是</t>
        </is>
      </c>
      <c r="J114" s="27" t="inlineStr"/>
      <c r="K114" s="27" t="inlineStr"/>
      <c r="L114" s="231" t="n">
        <v>100</v>
      </c>
      <c r="M114" s="44" t="inlineStr">
        <is>
          <t>Product-348068FF</t>
        </is>
      </c>
      <c r="N114" s="231" t="n">
        <v>1</v>
      </c>
      <c r="O114" s="181">
        <f>SUM(P114:AB114)</f>
        <v/>
      </c>
      <c r="P114" s="182">
        <f>ROUND(#REF!+#REF!+#REF!+预安排!F119+#REF!+'6月'!P114,5)</f>
        <v/>
      </c>
      <c r="Q114" s="182">
        <f>ROUND(#REF!+#REF!+#REF!+预安排!#REF!+#REF!+'6月'!Q114,5)</f>
        <v/>
      </c>
      <c r="R114" s="182">
        <f>ROUND(#REF!+#REF!+#REF!+预安排!G119+#REF!+'6月'!R114,5)</f>
        <v/>
      </c>
      <c r="S114" s="182">
        <f>ROUND(#REF!+#REF!+#REF!+预安排!#REF!+#REF!+'6月'!S114,5)</f>
        <v/>
      </c>
      <c r="T114" s="182">
        <f>ROUND(#REF!+#REF!+#REF!+预安排!#REF!+#REF!+'6月'!T114,5)</f>
        <v/>
      </c>
      <c r="U114" s="182">
        <f>ROUND(#REF!+#REF!+#REF!+预安排!O119+#REF!+'6月'!U114,5)</f>
        <v/>
      </c>
      <c r="V114" s="182">
        <f>ROUND(#REF!+#REF!+#REF!+预安排!P119+#REF!+'6月'!V114,5)</f>
        <v/>
      </c>
      <c r="W114" s="182">
        <f>ROUND(#REF!+#REF!+#REF!+预安排!Q119+#REF!+'6月'!W114,5)</f>
        <v/>
      </c>
      <c r="X114" s="182">
        <f>ROUND(#REF!+#REF!+#REF!+预安排!R119+#REF!+'6月'!X114,5)</f>
        <v/>
      </c>
      <c r="Y114" s="182">
        <f>ROUND(#REF!+#REF!+#REF!+预安排!S119+#REF!+'6月'!Y114,5)</f>
        <v/>
      </c>
      <c r="Z114" s="182">
        <f>ROUND(#REF!+#REF!+#REF!+预安排!#REF!+#REF!+'6月'!Z114,5)</f>
        <v/>
      </c>
      <c r="AA114" s="182">
        <f>ROUND(#REF!+#REF!+#REF!+预安排!#REF!+#REF!+'6月'!AA114,5)</f>
        <v/>
      </c>
      <c r="AB114" s="182">
        <f>ROUND(#REF!+#REF!+#REF!+预安排!#REF!+#REF!+'6月'!AB114,5)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193">
        <f>计划!O114-O114</f>
        <v/>
      </c>
      <c r="AH114" s="193">
        <f>ROUND(AG114/$AH$1,2)</f>
        <v/>
      </c>
    </row>
    <row r="115" customFormat="1" s="1">
      <c r="A115" s="234" t="n"/>
      <c r="B115" s="231" t="inlineStr">
        <is>
          <t>SKU-8EB26120</t>
        </is>
      </c>
      <c r="C115" s="231" t="inlineStr">
        <is>
          <t>是</t>
        </is>
      </c>
      <c r="D115" s="231" t="n">
        <v>7</v>
      </c>
      <c r="E115" s="231" t="inlineStr">
        <is>
          <t>是</t>
        </is>
      </c>
      <c r="F115" s="231" t="inlineStr"/>
      <c r="G115" s="231" t="inlineStr"/>
      <c r="H115" s="231" t="inlineStr"/>
      <c r="I115" s="231" t="inlineStr">
        <is>
          <t>是</t>
        </is>
      </c>
      <c r="J115" s="27" t="inlineStr">
        <is>
          <t>共</t>
        </is>
      </c>
      <c r="K115" s="27" t="inlineStr"/>
      <c r="L115" s="231" t="n">
        <v>100</v>
      </c>
      <c r="M115" s="19" t="inlineStr">
        <is>
          <t>Product-73F3BBE5</t>
        </is>
      </c>
      <c r="N115" s="231" t="n">
        <v>1</v>
      </c>
      <c r="O115" s="181">
        <f>SUM(P115:AB115)</f>
        <v/>
      </c>
      <c r="P115" s="182">
        <f>ROUND(#REF!+#REF!+#REF!+预安排!F120+#REF!+'6月'!P115,5)</f>
        <v/>
      </c>
      <c r="Q115" s="182">
        <f>ROUND(#REF!+#REF!+#REF!+预安排!#REF!+#REF!+'6月'!Q115,5)</f>
        <v/>
      </c>
      <c r="R115" s="182">
        <f>ROUND(#REF!+#REF!+#REF!+预安排!G120+#REF!+'6月'!R115,5)</f>
        <v/>
      </c>
      <c r="S115" s="182">
        <f>ROUND(#REF!+#REF!+#REF!+预安排!#REF!+#REF!+'6月'!S115,5)</f>
        <v/>
      </c>
      <c r="T115" s="182">
        <f>ROUND(#REF!+#REF!+#REF!+预安排!#REF!+#REF!+'6月'!T115,5)</f>
        <v/>
      </c>
      <c r="U115" s="182">
        <f>ROUND(#REF!+#REF!+#REF!+预安排!O120+#REF!+'6月'!U115,5)</f>
        <v/>
      </c>
      <c r="V115" s="182">
        <f>ROUND(#REF!+#REF!+#REF!+预安排!P120+#REF!+'6月'!V115,5)</f>
        <v/>
      </c>
      <c r="W115" s="182">
        <f>ROUND(#REF!+#REF!+#REF!+预安排!Q120+#REF!+'6月'!W115,5)</f>
        <v/>
      </c>
      <c r="X115" s="182">
        <f>ROUND(#REF!+#REF!+#REF!+预安排!R120+#REF!+'6月'!X115,5)</f>
        <v/>
      </c>
      <c r="Y115" s="182">
        <f>ROUND(#REF!+#REF!+#REF!+预安排!S120+#REF!+'6月'!Y115,5)</f>
        <v/>
      </c>
      <c r="Z115" s="182">
        <f>ROUND(#REF!+#REF!+#REF!+预安排!#REF!+#REF!+'6月'!Z115,5)</f>
        <v/>
      </c>
      <c r="AA115" s="182">
        <f>ROUND(#REF!+#REF!+#REF!+预安排!#REF!+#REF!+'6月'!AA115,5)</f>
        <v/>
      </c>
      <c r="AB115" s="182">
        <f>ROUND(#REF!+#REF!+#REF!+预安排!#REF!+#REF!+'6月'!AB115,5)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193">
        <f>计划!O115-O115</f>
        <v/>
      </c>
      <c r="AH115" s="193">
        <f>ROUND(AG115/$AH$1,2)</f>
        <v/>
      </c>
    </row>
    <row r="116" customFormat="1" s="1">
      <c r="A116" s="234" t="n"/>
      <c r="B116" s="231" t="inlineStr">
        <is>
          <t>SKU-8515A26A</t>
        </is>
      </c>
      <c r="C116" s="231" t="inlineStr">
        <is>
          <t>是</t>
        </is>
      </c>
      <c r="D116" s="231" t="n">
        <v>9</v>
      </c>
      <c r="E116" s="231" t="inlineStr"/>
      <c r="F116" s="231" t="inlineStr">
        <is>
          <t>是</t>
        </is>
      </c>
      <c r="G116" s="231" t="inlineStr"/>
      <c r="H116" s="231" t="inlineStr"/>
      <c r="I116" s="231" t="inlineStr">
        <is>
          <t>是</t>
        </is>
      </c>
      <c r="J116" s="27" t="inlineStr">
        <is>
          <t>共</t>
        </is>
      </c>
      <c r="K116" s="27" t="inlineStr"/>
      <c r="L116" s="231" t="n">
        <v>100</v>
      </c>
      <c r="M116" s="19" t="inlineStr">
        <is>
          <t>Product-2C6E1A8D</t>
        </is>
      </c>
      <c r="N116" s="231" t="n">
        <v>1</v>
      </c>
      <c r="O116" s="181">
        <f>SUM(P116:AB116)</f>
        <v/>
      </c>
      <c r="P116" s="182">
        <f>ROUND(#REF!+#REF!+#REF!+预安排!F121+#REF!+'6月'!P116,5)</f>
        <v/>
      </c>
      <c r="Q116" s="182">
        <f>ROUND(#REF!+#REF!+#REF!+预安排!#REF!+#REF!+'6月'!Q116,5)</f>
        <v/>
      </c>
      <c r="R116" s="182">
        <f>ROUND(#REF!+#REF!+#REF!+预安排!G121+#REF!+'6月'!R116,5)</f>
        <v/>
      </c>
      <c r="S116" s="182">
        <f>ROUND(#REF!+#REF!+#REF!+预安排!#REF!+#REF!+'6月'!S116,5)</f>
        <v/>
      </c>
      <c r="T116" s="182">
        <f>ROUND(#REF!+#REF!+#REF!+预安排!#REF!+#REF!+'6月'!T116,5)</f>
        <v/>
      </c>
      <c r="U116" s="182">
        <f>ROUND(#REF!+#REF!+#REF!+预安排!O121+#REF!+'6月'!U116,5)</f>
        <v/>
      </c>
      <c r="V116" s="182">
        <f>ROUND(#REF!+#REF!+#REF!+预安排!P121+#REF!+'6月'!V116,5)</f>
        <v/>
      </c>
      <c r="W116" s="182">
        <f>ROUND(#REF!+#REF!+#REF!+预安排!Q121+#REF!+'6月'!W116,5)</f>
        <v/>
      </c>
      <c r="X116" s="182">
        <f>ROUND(#REF!+#REF!+#REF!+预安排!R121+#REF!+'6月'!X116,5)</f>
        <v/>
      </c>
      <c r="Y116" s="182">
        <f>ROUND(#REF!+#REF!+#REF!+预安排!S121+#REF!+'6月'!Y116,5)</f>
        <v/>
      </c>
      <c r="Z116" s="182">
        <f>ROUND(#REF!+#REF!+#REF!+预安排!#REF!+#REF!+'6月'!Z116,5)</f>
        <v/>
      </c>
      <c r="AA116" s="182">
        <f>ROUND(#REF!+#REF!+#REF!+预安排!#REF!+#REF!+'6月'!AA116,5)</f>
        <v/>
      </c>
      <c r="AB116" s="182">
        <f>ROUND(#REF!+#REF!+#REF!+预安排!#REF!+#REF!+'6月'!AB116,5)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193">
        <f>计划!O116-O116</f>
        <v/>
      </c>
      <c r="AH116" s="193">
        <f>ROUND(AG116/$AH$1,2)</f>
        <v/>
      </c>
    </row>
    <row r="117" customFormat="1" s="1">
      <c r="A117" s="234" t="n"/>
      <c r="B117" s="231" t="inlineStr">
        <is>
          <t>SKU-2164A7E1</t>
        </is>
      </c>
      <c r="C117" s="231" t="inlineStr">
        <is>
          <t>是</t>
        </is>
      </c>
      <c r="D117" s="231" t="n">
        <v>10</v>
      </c>
      <c r="E117" s="231" t="inlineStr"/>
      <c r="F117" s="231" t="inlineStr"/>
      <c r="G117" s="231" t="inlineStr"/>
      <c r="H117" s="231" t="inlineStr"/>
      <c r="I117" s="231" t="inlineStr"/>
      <c r="J117" s="27" t="inlineStr">
        <is>
          <t>共</t>
        </is>
      </c>
      <c r="K117" s="27" t="inlineStr"/>
      <c r="L117" s="231" t="n">
        <v>100</v>
      </c>
      <c r="M117" s="19" t="inlineStr">
        <is>
          <t>Product-E6A26B29</t>
        </is>
      </c>
      <c r="N117" s="231" t="n">
        <v>1</v>
      </c>
      <c r="O117" s="181">
        <f>SUM(P117:AB117)</f>
        <v/>
      </c>
      <c r="P117" s="182">
        <f>ROUND(#REF!+#REF!+#REF!+预安排!F122+#REF!+'6月'!P117,5)</f>
        <v/>
      </c>
      <c r="Q117" s="182">
        <f>ROUND(#REF!+#REF!+#REF!+预安排!#REF!+#REF!+'6月'!Q117,5)</f>
        <v/>
      </c>
      <c r="R117" s="182">
        <f>ROUND(#REF!+#REF!+#REF!+预安排!G122+#REF!+'6月'!R117,5)</f>
        <v/>
      </c>
      <c r="S117" s="182">
        <f>ROUND(#REF!+#REF!+#REF!+预安排!#REF!+#REF!+'6月'!S117,5)</f>
        <v/>
      </c>
      <c r="T117" s="182">
        <f>ROUND(#REF!+#REF!+#REF!+预安排!#REF!+#REF!+'6月'!T117,5)</f>
        <v/>
      </c>
      <c r="U117" s="182">
        <f>ROUND(#REF!+#REF!+#REF!+预安排!O122+#REF!+'6月'!U117,5)</f>
        <v/>
      </c>
      <c r="V117" s="182">
        <f>ROUND(#REF!+#REF!+#REF!+预安排!P122+#REF!+'6月'!V117,5)</f>
        <v/>
      </c>
      <c r="W117" s="182">
        <f>ROUND(#REF!+#REF!+#REF!+预安排!Q122+#REF!+'6月'!W117,5)</f>
        <v/>
      </c>
      <c r="X117" s="182">
        <f>ROUND(#REF!+#REF!+#REF!+预安排!R122+#REF!+'6月'!X117,5)</f>
        <v/>
      </c>
      <c r="Y117" s="182">
        <f>ROUND(#REF!+#REF!+#REF!+预安排!S122+#REF!+'6月'!Y117,5)</f>
        <v/>
      </c>
      <c r="Z117" s="182">
        <f>ROUND(#REF!+#REF!+#REF!+预安排!#REF!+#REF!+'6月'!Z117,5)</f>
        <v/>
      </c>
      <c r="AA117" s="182">
        <f>ROUND(#REF!+#REF!+#REF!+预安排!#REF!+#REF!+'6月'!AA117,5)</f>
        <v/>
      </c>
      <c r="AB117" s="182">
        <f>ROUND(#REF!+#REF!+#REF!+预安排!#REF!+#REF!+'6月'!AB117,5)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193">
        <f>计划!O117-O117</f>
        <v/>
      </c>
      <c r="AH117" s="193">
        <f>ROUND(AG117/$AH$1,2)</f>
        <v/>
      </c>
    </row>
    <row r="118" customFormat="1" s="1">
      <c r="A118" s="234" t="n"/>
      <c r="B118" s="231" t="inlineStr">
        <is>
          <t>SKU-C3DF57B7</t>
        </is>
      </c>
      <c r="C118" s="231" t="inlineStr">
        <is>
          <t>是</t>
        </is>
      </c>
      <c r="D118" s="231" t="n">
        <v>5</v>
      </c>
      <c r="E118" s="231" t="inlineStr"/>
      <c r="F118" s="231" t="inlineStr">
        <is>
          <t>是</t>
        </is>
      </c>
      <c r="G118" s="231" t="inlineStr"/>
      <c r="H118" s="231" t="inlineStr"/>
      <c r="I118" s="231" t="inlineStr">
        <is>
          <t>是</t>
        </is>
      </c>
      <c r="J118" s="27" t="inlineStr"/>
      <c r="K118" s="27" t="inlineStr"/>
      <c r="L118" s="231" t="n">
        <v>100</v>
      </c>
      <c r="M118" s="19" t="inlineStr">
        <is>
          <t>Product-79AFFC5E</t>
        </is>
      </c>
      <c r="N118" s="231" t="n">
        <v>1</v>
      </c>
      <c r="O118" s="181">
        <f>SUM(P118:AB118)</f>
        <v/>
      </c>
      <c r="P118" s="182">
        <f>ROUND(#REF!+#REF!+#REF!+预安排!F123+#REF!+'6月'!P118,5)</f>
        <v/>
      </c>
      <c r="Q118" s="182">
        <f>ROUND(#REF!+#REF!+#REF!+预安排!#REF!+#REF!+'6月'!Q118,5)</f>
        <v/>
      </c>
      <c r="R118" s="182">
        <f>ROUND(#REF!+#REF!+#REF!+预安排!G123+#REF!+'6月'!R118,5)</f>
        <v/>
      </c>
      <c r="S118" s="182">
        <f>ROUND(#REF!+#REF!+#REF!+预安排!#REF!+#REF!+'6月'!S118,5)</f>
        <v/>
      </c>
      <c r="T118" s="182">
        <f>ROUND(#REF!+#REF!+#REF!+预安排!#REF!+#REF!+'6月'!T118,5)</f>
        <v/>
      </c>
      <c r="U118" s="182">
        <f>ROUND(#REF!+#REF!+#REF!+预安排!O123+#REF!+'6月'!U118,5)</f>
        <v/>
      </c>
      <c r="V118" s="182">
        <f>ROUND(#REF!+#REF!+#REF!+预安排!P123+#REF!+'6月'!V118,5)</f>
        <v/>
      </c>
      <c r="W118" s="182">
        <f>ROUND(#REF!+#REF!+#REF!+预安排!Q123+#REF!+'6月'!W118,5)</f>
        <v/>
      </c>
      <c r="X118" s="182">
        <f>ROUND(#REF!+#REF!+#REF!+预安排!R123+#REF!+'6月'!X118,5)</f>
        <v/>
      </c>
      <c r="Y118" s="182">
        <f>ROUND(#REF!+#REF!+#REF!+预安排!S123+#REF!+'6月'!Y118,5)</f>
        <v/>
      </c>
      <c r="Z118" s="182">
        <f>ROUND(#REF!+#REF!+#REF!+预安排!#REF!+#REF!+'6月'!Z118,5)</f>
        <v/>
      </c>
      <c r="AA118" s="182">
        <f>ROUND(#REF!+#REF!+#REF!+预安排!#REF!+#REF!+'6月'!AA118,5)</f>
        <v/>
      </c>
      <c r="AB118" s="182">
        <f>ROUND(#REF!+#REF!+#REF!+预安排!#REF!+#REF!+'6月'!AB118,5)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193">
        <f>计划!O118-O118</f>
        <v/>
      </c>
      <c r="AH118" s="193">
        <f>ROUND(AG118/$AH$1,2)</f>
        <v/>
      </c>
    </row>
    <row r="119" customFormat="1" s="1">
      <c r="A119" s="235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196">
        <f>计划!O119-O119</f>
        <v/>
      </c>
      <c r="AH119" s="196">
        <f>ROUND(AG119/$AH$1,2)</f>
        <v/>
      </c>
    </row>
    <row r="120" customFormat="1" s="1">
      <c r="A120" s="25" t="inlineStr">
        <is>
          <t>安徽</t>
        </is>
      </c>
      <c r="B120" s="231" t="inlineStr">
        <is>
          <t>SKU-0E698170</t>
        </is>
      </c>
      <c r="C120" s="231" t="inlineStr">
        <is>
          <t>是</t>
        </is>
      </c>
      <c r="D120" s="231" t="n">
        <v>10</v>
      </c>
      <c r="E120" s="231" t="inlineStr"/>
      <c r="F120" s="231" t="inlineStr"/>
      <c r="G120" s="231" t="inlineStr"/>
      <c r="H120" s="231" t="inlineStr"/>
      <c r="I120" s="231" t="inlineStr"/>
      <c r="J120" s="27" t="inlineStr"/>
      <c r="K120" s="27" t="inlineStr"/>
      <c r="L120" s="231" t="n">
        <v>100</v>
      </c>
      <c r="M120" s="19" t="inlineStr">
        <is>
          <t>Product-EF8C3EC5</t>
        </is>
      </c>
      <c r="N120" s="231" t="n">
        <v>1</v>
      </c>
      <c r="O120" s="181">
        <f>SUM(P120:AB120)</f>
        <v/>
      </c>
      <c r="P120" s="182">
        <f>ROUND(#REF!+#REF!+#REF!+预安排!F126+#REF!+'6月'!P120,5)</f>
        <v/>
      </c>
      <c r="Q120" s="182">
        <f>ROUND(#REF!+#REF!+#REF!+预安排!#REF!+#REF!+'6月'!Q120,5)</f>
        <v/>
      </c>
      <c r="R120" s="182">
        <f>ROUND(#REF!+#REF!+#REF!+预安排!G126+#REF!+'6月'!R120,5)</f>
        <v/>
      </c>
      <c r="S120" s="182">
        <f>ROUND(#REF!+#REF!+#REF!+预安排!#REF!+#REF!+'6月'!S120,5)</f>
        <v/>
      </c>
      <c r="T120" s="182">
        <f>ROUND(#REF!+#REF!+#REF!+预安排!#REF!+#REF!+'6月'!T120,5)</f>
        <v/>
      </c>
      <c r="U120" s="182">
        <f>ROUND(#REF!+#REF!+#REF!+预安排!O126+#REF!+'6月'!U120,5)</f>
        <v/>
      </c>
      <c r="V120" s="182">
        <f>ROUND(#REF!+#REF!+#REF!+预安排!P126+#REF!+'6月'!V120,5)</f>
        <v/>
      </c>
      <c r="W120" s="182">
        <f>ROUND(#REF!+#REF!+#REF!+预安排!Q126+#REF!+'6月'!W120,5)</f>
        <v/>
      </c>
      <c r="X120" s="182">
        <f>ROUND(#REF!+#REF!+#REF!+预安排!R126+#REF!+'6月'!X120,5)</f>
        <v/>
      </c>
      <c r="Y120" s="182">
        <f>ROUND(#REF!+#REF!+#REF!+预安排!S126+#REF!+'6月'!Y120,5)</f>
        <v/>
      </c>
      <c r="Z120" s="182">
        <f>ROUND(#REF!+#REF!+#REF!+预安排!#REF!+#REF!+'6月'!Z120,5)</f>
        <v/>
      </c>
      <c r="AA120" s="182">
        <f>ROUND(#REF!+#REF!+#REF!+预安排!#REF!+#REF!+'6月'!AA120,5)</f>
        <v/>
      </c>
      <c r="AB120" s="182">
        <f>ROUND(#REF!+#REF!+#REF!+预安排!#REF!+#REF!+'6月'!AB120,5)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193">
        <f>计划!O120-O120</f>
        <v/>
      </c>
      <c r="AH120" s="193">
        <f>ROUND(AG120/$AH$1,2)</f>
        <v/>
      </c>
    </row>
    <row r="121" customFormat="1" s="1">
      <c r="A121" s="234" t="n"/>
      <c r="B121" s="231" t="inlineStr">
        <is>
          <t>SKU-B0AA269B</t>
        </is>
      </c>
      <c r="C121" s="231" t="inlineStr">
        <is>
          <t>是</t>
        </is>
      </c>
      <c r="D121" s="231" t="n">
        <v>10</v>
      </c>
      <c r="E121" s="231" t="inlineStr"/>
      <c r="F121" s="231" t="inlineStr"/>
      <c r="G121" s="231" t="inlineStr">
        <is>
          <t>是</t>
        </is>
      </c>
      <c r="H121" s="231" t="inlineStr"/>
      <c r="I121" s="231" t="inlineStr">
        <is>
          <t>是</t>
        </is>
      </c>
      <c r="J121" s="27" t="inlineStr"/>
      <c r="K121" s="27" t="inlineStr"/>
      <c r="L121" s="231" t="n">
        <v>100</v>
      </c>
      <c r="M121" s="19" t="inlineStr">
        <is>
          <t>Product-BFD53BC0</t>
        </is>
      </c>
      <c r="N121" s="231" t="n">
        <v>2</v>
      </c>
      <c r="O121" s="181">
        <f>SUM(P121:AB121)</f>
        <v/>
      </c>
      <c r="P121" s="182">
        <f>ROUND(#REF!+#REF!+#REF!+预安排!F127+#REF!+'6月'!P121,5)</f>
        <v/>
      </c>
      <c r="Q121" s="182">
        <f>ROUND(#REF!+#REF!+#REF!+预安排!#REF!+#REF!+'6月'!Q121,5)</f>
        <v/>
      </c>
      <c r="R121" s="182">
        <f>ROUND(#REF!+#REF!+#REF!+预安排!G127+#REF!+'6月'!R121,5)</f>
        <v/>
      </c>
      <c r="S121" s="182">
        <f>ROUND(#REF!+#REF!+#REF!+预安排!#REF!+#REF!+'6月'!S121,5)</f>
        <v/>
      </c>
      <c r="T121" s="182">
        <f>ROUND(#REF!+#REF!+#REF!+预安排!#REF!+#REF!+'6月'!T121,5)</f>
        <v/>
      </c>
      <c r="U121" s="182">
        <f>ROUND(#REF!+#REF!+#REF!+预安排!O127+#REF!+'6月'!U121,5)</f>
        <v/>
      </c>
      <c r="V121" s="182">
        <f>ROUND(#REF!+#REF!+#REF!+预安排!P127+#REF!+'6月'!V121,5)</f>
        <v/>
      </c>
      <c r="W121" s="182">
        <f>ROUND(#REF!+#REF!+#REF!+预安排!Q127+#REF!+'6月'!W121,5)</f>
        <v/>
      </c>
      <c r="X121" s="182">
        <f>ROUND(#REF!+#REF!+#REF!+预安排!R127+#REF!+'6月'!X121,5)</f>
        <v/>
      </c>
      <c r="Y121" s="182">
        <f>ROUND(#REF!+#REF!+#REF!+预安排!S127+#REF!+'6月'!Y121,5)</f>
        <v/>
      </c>
      <c r="Z121" s="182">
        <f>ROUND(#REF!+#REF!+#REF!+预安排!#REF!+#REF!+'6月'!Z121,5)</f>
        <v/>
      </c>
      <c r="AA121" s="182">
        <f>ROUND(#REF!+#REF!+#REF!+预安排!#REF!+#REF!+'6月'!AA121,5)</f>
        <v/>
      </c>
      <c r="AB121" s="182">
        <f>ROUND(#REF!+#REF!+#REF!+预安排!#REF!+#REF!+'6月'!AB121,5)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193">
        <f>计划!O121-O121</f>
        <v/>
      </c>
      <c r="AH121" s="193">
        <f>ROUND(AG121/$AH$1,2)</f>
        <v/>
      </c>
    </row>
    <row r="122" customFormat="1" s="1">
      <c r="A122" s="234" t="n"/>
      <c r="B122" s="231" t="inlineStr">
        <is>
          <t>SKU-95370A38</t>
        </is>
      </c>
      <c r="C122" s="231" t="inlineStr">
        <is>
          <t>是</t>
        </is>
      </c>
      <c r="D122" s="231" t="n">
        <v>10</v>
      </c>
      <c r="E122" s="231" t="inlineStr"/>
      <c r="F122" s="231" t="inlineStr"/>
      <c r="G122" s="231" t="inlineStr"/>
      <c r="H122" s="231" t="inlineStr"/>
      <c r="I122" s="231" t="inlineStr"/>
      <c r="J122" s="27" t="inlineStr"/>
      <c r="K122" s="27" t="inlineStr"/>
      <c r="L122" s="231" t="n">
        <v>100</v>
      </c>
      <c r="M122" s="44" t="inlineStr">
        <is>
          <t>Product-204DEBD7</t>
        </is>
      </c>
      <c r="N122" s="231" t="n">
        <v>3</v>
      </c>
      <c r="O122" s="181">
        <f>SUM(P122:AB122)</f>
        <v/>
      </c>
      <c r="P122" s="182">
        <f>ROUND(#REF!+#REF!+#REF!+预安排!F128+#REF!+'6月'!P122,5)</f>
        <v/>
      </c>
      <c r="Q122" s="182">
        <f>ROUND(#REF!+#REF!+#REF!+预安排!#REF!+#REF!+'6月'!Q122,5)</f>
        <v/>
      </c>
      <c r="R122" s="182">
        <f>ROUND(#REF!+#REF!+#REF!+预安排!G128+#REF!+'6月'!R122,5)</f>
        <v/>
      </c>
      <c r="S122" s="182">
        <f>ROUND(#REF!+#REF!+#REF!+预安排!#REF!+#REF!+'6月'!S122,5)</f>
        <v/>
      </c>
      <c r="T122" s="182">
        <f>ROUND(#REF!+#REF!+#REF!+预安排!#REF!+#REF!+'6月'!T122,5)</f>
        <v/>
      </c>
      <c r="U122" s="182">
        <f>ROUND(#REF!+#REF!+#REF!+预安排!O128+#REF!+'6月'!U122,5)</f>
        <v/>
      </c>
      <c r="V122" s="182">
        <f>ROUND(#REF!+#REF!+#REF!+预安排!P128+#REF!+'6月'!V122,5)</f>
        <v/>
      </c>
      <c r="W122" s="182">
        <f>ROUND(#REF!+#REF!+#REF!+预安排!Q128+#REF!+'6月'!W122,5)</f>
        <v/>
      </c>
      <c r="X122" s="182">
        <f>ROUND(#REF!+#REF!+#REF!+预安排!R128+#REF!+'6月'!X122,5)</f>
        <v/>
      </c>
      <c r="Y122" s="182">
        <f>ROUND(#REF!+#REF!+#REF!+预安排!S128+#REF!+'6月'!Y122,5)</f>
        <v/>
      </c>
      <c r="Z122" s="182">
        <f>ROUND(#REF!+#REF!+#REF!+预安排!#REF!+#REF!+'6月'!Z122,5)</f>
        <v/>
      </c>
      <c r="AA122" s="182">
        <f>ROUND(#REF!+#REF!+#REF!+预安排!#REF!+#REF!+'6月'!AA122,5)</f>
        <v/>
      </c>
      <c r="AB122" s="182">
        <f>ROUND(#REF!+#REF!+#REF!+预安排!#REF!+#REF!+'6月'!AB122,5)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193">
        <f>计划!O122-O122</f>
        <v/>
      </c>
      <c r="AH122" s="193">
        <f>ROUND(AG122/$AH$1,2)</f>
        <v/>
      </c>
    </row>
    <row r="123" customFormat="1" s="1">
      <c r="A123" s="234" t="n"/>
      <c r="B123" s="231" t="inlineStr">
        <is>
          <t>SKU-C25067A0</t>
        </is>
      </c>
      <c r="C123" s="231" t="inlineStr">
        <is>
          <t>是</t>
        </is>
      </c>
      <c r="D123" s="231" t="n">
        <v>8</v>
      </c>
      <c r="E123" s="231" t="inlineStr">
        <is>
          <t>是</t>
        </is>
      </c>
      <c r="F123" s="231" t="inlineStr"/>
      <c r="G123" s="231" t="inlineStr"/>
      <c r="H123" s="231" t="inlineStr"/>
      <c r="I123" s="231" t="inlineStr">
        <is>
          <t>是</t>
        </is>
      </c>
      <c r="J123" s="27" t="inlineStr">
        <is>
          <t>共</t>
        </is>
      </c>
      <c r="K123" s="27" t="inlineStr"/>
      <c r="L123" s="231" t="n">
        <v>100</v>
      </c>
      <c r="M123" s="19" t="inlineStr">
        <is>
          <t>Product-0FF79B6A</t>
        </is>
      </c>
      <c r="N123" s="231" t="n">
        <v>1</v>
      </c>
      <c r="O123" s="181">
        <f>SUM(P123:AB123)</f>
        <v/>
      </c>
      <c r="P123" s="182">
        <f>ROUND(#REF!+#REF!+#REF!+预安排!F129+#REF!+'6月'!P123,5)</f>
        <v/>
      </c>
      <c r="Q123" s="182">
        <f>ROUND(#REF!+#REF!+#REF!+预安排!#REF!+#REF!+'6月'!Q123,5)</f>
        <v/>
      </c>
      <c r="R123" s="182">
        <f>ROUND(#REF!+#REF!+#REF!+预安排!G129+#REF!+'6月'!R123,5)</f>
        <v/>
      </c>
      <c r="S123" s="182">
        <f>ROUND(#REF!+#REF!+#REF!+预安排!#REF!+#REF!+'6月'!S123,5)</f>
        <v/>
      </c>
      <c r="T123" s="182">
        <f>ROUND(#REF!+#REF!+#REF!+预安排!#REF!+#REF!+'6月'!T123,5)</f>
        <v/>
      </c>
      <c r="U123" s="182">
        <f>ROUND(#REF!+#REF!+#REF!+预安排!O129+#REF!+'6月'!U123,5)</f>
        <v/>
      </c>
      <c r="V123" s="182">
        <f>ROUND(#REF!+#REF!+#REF!+预安排!P129+#REF!+'6月'!V123,5)</f>
        <v/>
      </c>
      <c r="W123" s="182">
        <f>ROUND(#REF!+#REF!+#REF!+预安排!Q129+#REF!+'6月'!W123,5)</f>
        <v/>
      </c>
      <c r="X123" s="182">
        <f>ROUND(#REF!+#REF!+#REF!+预安排!R129+#REF!+'6月'!X123,5)</f>
        <v/>
      </c>
      <c r="Y123" s="182">
        <f>ROUND(#REF!+#REF!+#REF!+预安排!S129+#REF!+'6月'!Y123,5)</f>
        <v/>
      </c>
      <c r="Z123" s="182">
        <f>ROUND(#REF!+#REF!+#REF!+预安排!#REF!+#REF!+'6月'!Z123,5)</f>
        <v/>
      </c>
      <c r="AA123" s="182">
        <f>ROUND(#REF!+#REF!+#REF!+预安排!#REF!+#REF!+'6月'!AA123,5)</f>
        <v/>
      </c>
      <c r="AB123" s="182">
        <f>ROUND(#REF!+#REF!+#REF!+预安排!#REF!+#REF!+'6月'!AB123,5)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193">
        <f>计划!O123-O123</f>
        <v/>
      </c>
      <c r="AH123" s="193">
        <f>ROUND(AG123/$AH$1,2)</f>
        <v/>
      </c>
    </row>
    <row r="124" customFormat="1" s="1">
      <c r="A124" s="234" t="n"/>
      <c r="B124" s="231" t="inlineStr">
        <is>
          <t>SKU-D7B45BE5</t>
        </is>
      </c>
      <c r="C124" s="231" t="inlineStr">
        <is>
          <t>是</t>
        </is>
      </c>
      <c r="D124" s="231" t="n">
        <v>10</v>
      </c>
      <c r="E124" s="231" t="inlineStr"/>
      <c r="F124" s="231" t="inlineStr"/>
      <c r="G124" s="231" t="inlineStr"/>
      <c r="H124" s="231" t="inlineStr"/>
      <c r="I124" s="231" t="inlineStr"/>
      <c r="J124" s="27" t="inlineStr"/>
      <c r="K124" s="27" t="inlineStr"/>
      <c r="L124" s="231" t="n">
        <v>100</v>
      </c>
      <c r="M124" s="44" t="inlineStr">
        <is>
          <t>Product-58C86CC9</t>
        </is>
      </c>
      <c r="N124" s="231" t="n">
        <v>3</v>
      </c>
      <c r="O124" s="181">
        <f>SUM(P124:AB124)</f>
        <v/>
      </c>
      <c r="P124" s="182">
        <f>ROUND(#REF!+#REF!+#REF!+预安排!F130+#REF!+'6月'!P124,5)</f>
        <v/>
      </c>
      <c r="Q124" s="182">
        <f>ROUND(#REF!+#REF!+#REF!+预安排!#REF!+#REF!+'6月'!Q124,5)</f>
        <v/>
      </c>
      <c r="R124" s="182">
        <f>ROUND(#REF!+#REF!+#REF!+预安排!G130+#REF!+'6月'!R124,5)</f>
        <v/>
      </c>
      <c r="S124" s="182">
        <f>ROUND(#REF!+#REF!+#REF!+预安排!#REF!+#REF!+'6月'!S124,5)</f>
        <v/>
      </c>
      <c r="T124" s="182">
        <f>ROUND(#REF!+#REF!+#REF!+预安排!#REF!+#REF!+'6月'!T124,5)</f>
        <v/>
      </c>
      <c r="U124" s="182">
        <f>ROUND(#REF!+#REF!+#REF!+预安排!O130+#REF!+'6月'!U124,5)</f>
        <v/>
      </c>
      <c r="V124" s="182">
        <f>ROUND(#REF!+#REF!+#REF!+预安排!P130+#REF!+'6月'!V124,5)</f>
        <v/>
      </c>
      <c r="W124" s="182">
        <f>ROUND(#REF!+#REF!+#REF!+预安排!Q130+#REF!+'6月'!W124,5)</f>
        <v/>
      </c>
      <c r="X124" s="182">
        <f>ROUND(#REF!+#REF!+#REF!+预安排!R130+#REF!+'6月'!X124,5)</f>
        <v/>
      </c>
      <c r="Y124" s="182">
        <f>ROUND(#REF!+#REF!+#REF!+预安排!S130+#REF!+'6月'!Y124,5)</f>
        <v/>
      </c>
      <c r="Z124" s="182">
        <f>ROUND(#REF!+#REF!+#REF!+预安排!#REF!+#REF!+'6月'!Z124,5)</f>
        <v/>
      </c>
      <c r="AA124" s="182">
        <f>ROUND(#REF!+#REF!+#REF!+预安排!#REF!+#REF!+'6月'!AA124,5)</f>
        <v/>
      </c>
      <c r="AB124" s="182">
        <f>ROUND(#REF!+#REF!+#REF!+预安排!#REF!+#REF!+'6月'!AB124,5)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193">
        <f>计划!O124-O124</f>
        <v/>
      </c>
      <c r="AH124" s="193">
        <f>ROUND(AG124/$AH$1,2)</f>
        <v/>
      </c>
    </row>
    <row r="125" customFormat="1" s="1">
      <c r="A125" s="234" t="n"/>
      <c r="B125" s="231" t="inlineStr">
        <is>
          <t>SKU-B2C22E30</t>
        </is>
      </c>
      <c r="C125" s="231" t="inlineStr">
        <is>
          <t>是</t>
        </is>
      </c>
      <c r="D125" s="231" t="n">
        <v>10</v>
      </c>
      <c r="E125" s="231" t="inlineStr"/>
      <c r="F125" s="231" t="inlineStr"/>
      <c r="G125" s="231" t="inlineStr"/>
      <c r="H125" s="231" t="inlineStr"/>
      <c r="I125" s="231" t="inlineStr"/>
      <c r="J125" s="27" t="inlineStr"/>
      <c r="K125" s="27" t="inlineStr"/>
      <c r="L125" s="231" t="n">
        <v>100</v>
      </c>
      <c r="M125" s="19" t="inlineStr">
        <is>
          <t>Product-5FF63CBE</t>
        </is>
      </c>
      <c r="N125" s="231" t="n">
        <v>3</v>
      </c>
      <c r="O125" s="181">
        <f>SUM(P125:AB125)</f>
        <v/>
      </c>
      <c r="P125" s="182">
        <f>ROUND(#REF!+#REF!+#REF!+预安排!F131+#REF!+'6月'!P125,5)</f>
        <v/>
      </c>
      <c r="Q125" s="182">
        <f>ROUND(#REF!+#REF!+#REF!+预安排!#REF!+#REF!+'6月'!Q125,5)</f>
        <v/>
      </c>
      <c r="R125" s="182">
        <f>ROUND(#REF!+#REF!+#REF!+预安排!G131+#REF!+'6月'!R125,5)</f>
        <v/>
      </c>
      <c r="S125" s="182">
        <f>ROUND(#REF!+#REF!+#REF!+预安排!#REF!+#REF!+'6月'!S125,5)</f>
        <v/>
      </c>
      <c r="T125" s="182">
        <f>ROUND(#REF!+#REF!+#REF!+预安排!#REF!+#REF!+'6月'!T125,5)</f>
        <v/>
      </c>
      <c r="U125" s="182">
        <f>ROUND(#REF!+#REF!+#REF!+预安排!O131+#REF!+'6月'!U125,5)</f>
        <v/>
      </c>
      <c r="V125" s="182">
        <f>ROUND(#REF!+#REF!+#REF!+预安排!P131+#REF!+'6月'!V125,5)</f>
        <v/>
      </c>
      <c r="W125" s="182">
        <f>ROUND(#REF!+#REF!+#REF!+预安排!Q131+#REF!+'6月'!W125,5)</f>
        <v/>
      </c>
      <c r="X125" s="182">
        <f>ROUND(#REF!+#REF!+#REF!+预安排!R131+#REF!+'6月'!X125,5)</f>
        <v/>
      </c>
      <c r="Y125" s="182">
        <f>ROUND(#REF!+#REF!+#REF!+预安排!S131+#REF!+'6月'!Y125,5)</f>
        <v/>
      </c>
      <c r="Z125" s="182">
        <f>ROUND(#REF!+#REF!+#REF!+预安排!#REF!+#REF!+'6月'!Z125,5)</f>
        <v/>
      </c>
      <c r="AA125" s="182">
        <f>ROUND(#REF!+#REF!+#REF!+预安排!#REF!+#REF!+'6月'!AA125,5)</f>
        <v/>
      </c>
      <c r="AB125" s="182">
        <f>ROUND(#REF!+#REF!+#REF!+预安排!#REF!+#REF!+'6月'!AB125,5)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193">
        <f>计划!O125-O125</f>
        <v/>
      </c>
      <c r="AH125" s="193">
        <f>ROUND(AG125/$AH$1,2)</f>
        <v/>
      </c>
    </row>
    <row r="126" customFormat="1" s="1">
      <c r="A126" s="234" t="n"/>
      <c r="B126" s="231" t="inlineStr">
        <is>
          <t>SKU-F56BB5B7</t>
        </is>
      </c>
      <c r="C126" s="231" t="inlineStr">
        <is>
          <t>是</t>
        </is>
      </c>
      <c r="D126" s="231" t="n">
        <v>8</v>
      </c>
      <c r="E126" s="231" t="inlineStr">
        <is>
          <t>是</t>
        </is>
      </c>
      <c r="F126" s="231" t="inlineStr"/>
      <c r="G126" s="231" t="inlineStr"/>
      <c r="H126" s="231" t="inlineStr">
        <is>
          <t>是</t>
        </is>
      </c>
      <c r="I126" s="231" t="inlineStr">
        <is>
          <t>是</t>
        </is>
      </c>
      <c r="J126" s="27" t="inlineStr">
        <is>
          <t>共</t>
        </is>
      </c>
      <c r="K126" s="27" t="inlineStr"/>
      <c r="L126" s="231" t="n">
        <v>100</v>
      </c>
      <c r="M126" s="19" t="inlineStr">
        <is>
          <t>Product-DD0EEB81</t>
        </is>
      </c>
      <c r="N126" s="231" t="n">
        <v>1</v>
      </c>
      <c r="O126" s="181">
        <f>SUM(P126:AB126)</f>
        <v/>
      </c>
      <c r="P126" s="182">
        <f>ROUND(#REF!+#REF!+#REF!+预安排!F132+#REF!+'6月'!P126,5)</f>
        <v/>
      </c>
      <c r="Q126" s="182">
        <f>ROUND(#REF!+#REF!+#REF!+预安排!#REF!+#REF!+'6月'!Q126,5)</f>
        <v/>
      </c>
      <c r="R126" s="182">
        <f>ROUND(#REF!+#REF!+#REF!+预安排!G132+#REF!+'6月'!R126,5)</f>
        <v/>
      </c>
      <c r="S126" s="182">
        <f>ROUND(#REF!+#REF!+#REF!+预安排!#REF!+#REF!+'6月'!S126,5)</f>
        <v/>
      </c>
      <c r="T126" s="182">
        <f>ROUND(#REF!+#REF!+#REF!+预安排!#REF!+#REF!+'6月'!T126,5)</f>
        <v/>
      </c>
      <c r="U126" s="182">
        <f>ROUND(#REF!+#REF!+#REF!+预安排!O132+#REF!+'6月'!U126,5)</f>
        <v/>
      </c>
      <c r="V126" s="182">
        <f>ROUND(#REF!+#REF!+#REF!+预安排!P132+#REF!+'6月'!V126,5)</f>
        <v/>
      </c>
      <c r="W126" s="182">
        <f>ROUND(#REF!+#REF!+#REF!+预安排!Q132+#REF!+'6月'!W126,5)</f>
        <v/>
      </c>
      <c r="X126" s="182">
        <f>ROUND(#REF!+#REF!+#REF!+预安排!R132+#REF!+'6月'!X126,5)</f>
        <v/>
      </c>
      <c r="Y126" s="182">
        <f>ROUND(#REF!+#REF!+#REF!+预安排!S132+#REF!+'6月'!Y126,5)</f>
        <v/>
      </c>
      <c r="Z126" s="182">
        <f>ROUND(#REF!+#REF!+#REF!+预安排!#REF!+#REF!+'6月'!Z126,5)</f>
        <v/>
      </c>
      <c r="AA126" s="182">
        <f>ROUND(#REF!+#REF!+#REF!+预安排!#REF!+#REF!+'6月'!AA126,5)</f>
        <v/>
      </c>
      <c r="AB126" s="182">
        <f>ROUND(#REF!+#REF!+#REF!+预安排!#REF!+#REF!+'6月'!AB126,5)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193">
        <f>计划!O126-O126</f>
        <v/>
      </c>
      <c r="AH126" s="193">
        <f>ROUND(AG126/$AH$1,2)</f>
        <v/>
      </c>
    </row>
    <row r="127" customFormat="1" s="1">
      <c r="A127" s="234" t="n"/>
      <c r="B127" s="231" t="inlineStr">
        <is>
          <t>SKU-3F557AF3</t>
        </is>
      </c>
      <c r="C127" s="231" t="inlineStr">
        <is>
          <t>是</t>
        </is>
      </c>
      <c r="D127" s="231" t="n">
        <v>10</v>
      </c>
      <c r="E127" s="231" t="inlineStr"/>
      <c r="F127" s="231" t="inlineStr">
        <is>
          <t>是</t>
        </is>
      </c>
      <c r="G127" s="231" t="inlineStr"/>
      <c r="H127" s="231" t="inlineStr"/>
      <c r="I127" s="231" t="inlineStr">
        <is>
          <t>是</t>
        </is>
      </c>
      <c r="J127" s="27" t="inlineStr"/>
      <c r="K127" s="27" t="inlineStr"/>
      <c r="L127" s="231" t="n">
        <v>100</v>
      </c>
      <c r="M127" s="19" t="inlineStr">
        <is>
          <t>Product-B7D004B8</t>
        </is>
      </c>
      <c r="N127" s="231" t="n">
        <v>1</v>
      </c>
      <c r="O127" s="181">
        <f>SUM(P127:AB127)</f>
        <v/>
      </c>
      <c r="P127" s="182">
        <f>ROUND(#REF!+#REF!+#REF!+预安排!F133+#REF!+'6月'!P127,5)</f>
        <v/>
      </c>
      <c r="Q127" s="182">
        <f>ROUND(#REF!+#REF!+#REF!+预安排!#REF!+#REF!+'6月'!Q127,5)</f>
        <v/>
      </c>
      <c r="R127" s="182">
        <f>ROUND(#REF!+#REF!+#REF!+预安排!G133+#REF!+'6月'!R127,5)</f>
        <v/>
      </c>
      <c r="S127" s="182">
        <f>ROUND(#REF!+#REF!+#REF!+预安排!#REF!+#REF!+'6月'!S127,5)</f>
        <v/>
      </c>
      <c r="T127" s="182">
        <f>ROUND(#REF!+#REF!+#REF!+预安排!#REF!+#REF!+'6月'!T127,5)</f>
        <v/>
      </c>
      <c r="U127" s="182">
        <f>ROUND(#REF!+#REF!+#REF!+预安排!O133+#REF!+'6月'!U127,5)</f>
        <v/>
      </c>
      <c r="V127" s="182">
        <f>ROUND(#REF!+#REF!+#REF!+预安排!P133+#REF!+'6月'!V127,5)</f>
        <v/>
      </c>
      <c r="W127" s="182">
        <f>ROUND(#REF!+#REF!+#REF!+预安排!Q133+#REF!+'6月'!W127,5)</f>
        <v/>
      </c>
      <c r="X127" s="182">
        <f>ROUND(#REF!+#REF!+#REF!+预安排!R133+#REF!+'6月'!X127,5)</f>
        <v/>
      </c>
      <c r="Y127" s="182">
        <f>ROUND(#REF!+#REF!+#REF!+预安排!S133+#REF!+'6月'!Y127,5)</f>
        <v/>
      </c>
      <c r="Z127" s="182">
        <f>ROUND(#REF!+#REF!+#REF!+预安排!#REF!+#REF!+'6月'!Z127,5)</f>
        <v/>
      </c>
      <c r="AA127" s="182">
        <f>ROUND(#REF!+#REF!+#REF!+预安排!#REF!+#REF!+'6月'!AA127,5)</f>
        <v/>
      </c>
      <c r="AB127" s="182">
        <f>ROUND(#REF!+#REF!+#REF!+预安排!#REF!+#REF!+'6月'!AB127,5)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193">
        <f>计划!O127-O127</f>
        <v/>
      </c>
      <c r="AH127" s="193">
        <f>ROUND(AG127/$AH$1,2)</f>
        <v/>
      </c>
    </row>
    <row r="128" customFormat="1" s="1">
      <c r="A128" s="234" t="n"/>
      <c r="B128" s="231" t="inlineStr">
        <is>
          <t>SKU-B84F77F7</t>
        </is>
      </c>
      <c r="C128" s="231" t="inlineStr">
        <is>
          <t>是</t>
        </is>
      </c>
      <c r="D128" s="231" t="n">
        <v>11</v>
      </c>
      <c r="E128" s="231" t="inlineStr"/>
      <c r="F128" s="231" t="inlineStr"/>
      <c r="G128" s="231" t="inlineStr"/>
      <c r="H128" s="231" t="inlineStr"/>
      <c r="I128" s="231" t="inlineStr"/>
      <c r="J128" s="27" t="inlineStr">
        <is>
          <t>共</t>
        </is>
      </c>
      <c r="K128" s="27" t="inlineStr"/>
      <c r="L128" s="231" t="n">
        <v>100</v>
      </c>
      <c r="M128" s="19" t="inlineStr">
        <is>
          <t>Product-12BB50D3</t>
        </is>
      </c>
      <c r="N128" s="231" t="n">
        <v>2</v>
      </c>
      <c r="O128" s="181">
        <f>SUM(P128:AB128)</f>
        <v/>
      </c>
      <c r="P128" s="182">
        <f>ROUND(#REF!+#REF!+#REF!+预安排!F134+#REF!+'6月'!P128,5)</f>
        <v/>
      </c>
      <c r="Q128" s="182">
        <f>ROUND(#REF!+#REF!+#REF!+预安排!#REF!+#REF!+'6月'!Q128,5)</f>
        <v/>
      </c>
      <c r="R128" s="182">
        <f>ROUND(#REF!+#REF!+#REF!+预安排!G134+#REF!+'6月'!R128,5)</f>
        <v/>
      </c>
      <c r="S128" s="182">
        <f>ROUND(#REF!+#REF!+#REF!+预安排!#REF!+#REF!+'6月'!S128,5)</f>
        <v/>
      </c>
      <c r="T128" s="182">
        <f>ROUND(#REF!+#REF!+#REF!+预安排!#REF!+#REF!+'6月'!T128,5)</f>
        <v/>
      </c>
      <c r="U128" s="182">
        <f>ROUND(#REF!+#REF!+#REF!+预安排!O134+#REF!+'6月'!U128,5)</f>
        <v/>
      </c>
      <c r="V128" s="182">
        <f>ROUND(#REF!+#REF!+#REF!+预安排!P134+#REF!+'6月'!V128,5)</f>
        <v/>
      </c>
      <c r="W128" s="182">
        <f>ROUND(#REF!+#REF!+#REF!+预安排!Q134+#REF!+'6月'!W128,5)</f>
        <v/>
      </c>
      <c r="X128" s="182">
        <f>ROUND(#REF!+#REF!+#REF!+预安排!R134+#REF!+'6月'!X128,5)</f>
        <v/>
      </c>
      <c r="Y128" s="182">
        <f>ROUND(#REF!+#REF!+#REF!+预安排!S134+#REF!+'6月'!Y128,5)</f>
        <v/>
      </c>
      <c r="Z128" s="182">
        <f>ROUND(#REF!+#REF!+#REF!+预安排!#REF!+#REF!+'6月'!Z128,5)</f>
        <v/>
      </c>
      <c r="AA128" s="182">
        <f>ROUND(#REF!+#REF!+#REF!+预安排!#REF!+#REF!+'6月'!AA128,5)</f>
        <v/>
      </c>
      <c r="AB128" s="182">
        <f>ROUND(#REF!+#REF!+#REF!+预安排!#REF!+#REF!+'6月'!AB128,5)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193">
        <f>计划!O128-O128</f>
        <v/>
      </c>
      <c r="AH128" s="193">
        <f>ROUND(AG128/$AH$1,2)</f>
        <v/>
      </c>
    </row>
    <row r="129" customFormat="1" s="1">
      <c r="A129" s="234" t="n"/>
      <c r="B129" s="231" t="inlineStr">
        <is>
          <t>SKU-810E6D7D</t>
        </is>
      </c>
      <c r="C129" s="231" t="inlineStr">
        <is>
          <t>是</t>
        </is>
      </c>
      <c r="D129" s="231" t="n">
        <v>8</v>
      </c>
      <c r="E129" s="231" t="inlineStr">
        <is>
          <t>是</t>
        </is>
      </c>
      <c r="F129" s="231" t="inlineStr"/>
      <c r="G129" s="231" t="inlineStr"/>
      <c r="H129" s="231" t="inlineStr">
        <is>
          <t>是</t>
        </is>
      </c>
      <c r="I129" s="231" t="inlineStr">
        <is>
          <t>是</t>
        </is>
      </c>
      <c r="J129" s="27" t="inlineStr"/>
      <c r="K129" s="27" t="inlineStr"/>
      <c r="L129" s="231" t="n">
        <v>100</v>
      </c>
      <c r="M129" s="19" t="inlineStr">
        <is>
          <t>Product-C780D3B4</t>
        </is>
      </c>
      <c r="N129" s="231" t="n">
        <v>1</v>
      </c>
      <c r="O129" s="181">
        <f>SUM(P129:AB129)</f>
        <v/>
      </c>
      <c r="P129" s="182">
        <f>ROUND(#REF!+#REF!+#REF!+预安排!F135+#REF!+'6月'!P129,5)</f>
        <v/>
      </c>
      <c r="Q129" s="182">
        <f>ROUND(#REF!+#REF!+#REF!+预安排!#REF!+#REF!+'6月'!Q129,5)</f>
        <v/>
      </c>
      <c r="R129" s="182">
        <f>ROUND(#REF!+#REF!+#REF!+预安排!G135+#REF!+'6月'!R129,5)</f>
        <v/>
      </c>
      <c r="S129" s="182">
        <f>ROUND(#REF!+#REF!+#REF!+预安排!#REF!+#REF!+'6月'!S129,5)</f>
        <v/>
      </c>
      <c r="T129" s="182">
        <f>ROUND(#REF!+#REF!+#REF!+预安排!#REF!+#REF!+'6月'!T129,5)</f>
        <v/>
      </c>
      <c r="U129" s="182">
        <f>ROUND(#REF!+#REF!+#REF!+预安排!O135+#REF!+'6月'!U129,5)</f>
        <v/>
      </c>
      <c r="V129" s="182">
        <f>ROUND(#REF!+#REF!+#REF!+预安排!P135+#REF!+'6月'!V129,5)</f>
        <v/>
      </c>
      <c r="W129" s="182">
        <f>ROUND(#REF!+#REF!+#REF!+预安排!Q135+#REF!+'6月'!W129,5)</f>
        <v/>
      </c>
      <c r="X129" s="182">
        <f>ROUND(#REF!+#REF!+#REF!+预安排!R135+#REF!+'6月'!X129,5)</f>
        <v/>
      </c>
      <c r="Y129" s="182">
        <f>ROUND(#REF!+#REF!+#REF!+预安排!S135+#REF!+'6月'!Y129,5)</f>
        <v/>
      </c>
      <c r="Z129" s="182">
        <f>ROUND(#REF!+#REF!+#REF!+预安排!#REF!+#REF!+'6月'!Z129,5)</f>
        <v/>
      </c>
      <c r="AA129" s="182">
        <f>ROUND(#REF!+#REF!+#REF!+预安排!#REF!+#REF!+'6月'!AA129,5)</f>
        <v/>
      </c>
      <c r="AB129" s="182">
        <f>ROUND(#REF!+#REF!+#REF!+预安排!#REF!+#REF!+'6月'!AB129,5)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193">
        <f>计划!O129-O129</f>
        <v/>
      </c>
      <c r="AH129" s="193">
        <f>ROUND(AG129/$AH$1,2)</f>
        <v/>
      </c>
    </row>
    <row r="130" customFormat="1" s="1">
      <c r="A130" s="234" t="n"/>
      <c r="B130" s="231" t="inlineStr">
        <is>
          <t>SKU-43A0FE0C</t>
        </is>
      </c>
      <c r="C130" s="231" t="inlineStr">
        <is>
          <t>是</t>
        </is>
      </c>
      <c r="D130" s="231" t="n">
        <v>11</v>
      </c>
      <c r="E130" s="231" t="inlineStr"/>
      <c r="F130" s="231" t="inlineStr"/>
      <c r="G130" s="231" t="inlineStr"/>
      <c r="H130" s="231" t="inlineStr"/>
      <c r="I130" s="231" t="inlineStr"/>
      <c r="J130" s="27" t="inlineStr"/>
      <c r="K130" s="27" t="inlineStr"/>
      <c r="L130" s="231" t="n">
        <v>100</v>
      </c>
      <c r="M130" s="19" t="inlineStr">
        <is>
          <t>Product-48B5A7C4</t>
        </is>
      </c>
      <c r="N130" s="231" t="n">
        <v>1</v>
      </c>
      <c r="O130" s="181">
        <f>SUM(P130:AB130)</f>
        <v/>
      </c>
      <c r="P130" s="182">
        <f>ROUND(#REF!+#REF!+#REF!+预安排!F136+#REF!+'6月'!P130,5)</f>
        <v/>
      </c>
      <c r="Q130" s="182">
        <f>ROUND(#REF!+#REF!+#REF!+预安排!#REF!+#REF!+'6月'!Q130,5)</f>
        <v/>
      </c>
      <c r="R130" s="182">
        <f>ROUND(#REF!+#REF!+#REF!+预安排!G136+#REF!+'6月'!R130,5)</f>
        <v/>
      </c>
      <c r="S130" s="182">
        <f>ROUND(#REF!+#REF!+#REF!+预安排!#REF!+#REF!+'6月'!S130,5)</f>
        <v/>
      </c>
      <c r="T130" s="182">
        <f>ROUND(#REF!+#REF!+#REF!+预安排!#REF!+#REF!+'6月'!T130,5)</f>
        <v/>
      </c>
      <c r="U130" s="182">
        <f>ROUND(#REF!+#REF!+#REF!+预安排!O136+#REF!+'6月'!U130,5)</f>
        <v/>
      </c>
      <c r="V130" s="182">
        <f>ROUND(#REF!+#REF!+#REF!+预安排!P136+#REF!+'6月'!V130,5)</f>
        <v/>
      </c>
      <c r="W130" s="182">
        <f>ROUND(#REF!+#REF!+#REF!+预安排!Q136+#REF!+'6月'!W130,5)</f>
        <v/>
      </c>
      <c r="X130" s="182">
        <f>ROUND(#REF!+#REF!+#REF!+预安排!R136+#REF!+'6月'!X130,5)</f>
        <v/>
      </c>
      <c r="Y130" s="182">
        <f>ROUND(#REF!+#REF!+#REF!+预安排!S136+#REF!+'6月'!Y130,5)</f>
        <v/>
      </c>
      <c r="Z130" s="182">
        <f>ROUND(#REF!+#REF!+#REF!+预安排!#REF!+#REF!+'6月'!Z130,5)</f>
        <v/>
      </c>
      <c r="AA130" s="182">
        <f>ROUND(#REF!+#REF!+#REF!+预安排!#REF!+#REF!+'6月'!AA130,5)</f>
        <v/>
      </c>
      <c r="AB130" s="182">
        <f>ROUND(#REF!+#REF!+#REF!+预安排!#REF!+#REF!+'6月'!AB130,5)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193">
        <f>计划!O130-O130</f>
        <v/>
      </c>
      <c r="AH130" s="193">
        <f>ROUND(AG130/$AH$1,2)</f>
        <v/>
      </c>
    </row>
    <row r="131" customFormat="1" s="1">
      <c r="A131" s="235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196">
        <f>计划!O131-O131</f>
        <v/>
      </c>
      <c r="AH131" s="196">
        <f>ROUND(AG131/$AH$1,2)</f>
        <v/>
      </c>
    </row>
    <row r="132" customFormat="1" s="1">
      <c r="A132" s="25" t="inlineStr">
        <is>
          <t>福建</t>
        </is>
      </c>
      <c r="B132" s="231" t="inlineStr">
        <is>
          <t>SKU-3D7D2993</t>
        </is>
      </c>
      <c r="C132" s="231" t="inlineStr">
        <is>
          <t>是</t>
        </is>
      </c>
      <c r="D132" s="231" t="n">
        <v>10</v>
      </c>
      <c r="E132" s="231" t="inlineStr"/>
      <c r="F132" s="231" t="inlineStr"/>
      <c r="G132" s="231" t="inlineStr"/>
      <c r="H132" s="231" t="inlineStr"/>
      <c r="I132" s="231" t="inlineStr"/>
      <c r="J132" s="27" t="inlineStr"/>
      <c r="K132" s="27" t="inlineStr">
        <is>
          <t>是</t>
        </is>
      </c>
      <c r="L132" s="231" t="n">
        <v>100</v>
      </c>
      <c r="M132" s="19" t="inlineStr">
        <is>
          <t>Product-E884C607</t>
        </is>
      </c>
      <c r="N132" s="231" t="n">
        <v>3</v>
      </c>
      <c r="O132" s="181">
        <f>SUM(P132:AB132)</f>
        <v/>
      </c>
      <c r="P132" s="182">
        <f>ROUND(#REF!+#REF!+#REF!+预安排!F138+#REF!+'6月'!P132,5)</f>
        <v/>
      </c>
      <c r="Q132" s="182">
        <f>ROUND(#REF!+#REF!+#REF!+预安排!#REF!+#REF!+'6月'!Q132,5)</f>
        <v/>
      </c>
      <c r="R132" s="182">
        <f>ROUND(#REF!+#REF!+#REF!+预安排!G138+#REF!+'6月'!R132,5)</f>
        <v/>
      </c>
      <c r="S132" s="182">
        <f>ROUND(#REF!+#REF!+#REF!+预安排!#REF!+#REF!+'6月'!S132,5)</f>
        <v/>
      </c>
      <c r="T132" s="182">
        <f>ROUND(#REF!+#REF!+#REF!+预安排!#REF!+#REF!+'6月'!T132,5)</f>
        <v/>
      </c>
      <c r="U132" s="182">
        <f>ROUND(#REF!+#REF!+#REF!+预安排!O138+#REF!+'6月'!U132,5)</f>
        <v/>
      </c>
      <c r="V132" s="182">
        <f>ROUND(#REF!+#REF!+#REF!+预安排!P138+#REF!+'6月'!V132,5)</f>
        <v/>
      </c>
      <c r="W132" s="182">
        <f>ROUND(#REF!+#REF!+#REF!+预安排!Q138+#REF!+'6月'!W132,5)</f>
        <v/>
      </c>
      <c r="X132" s="182">
        <f>ROUND(#REF!+#REF!+#REF!+预安排!R138+#REF!+'6月'!X132,5)</f>
        <v/>
      </c>
      <c r="Y132" s="182">
        <f>ROUND(#REF!+#REF!+#REF!+预安排!S138+#REF!+'6月'!Y132,5)</f>
        <v/>
      </c>
      <c r="Z132" s="182">
        <f>ROUND(#REF!+#REF!+#REF!+预安排!#REF!+#REF!+'6月'!Z132,5)</f>
        <v/>
      </c>
      <c r="AA132" s="182">
        <f>ROUND(#REF!+#REF!+#REF!+预安排!#REF!+#REF!+'6月'!AA132,5)</f>
        <v/>
      </c>
      <c r="AB132" s="182">
        <f>ROUND(#REF!+#REF!+#REF!+预安排!#REF!+#REF!+'6月'!AB132,5)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193">
        <f>计划!O132-O132</f>
        <v/>
      </c>
      <c r="AH132" s="193">
        <f>ROUND(AG132/$AH$1,2)</f>
        <v/>
      </c>
    </row>
    <row r="133" customFormat="1" s="1">
      <c r="A133" s="234" t="n"/>
      <c r="B133" s="231" t="inlineStr">
        <is>
          <t>SKU-00283049</t>
        </is>
      </c>
      <c r="C133" s="231" t="inlineStr">
        <is>
          <t>是</t>
        </is>
      </c>
      <c r="D133" s="231" t="n">
        <v>6</v>
      </c>
      <c r="E133" s="231" t="inlineStr"/>
      <c r="F133" s="231" t="inlineStr">
        <is>
          <t>是</t>
        </is>
      </c>
      <c r="G133" s="231" t="inlineStr"/>
      <c r="H133" s="231" t="inlineStr"/>
      <c r="I133" s="231" t="inlineStr">
        <is>
          <t>是</t>
        </is>
      </c>
      <c r="J133" s="27" t="inlineStr"/>
      <c r="K133" s="27" t="inlineStr">
        <is>
          <t>是</t>
        </is>
      </c>
      <c r="L133" s="231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>
        <f>ROUND(#REF!+#REF!+#REF!+预安排!F139+#REF!+'6月'!P133,5)</f>
        <v/>
      </c>
      <c r="Q133" s="182">
        <f>ROUND(#REF!+#REF!+#REF!+预安排!#REF!+#REF!+'6月'!Q133,5)</f>
        <v/>
      </c>
      <c r="R133" s="182">
        <f>ROUND(#REF!+#REF!+#REF!+预安排!G139+#REF!+'6月'!R133,5)</f>
        <v/>
      </c>
      <c r="S133" s="182">
        <f>ROUND(#REF!+#REF!+#REF!+预安排!#REF!+#REF!+'6月'!S133,5)</f>
        <v/>
      </c>
      <c r="T133" s="182">
        <f>ROUND(#REF!+#REF!+#REF!+预安排!#REF!+#REF!+'6月'!T133,5)</f>
        <v/>
      </c>
      <c r="U133" s="182">
        <f>ROUND(#REF!+#REF!+#REF!+预安排!O139+#REF!+'6月'!U133,5)</f>
        <v/>
      </c>
      <c r="V133" s="182">
        <f>ROUND(#REF!+#REF!+#REF!+预安排!P139+#REF!+'6月'!V133,5)</f>
        <v/>
      </c>
      <c r="W133" s="182">
        <f>ROUND(#REF!+#REF!+#REF!+预安排!Q139+#REF!+'6月'!W133,5)</f>
        <v/>
      </c>
      <c r="X133" s="182">
        <f>ROUND(#REF!+#REF!+#REF!+预安排!R139+#REF!+'6月'!X133,5)</f>
        <v/>
      </c>
      <c r="Y133" s="182">
        <f>ROUND(#REF!+#REF!+#REF!+预安排!S139+#REF!+'6月'!Y133,5)</f>
        <v/>
      </c>
      <c r="Z133" s="182">
        <f>ROUND(#REF!+#REF!+#REF!+预安排!#REF!+#REF!+'6月'!Z133,5)</f>
        <v/>
      </c>
      <c r="AA133" s="182">
        <f>ROUND(#REF!+#REF!+#REF!+预安排!#REF!+#REF!+'6月'!AA133,5)</f>
        <v/>
      </c>
      <c r="AB133" s="182">
        <f>ROUND(#REF!+#REF!+#REF!+预安排!#REF!+#REF!+'6月'!AB133,5)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193">
        <f>计划!O133-O133</f>
        <v/>
      </c>
      <c r="AH133" s="193">
        <f>ROUND(AG133/$AH$1,2)</f>
        <v/>
      </c>
    </row>
    <row r="134" customFormat="1" s="1">
      <c r="A134" s="234" t="n"/>
      <c r="B134" s="231" t="inlineStr">
        <is>
          <t>SKU-BB75DCA2</t>
        </is>
      </c>
      <c r="C134" s="231" t="inlineStr">
        <is>
          <t>是</t>
        </is>
      </c>
      <c r="D134" s="231" t="n">
        <v>11</v>
      </c>
      <c r="E134" s="231" t="inlineStr"/>
      <c r="F134" s="231" t="inlineStr"/>
      <c r="G134" s="231" t="inlineStr"/>
      <c r="H134" s="231" t="inlineStr"/>
      <c r="I134" s="231" t="inlineStr"/>
      <c r="J134" s="27" t="inlineStr"/>
      <c r="K134" s="27" t="inlineStr"/>
      <c r="L134" s="231" t="n">
        <v>100</v>
      </c>
      <c r="M134" s="19" t="inlineStr">
        <is>
          <t>Product-BEB895B0</t>
        </is>
      </c>
      <c r="N134" s="231" t="n">
        <v>2</v>
      </c>
      <c r="O134" s="181">
        <f>SUM(P134:AB134)</f>
        <v/>
      </c>
      <c r="P134" s="182">
        <f>ROUND(#REF!+#REF!+#REF!+预安排!F140+#REF!+'6月'!P134,5)</f>
        <v/>
      </c>
      <c r="Q134" s="182">
        <f>ROUND(#REF!+#REF!+#REF!+预安排!#REF!+#REF!+'6月'!Q134,5)</f>
        <v/>
      </c>
      <c r="R134" s="182">
        <f>ROUND(#REF!+#REF!+#REF!+预安排!G140+#REF!+'6月'!R134,5)</f>
        <v/>
      </c>
      <c r="S134" s="182">
        <f>ROUND(#REF!+#REF!+#REF!+预安排!#REF!+#REF!+'6月'!S134,5)</f>
        <v/>
      </c>
      <c r="T134" s="182">
        <f>ROUND(#REF!+#REF!+#REF!+预安排!#REF!+#REF!+'6月'!T134,5)</f>
        <v/>
      </c>
      <c r="U134" s="182">
        <f>ROUND(#REF!+#REF!+#REF!+预安排!O140+#REF!+'6月'!U134,5)</f>
        <v/>
      </c>
      <c r="V134" s="182">
        <f>ROUND(#REF!+#REF!+#REF!+预安排!P140+#REF!+'6月'!V134,5)</f>
        <v/>
      </c>
      <c r="W134" s="182">
        <f>ROUND(#REF!+#REF!+#REF!+预安排!Q140+#REF!+'6月'!W134,5)</f>
        <v/>
      </c>
      <c r="X134" s="182">
        <f>ROUND(#REF!+#REF!+#REF!+预安排!R140+#REF!+'6月'!X134,5)</f>
        <v/>
      </c>
      <c r="Y134" s="182">
        <f>ROUND(#REF!+#REF!+#REF!+预安排!S140+#REF!+'6月'!Y134,5)</f>
        <v/>
      </c>
      <c r="Z134" s="182">
        <f>ROUND(#REF!+#REF!+#REF!+预安排!#REF!+#REF!+'6月'!Z134,5)</f>
        <v/>
      </c>
      <c r="AA134" s="182">
        <f>ROUND(#REF!+#REF!+#REF!+预安排!#REF!+#REF!+'6月'!AA134,5)</f>
        <v/>
      </c>
      <c r="AB134" s="182">
        <f>ROUND(#REF!+#REF!+#REF!+预安排!#REF!+#REF!+'6月'!AB134,5)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193">
        <f>计划!O134-O134</f>
        <v/>
      </c>
      <c r="AH134" s="193">
        <f>ROUND(AG134/$AH$1,2)</f>
        <v/>
      </c>
    </row>
    <row r="135" customFormat="1" s="1">
      <c r="A135" s="234" t="n"/>
      <c r="B135" s="231" t="inlineStr">
        <is>
          <t>SKU-388666F4</t>
        </is>
      </c>
      <c r="C135" s="231" t="inlineStr">
        <is>
          <t>是</t>
        </is>
      </c>
      <c r="D135" s="231" t="n">
        <v>10</v>
      </c>
      <c r="E135" s="231" t="inlineStr"/>
      <c r="F135" s="231" t="inlineStr"/>
      <c r="G135" s="231" t="inlineStr"/>
      <c r="H135" s="231" t="inlineStr"/>
      <c r="I135" s="231" t="inlineStr"/>
      <c r="J135" s="27" t="inlineStr"/>
      <c r="K135" s="27" t="inlineStr"/>
      <c r="L135" s="231" t="n">
        <v>100</v>
      </c>
      <c r="M135" s="44" t="inlineStr">
        <is>
          <t>Product-6CBA44B1</t>
        </is>
      </c>
      <c r="N135" s="231" t="n">
        <v>3</v>
      </c>
      <c r="O135" s="181">
        <f>SUM(P135:AB135)</f>
        <v/>
      </c>
      <c r="P135" s="182">
        <f>ROUND(#REF!+#REF!+#REF!+预安排!F141+#REF!+'6月'!P135,5)</f>
        <v/>
      </c>
      <c r="Q135" s="182">
        <f>ROUND(#REF!+#REF!+#REF!+预安排!#REF!+#REF!+'6月'!Q135,5)</f>
        <v/>
      </c>
      <c r="R135" s="182">
        <f>ROUND(#REF!+#REF!+#REF!+预安排!G141+#REF!+'6月'!R135,5)</f>
        <v/>
      </c>
      <c r="S135" s="182">
        <f>ROUND(#REF!+#REF!+#REF!+预安排!#REF!+#REF!+'6月'!S135,5)</f>
        <v/>
      </c>
      <c r="T135" s="182">
        <f>ROUND(#REF!+#REF!+#REF!+预安排!#REF!+#REF!+'6月'!T135,5)</f>
        <v/>
      </c>
      <c r="U135" s="182">
        <f>ROUND(#REF!+#REF!+#REF!+预安排!O141+#REF!+'6月'!U135,5)</f>
        <v/>
      </c>
      <c r="V135" s="182">
        <f>ROUND(#REF!+#REF!+#REF!+预安排!P141+#REF!+'6月'!V135,5)</f>
        <v/>
      </c>
      <c r="W135" s="182">
        <f>ROUND(#REF!+#REF!+#REF!+预安排!Q141+#REF!+'6月'!W135,5)</f>
        <v/>
      </c>
      <c r="X135" s="182">
        <f>ROUND(#REF!+#REF!+#REF!+预安排!R141+#REF!+'6月'!X135,5)</f>
        <v/>
      </c>
      <c r="Y135" s="182">
        <f>ROUND(#REF!+#REF!+#REF!+预安排!S141+#REF!+'6月'!Y135,5)</f>
        <v/>
      </c>
      <c r="Z135" s="182">
        <f>ROUND(#REF!+#REF!+#REF!+预安排!#REF!+#REF!+'6月'!Z135,5)</f>
        <v/>
      </c>
      <c r="AA135" s="182">
        <f>ROUND(#REF!+#REF!+#REF!+预安排!#REF!+#REF!+'6月'!AA135,5)</f>
        <v/>
      </c>
      <c r="AB135" s="182">
        <f>ROUND(#REF!+#REF!+#REF!+预安排!#REF!+#REF!+'6月'!AB135,5)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193">
        <f>计划!O135-O135</f>
        <v/>
      </c>
      <c r="AH135" s="193">
        <f>ROUND(AG135/$AH$1,2)</f>
        <v/>
      </c>
    </row>
    <row r="136" customFormat="1" s="1">
      <c r="A136" s="234" t="n"/>
      <c r="B136" s="231" t="inlineStr">
        <is>
          <t>SKU-817B132C</t>
        </is>
      </c>
      <c r="C136" s="231" t="inlineStr">
        <is>
          <t>是</t>
        </is>
      </c>
      <c r="D136" s="231" t="n">
        <v>8</v>
      </c>
      <c r="E136" s="231" t="inlineStr"/>
      <c r="F136" s="231" t="inlineStr"/>
      <c r="G136" s="231" t="inlineStr"/>
      <c r="H136" s="231" t="inlineStr"/>
      <c r="I136" s="231" t="inlineStr"/>
      <c r="J136" s="27" t="inlineStr"/>
      <c r="K136" s="27" t="inlineStr"/>
      <c r="L136" s="231" t="n">
        <v>100</v>
      </c>
      <c r="M136" s="19" t="inlineStr">
        <is>
          <t>Product-9CA542CA</t>
        </is>
      </c>
      <c r="N136" s="231" t="n">
        <v>3</v>
      </c>
      <c r="O136" s="181">
        <f>SUM(P136:AB136)</f>
        <v/>
      </c>
      <c r="P136" s="182">
        <f>ROUND(#REF!+#REF!+#REF!+预安排!F142+#REF!+'6月'!P136,5)</f>
        <v/>
      </c>
      <c r="Q136" s="182">
        <f>ROUND(#REF!+#REF!+#REF!+预安排!#REF!+#REF!+'6月'!Q136,5)</f>
        <v/>
      </c>
      <c r="R136" s="182">
        <f>ROUND(#REF!+#REF!+#REF!+预安排!G142+#REF!+'6月'!R136,5)</f>
        <v/>
      </c>
      <c r="S136" s="182">
        <f>ROUND(#REF!+#REF!+#REF!+预安排!#REF!+#REF!+'6月'!S136,5)</f>
        <v/>
      </c>
      <c r="T136" s="182">
        <f>ROUND(#REF!+#REF!+#REF!+预安排!#REF!+#REF!+'6月'!T136,5)</f>
        <v/>
      </c>
      <c r="U136" s="182">
        <f>ROUND(#REF!+#REF!+#REF!+预安排!O142+#REF!+'6月'!U136,5)</f>
        <v/>
      </c>
      <c r="V136" s="182">
        <f>ROUND(#REF!+#REF!+#REF!+预安排!P142+#REF!+'6月'!V136,5)</f>
        <v/>
      </c>
      <c r="W136" s="182">
        <f>ROUND(#REF!+#REF!+#REF!+预安排!Q142+#REF!+'6月'!W136,5)</f>
        <v/>
      </c>
      <c r="X136" s="182">
        <f>ROUND(#REF!+#REF!+#REF!+预安排!R142+#REF!+'6月'!X136,5)</f>
        <v/>
      </c>
      <c r="Y136" s="182">
        <f>ROUND(#REF!+#REF!+#REF!+预安排!S142+#REF!+'6月'!Y136,5)</f>
        <v/>
      </c>
      <c r="Z136" s="182">
        <f>ROUND(#REF!+#REF!+#REF!+预安排!#REF!+#REF!+'6月'!Z136,5)</f>
        <v/>
      </c>
      <c r="AA136" s="182">
        <f>ROUND(#REF!+#REF!+#REF!+预安排!#REF!+#REF!+'6月'!AA136,5)</f>
        <v/>
      </c>
      <c r="AB136" s="182">
        <f>ROUND(#REF!+#REF!+#REF!+预安排!#REF!+#REF!+'6月'!AB136,5)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193">
        <f>计划!O136-O136</f>
        <v/>
      </c>
      <c r="AH136" s="193">
        <f>ROUND(AG136/$AH$1,2)</f>
        <v/>
      </c>
    </row>
    <row r="137" customFormat="1" s="1">
      <c r="A137" s="234" t="n"/>
      <c r="B137" s="231" t="inlineStr">
        <is>
          <t>SKU-CE68A1C3</t>
        </is>
      </c>
      <c r="C137" s="231" t="inlineStr">
        <is>
          <t>是</t>
        </is>
      </c>
      <c r="D137" s="231" t="n">
        <v>6</v>
      </c>
      <c r="E137" s="231" t="inlineStr">
        <is>
          <t>是</t>
        </is>
      </c>
      <c r="F137" s="231" t="inlineStr"/>
      <c r="G137" s="231" t="inlineStr"/>
      <c r="H137" s="231" t="inlineStr"/>
      <c r="I137" s="231" t="inlineStr">
        <is>
          <t>是</t>
        </is>
      </c>
      <c r="J137" s="27" t="inlineStr">
        <is>
          <t>共</t>
        </is>
      </c>
      <c r="K137" s="27" t="inlineStr"/>
      <c r="L137" s="231" t="n">
        <v>100</v>
      </c>
      <c r="M137" s="19" t="inlineStr">
        <is>
          <t>Product-40217E2C</t>
        </is>
      </c>
      <c r="N137" s="231" t="n">
        <v>1</v>
      </c>
      <c r="O137" s="181">
        <f>SUM(P137:AB137)</f>
        <v/>
      </c>
      <c r="P137" s="182">
        <f>ROUND(#REF!+#REF!+#REF!+预安排!F143+#REF!+'6月'!P137,5)</f>
        <v/>
      </c>
      <c r="Q137" s="182">
        <f>ROUND(#REF!+#REF!+#REF!+预安排!#REF!+#REF!+'6月'!Q137,5)</f>
        <v/>
      </c>
      <c r="R137" s="182">
        <f>ROUND(#REF!+#REF!+#REF!+预安排!G143+#REF!+'6月'!R137,5)</f>
        <v/>
      </c>
      <c r="S137" s="182">
        <f>ROUND(#REF!+#REF!+#REF!+预安排!#REF!+#REF!+'6月'!S137,5)</f>
        <v/>
      </c>
      <c r="T137" s="182">
        <f>ROUND(#REF!+#REF!+#REF!+预安排!#REF!+#REF!+'6月'!T137,5)</f>
        <v/>
      </c>
      <c r="U137" s="182">
        <f>ROUND(#REF!+#REF!+#REF!+预安排!O143+#REF!+'6月'!U137,5)</f>
        <v/>
      </c>
      <c r="V137" s="182">
        <f>ROUND(#REF!+#REF!+#REF!+预安排!P143+#REF!+'6月'!V137,5)</f>
        <v/>
      </c>
      <c r="W137" s="182">
        <f>ROUND(#REF!+#REF!+#REF!+预安排!Q143+#REF!+'6月'!W137,5)</f>
        <v/>
      </c>
      <c r="X137" s="182">
        <f>ROUND(#REF!+#REF!+#REF!+预安排!R143+#REF!+'6月'!X137,5)</f>
        <v/>
      </c>
      <c r="Y137" s="182">
        <f>ROUND(#REF!+#REF!+#REF!+预安排!S143+#REF!+'6月'!Y137,5)</f>
        <v/>
      </c>
      <c r="Z137" s="182">
        <f>ROUND(#REF!+#REF!+#REF!+预安排!#REF!+#REF!+'6月'!Z137,5)</f>
        <v/>
      </c>
      <c r="AA137" s="182">
        <f>ROUND(#REF!+#REF!+#REF!+预安排!#REF!+#REF!+'6月'!AA137,5)</f>
        <v/>
      </c>
      <c r="AB137" s="182">
        <f>ROUND(#REF!+#REF!+#REF!+预安排!#REF!+#REF!+'6月'!AB137,5)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193">
        <f>计划!O137-O137</f>
        <v/>
      </c>
      <c r="AH137" s="193">
        <f>ROUND(AG137/$AH$1,2)</f>
        <v/>
      </c>
    </row>
    <row r="138" customFormat="1" s="1">
      <c r="A138" s="234" t="n"/>
      <c r="B138" s="231" t="inlineStr">
        <is>
          <t>SKU-71660307</t>
        </is>
      </c>
      <c r="C138" s="231" t="inlineStr">
        <is>
          <t>是</t>
        </is>
      </c>
      <c r="D138" s="231" t="n">
        <v>8</v>
      </c>
      <c r="E138" s="231" t="inlineStr"/>
      <c r="F138" s="231" t="inlineStr">
        <is>
          <t>是</t>
        </is>
      </c>
      <c r="G138" s="231" t="inlineStr"/>
      <c r="H138" s="231" t="inlineStr"/>
      <c r="I138" s="231" t="inlineStr">
        <is>
          <t>是</t>
        </is>
      </c>
      <c r="J138" s="27" t="inlineStr"/>
      <c r="K138" s="27" t="inlineStr"/>
      <c r="L138" s="231" t="n">
        <v>100</v>
      </c>
      <c r="M138" s="44" t="inlineStr">
        <is>
          <t>Product-72199E85</t>
        </is>
      </c>
      <c r="N138" s="231" t="n">
        <v>1</v>
      </c>
      <c r="O138" s="181">
        <f>SUM(P138:AB138)</f>
        <v/>
      </c>
      <c r="P138" s="182">
        <f>ROUND(#REF!+#REF!+#REF!+预安排!F144+#REF!+'6月'!P138,5)</f>
        <v/>
      </c>
      <c r="Q138" s="182">
        <f>ROUND(#REF!+#REF!+#REF!+预安排!#REF!+#REF!+'6月'!Q138,5)</f>
        <v/>
      </c>
      <c r="R138" s="182">
        <f>ROUND(#REF!+#REF!+#REF!+预安排!G144+#REF!+'6月'!R138,5)</f>
        <v/>
      </c>
      <c r="S138" s="182">
        <f>ROUND(#REF!+#REF!+#REF!+预安排!#REF!+#REF!+'6月'!S138,5)</f>
        <v/>
      </c>
      <c r="T138" s="182">
        <f>ROUND(#REF!+#REF!+#REF!+预安排!#REF!+#REF!+'6月'!T138,5)</f>
        <v/>
      </c>
      <c r="U138" s="182">
        <f>ROUND(#REF!+#REF!+#REF!+预安排!O144+#REF!+'6月'!U138,5)</f>
        <v/>
      </c>
      <c r="V138" s="182">
        <f>ROUND(#REF!+#REF!+#REF!+预安排!P144+#REF!+'6月'!V138,5)</f>
        <v/>
      </c>
      <c r="W138" s="182">
        <f>ROUND(#REF!+#REF!+#REF!+预安排!Q144+#REF!+'6月'!W138,5)</f>
        <v/>
      </c>
      <c r="X138" s="182">
        <f>ROUND(#REF!+#REF!+#REF!+预安排!R144+#REF!+'6月'!X138,5)</f>
        <v/>
      </c>
      <c r="Y138" s="182">
        <f>ROUND(#REF!+#REF!+#REF!+预安排!S144+#REF!+'6月'!Y138,5)</f>
        <v/>
      </c>
      <c r="Z138" s="182">
        <f>ROUND(#REF!+#REF!+#REF!+预安排!#REF!+#REF!+'6月'!Z138,5)</f>
        <v/>
      </c>
      <c r="AA138" s="182">
        <f>ROUND(#REF!+#REF!+#REF!+预安排!#REF!+#REF!+'6月'!AA138,5)</f>
        <v/>
      </c>
      <c r="AB138" s="182">
        <f>ROUND(#REF!+#REF!+#REF!+预安排!#REF!+#REF!+'6月'!AB138,5)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193">
        <f>计划!O138-O138</f>
        <v/>
      </c>
      <c r="AH138" s="193">
        <f>ROUND(AG138/$AH$1,2)</f>
        <v/>
      </c>
    </row>
    <row r="139" customFormat="1" s="1">
      <c r="A139" s="234" t="n"/>
      <c r="B139" s="231" t="inlineStr">
        <is>
          <t>SKU-4945E111</t>
        </is>
      </c>
      <c r="C139" s="231" t="inlineStr">
        <is>
          <t>是</t>
        </is>
      </c>
      <c r="D139" s="231" t="n">
        <v>8</v>
      </c>
      <c r="E139" s="231" t="inlineStr"/>
      <c r="F139" s="231" t="inlineStr">
        <is>
          <t>是</t>
        </is>
      </c>
      <c r="G139" s="231" t="inlineStr"/>
      <c r="H139" s="231" t="inlineStr"/>
      <c r="I139" s="231" t="inlineStr">
        <is>
          <t>是</t>
        </is>
      </c>
      <c r="J139" s="27" t="inlineStr"/>
      <c r="K139" s="27" t="inlineStr"/>
      <c r="L139" s="231" t="n">
        <v>100</v>
      </c>
      <c r="M139" s="19" t="inlineStr">
        <is>
          <t>Product-A927BD78</t>
        </is>
      </c>
      <c r="N139" s="231" t="n">
        <v>2</v>
      </c>
      <c r="O139" s="181">
        <f>SUM(P139:AB139)</f>
        <v/>
      </c>
      <c r="P139" s="182">
        <f>ROUND(#REF!+#REF!+#REF!+预安排!F145+#REF!+'6月'!P139,5)</f>
        <v/>
      </c>
      <c r="Q139" s="182">
        <f>ROUND(#REF!+#REF!+#REF!+预安排!#REF!+#REF!+'6月'!Q139,5)</f>
        <v/>
      </c>
      <c r="R139" s="182">
        <f>ROUND(#REF!+#REF!+#REF!+预安排!G145+#REF!+'6月'!R139,5)</f>
        <v/>
      </c>
      <c r="S139" s="182">
        <f>ROUND(#REF!+#REF!+#REF!+预安排!#REF!+#REF!+'6月'!S139,5)</f>
        <v/>
      </c>
      <c r="T139" s="182">
        <f>ROUND(#REF!+#REF!+#REF!+预安排!#REF!+#REF!+'6月'!T139,5)</f>
        <v/>
      </c>
      <c r="U139" s="182">
        <f>ROUND(#REF!+#REF!+#REF!+预安排!O145+#REF!+'6月'!U139,5)</f>
        <v/>
      </c>
      <c r="V139" s="182">
        <f>ROUND(#REF!+#REF!+#REF!+预安排!P145+#REF!+'6月'!V139,5)</f>
        <v/>
      </c>
      <c r="W139" s="182">
        <f>ROUND(#REF!+#REF!+#REF!+预安排!Q145+#REF!+'6月'!W139,5)</f>
        <v/>
      </c>
      <c r="X139" s="182">
        <f>ROUND(#REF!+#REF!+#REF!+预安排!R145+#REF!+'6月'!X139,5)</f>
        <v/>
      </c>
      <c r="Y139" s="182">
        <f>ROUND(#REF!+#REF!+#REF!+预安排!S145+#REF!+'6月'!Y139,5)</f>
        <v/>
      </c>
      <c r="Z139" s="182">
        <f>ROUND(#REF!+#REF!+#REF!+预安排!#REF!+#REF!+'6月'!Z139,5)</f>
        <v/>
      </c>
      <c r="AA139" s="182">
        <f>ROUND(#REF!+#REF!+#REF!+预安排!#REF!+#REF!+'6月'!AA139,5)</f>
        <v/>
      </c>
      <c r="AB139" s="182">
        <f>ROUND(#REF!+#REF!+#REF!+预安排!#REF!+#REF!+'6月'!AB139,5)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193">
        <f>计划!O139-O139</f>
        <v/>
      </c>
      <c r="AH139" s="193">
        <f>ROUND(AG139/$AH$1,2)</f>
        <v/>
      </c>
    </row>
    <row r="140" customFormat="1" s="1">
      <c r="A140" s="234" t="n"/>
      <c r="B140" s="231" t="inlineStr">
        <is>
          <t>SKU-823A2107</t>
        </is>
      </c>
      <c r="C140" s="231" t="inlineStr">
        <is>
          <t>是</t>
        </is>
      </c>
      <c r="D140" s="231" t="n">
        <v>8</v>
      </c>
      <c r="E140" s="231" t="inlineStr"/>
      <c r="F140" s="231" t="inlineStr">
        <is>
          <t>是</t>
        </is>
      </c>
      <c r="G140" s="231" t="inlineStr"/>
      <c r="H140" s="231" t="inlineStr"/>
      <c r="I140" s="231" t="inlineStr">
        <is>
          <t>是</t>
        </is>
      </c>
      <c r="J140" s="27" t="inlineStr"/>
      <c r="K140" s="27" t="inlineStr"/>
      <c r="L140" s="231" t="n">
        <v>100</v>
      </c>
      <c r="M140" s="19" t="inlineStr">
        <is>
          <t>Product-0D4369D8</t>
        </is>
      </c>
      <c r="N140" s="231" t="n">
        <v>2</v>
      </c>
      <c r="O140" s="181">
        <f>SUM(P140:AB140)</f>
        <v/>
      </c>
      <c r="P140" s="182">
        <f>ROUND(#REF!+#REF!+#REF!+预安排!F146+#REF!+'6月'!P140,5)</f>
        <v/>
      </c>
      <c r="Q140" s="182">
        <f>ROUND(#REF!+#REF!+#REF!+预安排!#REF!+#REF!+'6月'!Q140,5)</f>
        <v/>
      </c>
      <c r="R140" s="182">
        <f>ROUND(#REF!+#REF!+#REF!+预安排!G146+#REF!+'6月'!R140,5)</f>
        <v/>
      </c>
      <c r="S140" s="182">
        <f>ROUND(#REF!+#REF!+#REF!+预安排!#REF!+#REF!+'6月'!S140,5)</f>
        <v/>
      </c>
      <c r="T140" s="182">
        <f>ROUND(#REF!+#REF!+#REF!+预安排!#REF!+#REF!+'6月'!T140,5)</f>
        <v/>
      </c>
      <c r="U140" s="182">
        <f>ROUND(#REF!+#REF!+#REF!+预安排!O146+#REF!+'6月'!U140,5)</f>
        <v/>
      </c>
      <c r="V140" s="182">
        <f>ROUND(#REF!+#REF!+#REF!+预安排!P146+#REF!+'6月'!V140,5)</f>
        <v/>
      </c>
      <c r="W140" s="182">
        <f>ROUND(#REF!+#REF!+#REF!+预安排!Q146+#REF!+'6月'!W140,5)</f>
        <v/>
      </c>
      <c r="X140" s="182">
        <f>ROUND(#REF!+#REF!+#REF!+预安排!R146+#REF!+'6月'!X140,5)</f>
        <v/>
      </c>
      <c r="Y140" s="182">
        <f>ROUND(#REF!+#REF!+#REF!+预安排!S146+#REF!+'6月'!Y140,5)</f>
        <v/>
      </c>
      <c r="Z140" s="182">
        <f>ROUND(#REF!+#REF!+#REF!+预安排!#REF!+#REF!+'6月'!Z140,5)</f>
        <v/>
      </c>
      <c r="AA140" s="182">
        <f>ROUND(#REF!+#REF!+#REF!+预安排!#REF!+#REF!+'6月'!AA140,5)</f>
        <v/>
      </c>
      <c r="AB140" s="182">
        <f>ROUND(#REF!+#REF!+#REF!+预安排!#REF!+#REF!+'6月'!AB140,5)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193">
        <f>计划!O140-O140</f>
        <v/>
      </c>
      <c r="AH140" s="193">
        <f>ROUND(AG140/$AH$1,2)</f>
        <v/>
      </c>
    </row>
    <row r="141" customFormat="1" s="1">
      <c r="A141" s="234" t="n"/>
      <c r="B141" s="231" t="inlineStr">
        <is>
          <t>SKU-C4DEF3A3</t>
        </is>
      </c>
      <c r="C141" s="231" t="inlineStr">
        <is>
          <t>是</t>
        </is>
      </c>
      <c r="D141" s="231" t="n">
        <v>9</v>
      </c>
      <c r="E141" s="231" t="inlineStr"/>
      <c r="F141" s="231" t="inlineStr">
        <is>
          <t>是</t>
        </is>
      </c>
      <c r="G141" s="231" t="inlineStr"/>
      <c r="H141" s="231" t="inlineStr"/>
      <c r="I141" s="231" t="inlineStr">
        <is>
          <t>是</t>
        </is>
      </c>
      <c r="J141" s="27" t="inlineStr">
        <is>
          <t>共</t>
        </is>
      </c>
      <c r="K141" s="27" t="inlineStr"/>
      <c r="L141" s="231" t="n">
        <v>100</v>
      </c>
      <c r="M141" s="19" t="inlineStr">
        <is>
          <t>Product-49C45F99</t>
        </is>
      </c>
      <c r="N141" s="231" t="n">
        <v>1</v>
      </c>
      <c r="O141" s="181">
        <f>SUM(P141:AB141)</f>
        <v/>
      </c>
      <c r="P141" s="182">
        <f>ROUND(#REF!+#REF!+#REF!+预安排!F147+#REF!+'6月'!P141,5)</f>
        <v/>
      </c>
      <c r="Q141" s="182">
        <f>ROUND(#REF!+#REF!+#REF!+预安排!#REF!+#REF!+'6月'!Q141,5)</f>
        <v/>
      </c>
      <c r="R141" s="182">
        <f>ROUND(#REF!+#REF!+#REF!+预安排!G147+#REF!+'6月'!R141,5)</f>
        <v/>
      </c>
      <c r="S141" s="182">
        <f>ROUND(#REF!+#REF!+#REF!+预安排!#REF!+#REF!+'6月'!S141,5)</f>
        <v/>
      </c>
      <c r="T141" s="182">
        <f>ROUND(#REF!+#REF!+#REF!+预安排!#REF!+#REF!+'6月'!T141,5)</f>
        <v/>
      </c>
      <c r="U141" s="182">
        <f>ROUND(#REF!+#REF!+#REF!+预安排!O147+#REF!+'6月'!U141,5)</f>
        <v/>
      </c>
      <c r="V141" s="182">
        <f>ROUND(#REF!+#REF!+#REF!+预安排!P147+#REF!+'6月'!V141,5)</f>
        <v/>
      </c>
      <c r="W141" s="182">
        <f>ROUND(#REF!+#REF!+#REF!+预安排!Q147+#REF!+'6月'!W141,5)</f>
        <v/>
      </c>
      <c r="X141" s="182">
        <f>ROUND(#REF!+#REF!+#REF!+预安排!R147+#REF!+'6月'!X141,5)</f>
        <v/>
      </c>
      <c r="Y141" s="182">
        <f>ROUND(#REF!+#REF!+#REF!+预安排!S147+#REF!+'6月'!Y141,5)</f>
        <v/>
      </c>
      <c r="Z141" s="182">
        <f>ROUND(#REF!+#REF!+#REF!+预安排!#REF!+#REF!+'6月'!Z141,5)</f>
        <v/>
      </c>
      <c r="AA141" s="182">
        <f>ROUND(#REF!+#REF!+#REF!+预安排!#REF!+#REF!+'6月'!AA141,5)</f>
        <v/>
      </c>
      <c r="AB141" s="182">
        <f>ROUND(#REF!+#REF!+#REF!+预安排!#REF!+#REF!+'6月'!AB141,5)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193">
        <f>计划!O141-O141</f>
        <v/>
      </c>
      <c r="AH141" s="193">
        <f>ROUND(AG141/$AH$1,2)</f>
        <v/>
      </c>
    </row>
    <row r="142" customFormat="1" s="1">
      <c r="A142" s="235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196">
        <f>计划!O142-O142</f>
        <v/>
      </c>
      <c r="AH142" s="196">
        <f>ROUND(AG142/$AH$1,2)</f>
        <v/>
      </c>
    </row>
    <row r="143" customFormat="1" s="1">
      <c r="A143" s="25" t="inlineStr">
        <is>
          <t>江西</t>
        </is>
      </c>
      <c r="B143" s="231" t="inlineStr">
        <is>
          <t>SKU-02903B09</t>
        </is>
      </c>
      <c r="C143" s="231" t="inlineStr">
        <is>
          <t>是</t>
        </is>
      </c>
      <c r="D143" s="231" t="n">
        <v>11</v>
      </c>
      <c r="E143" s="231" t="inlineStr"/>
      <c r="F143" s="231" t="inlineStr"/>
      <c r="G143" s="231" t="inlineStr"/>
      <c r="H143" s="231" t="inlineStr"/>
      <c r="I143" s="231" t="inlineStr"/>
      <c r="J143" s="27" t="inlineStr"/>
      <c r="K143" s="27" t="inlineStr"/>
      <c r="L143" s="231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>
        <f>ROUND(#REF!+#REF!+#REF!+预安排!F149+#REF!+'6月'!P143,5)</f>
        <v/>
      </c>
      <c r="Q143" s="182">
        <f>ROUND(#REF!+#REF!+#REF!+预安排!#REF!+#REF!+'6月'!Q143,5)</f>
        <v/>
      </c>
      <c r="R143" s="182">
        <f>ROUND(#REF!+#REF!+#REF!+预安排!G149+#REF!+'6月'!R143,5)</f>
        <v/>
      </c>
      <c r="S143" s="182">
        <f>ROUND(#REF!+#REF!+#REF!+预安排!#REF!+#REF!+'6月'!S143,5)</f>
        <v/>
      </c>
      <c r="T143" s="182">
        <f>ROUND(#REF!+#REF!+#REF!+预安排!#REF!+#REF!+'6月'!T143,5)</f>
        <v/>
      </c>
      <c r="U143" s="182">
        <f>ROUND(#REF!+#REF!+#REF!+预安排!O149+#REF!+'6月'!U143,5)</f>
        <v/>
      </c>
      <c r="V143" s="182">
        <f>ROUND(#REF!+#REF!+#REF!+预安排!P149+#REF!+'6月'!V143,5)</f>
        <v/>
      </c>
      <c r="W143" s="182">
        <f>ROUND(#REF!+#REF!+#REF!+预安排!Q149+#REF!+'6月'!W143,5)</f>
        <v/>
      </c>
      <c r="X143" s="182">
        <f>ROUND(#REF!+#REF!+#REF!+预安排!R149+#REF!+'6月'!X143,5)</f>
        <v/>
      </c>
      <c r="Y143" s="182">
        <f>ROUND(#REF!+#REF!+#REF!+预安排!S149+#REF!+'6月'!Y143,5)</f>
        <v/>
      </c>
      <c r="Z143" s="182">
        <f>ROUND(#REF!+#REF!+#REF!+预安排!#REF!+#REF!+'6月'!Z143,5)</f>
        <v/>
      </c>
      <c r="AA143" s="182">
        <f>ROUND(#REF!+#REF!+#REF!+预安排!#REF!+#REF!+'6月'!AA143,5)</f>
        <v/>
      </c>
      <c r="AB143" s="182">
        <f>ROUND(#REF!+#REF!+#REF!+预安排!#REF!+#REF!+'6月'!AB143,5)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193">
        <f>计划!O143-O143</f>
        <v/>
      </c>
      <c r="AH143" s="193">
        <f>ROUND(AG143/$AH$1,2)</f>
        <v/>
      </c>
    </row>
    <row r="144" customFormat="1" s="1">
      <c r="A144" s="234" t="n"/>
      <c r="B144" s="231" t="inlineStr">
        <is>
          <t>SKU-D7B2F623</t>
        </is>
      </c>
      <c r="C144" s="231" t="inlineStr">
        <is>
          <t>是</t>
        </is>
      </c>
      <c r="D144" s="231" t="n">
        <v>10</v>
      </c>
      <c r="E144" s="231" t="inlineStr"/>
      <c r="F144" s="231" t="inlineStr"/>
      <c r="G144" s="231" t="inlineStr"/>
      <c r="H144" s="231" t="inlineStr"/>
      <c r="I144" s="231" t="inlineStr"/>
      <c r="J144" s="27" t="inlineStr"/>
      <c r="K144" s="27" t="inlineStr"/>
      <c r="L144" s="231" t="n">
        <v>100</v>
      </c>
      <c r="M144" s="44" t="inlineStr">
        <is>
          <t>Product-419EF208</t>
        </is>
      </c>
      <c r="N144" s="231" t="n">
        <v>3</v>
      </c>
      <c r="O144" s="181">
        <f>SUM(P144:AB144)</f>
        <v/>
      </c>
      <c r="P144" s="182">
        <f>ROUND(#REF!+#REF!+#REF!+预安排!F150+#REF!+'6月'!P144,5)</f>
        <v/>
      </c>
      <c r="Q144" s="182">
        <f>ROUND(#REF!+#REF!+#REF!+预安排!#REF!+#REF!+'6月'!Q144,5)</f>
        <v/>
      </c>
      <c r="R144" s="182">
        <f>ROUND(#REF!+#REF!+#REF!+预安排!G150+#REF!+'6月'!R144,5)</f>
        <v/>
      </c>
      <c r="S144" s="182">
        <f>ROUND(#REF!+#REF!+#REF!+预安排!#REF!+#REF!+'6月'!S144,5)</f>
        <v/>
      </c>
      <c r="T144" s="182">
        <f>ROUND(#REF!+#REF!+#REF!+预安排!#REF!+#REF!+'6月'!T144,5)</f>
        <v/>
      </c>
      <c r="U144" s="182">
        <f>ROUND(#REF!+#REF!+#REF!+预安排!O150+#REF!+'6月'!U144,5)</f>
        <v/>
      </c>
      <c r="V144" s="182">
        <f>ROUND(#REF!+#REF!+#REF!+预安排!P150+#REF!+'6月'!V144,5)</f>
        <v/>
      </c>
      <c r="W144" s="182">
        <f>ROUND(#REF!+#REF!+#REF!+预安排!Q150+#REF!+'6月'!W144,5)</f>
        <v/>
      </c>
      <c r="X144" s="182">
        <f>ROUND(#REF!+#REF!+#REF!+预安排!R150+#REF!+'6月'!X144,5)</f>
        <v/>
      </c>
      <c r="Y144" s="182">
        <f>ROUND(#REF!+#REF!+#REF!+预安排!S150+#REF!+'6月'!Y144,5)</f>
        <v/>
      </c>
      <c r="Z144" s="182">
        <f>ROUND(#REF!+#REF!+#REF!+预安排!#REF!+#REF!+'6月'!Z144,5)</f>
        <v/>
      </c>
      <c r="AA144" s="182">
        <f>ROUND(#REF!+#REF!+#REF!+预安排!#REF!+#REF!+'6月'!AA144,5)</f>
        <v/>
      </c>
      <c r="AB144" s="182">
        <f>ROUND(#REF!+#REF!+#REF!+预安排!#REF!+#REF!+'6月'!AB144,5)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193">
        <f>计划!O144-O144</f>
        <v/>
      </c>
      <c r="AH144" s="193">
        <f>ROUND(AG144/$AH$1,2)</f>
        <v/>
      </c>
    </row>
    <row r="145" customFormat="1" s="1">
      <c r="A145" s="234" t="n"/>
      <c r="B145" s="231" t="inlineStr">
        <is>
          <t>SKU-5C6A175C</t>
        </is>
      </c>
      <c r="C145" s="231" t="inlineStr">
        <is>
          <t>是</t>
        </is>
      </c>
      <c r="D145" s="231" t="n">
        <v>8</v>
      </c>
      <c r="E145" s="231" t="inlineStr">
        <is>
          <t>是</t>
        </is>
      </c>
      <c r="F145" s="231" t="inlineStr"/>
      <c r="G145" s="231" t="inlineStr"/>
      <c r="H145" s="231" t="inlineStr"/>
      <c r="I145" s="231" t="inlineStr">
        <is>
          <t>是</t>
        </is>
      </c>
      <c r="J145" s="27" t="inlineStr"/>
      <c r="K145" s="27" t="inlineStr"/>
      <c r="L145" s="231" t="n">
        <v>100</v>
      </c>
      <c r="M145" s="19" t="inlineStr">
        <is>
          <t>Product-F200B9C7</t>
        </is>
      </c>
      <c r="N145" s="231" t="n">
        <v>2</v>
      </c>
      <c r="O145" s="181">
        <f>SUM(P145:AB145)</f>
        <v/>
      </c>
      <c r="P145" s="182">
        <f>ROUND(#REF!+#REF!+#REF!+预安排!F151+#REF!+'6月'!P145,5)</f>
        <v/>
      </c>
      <c r="Q145" s="182">
        <f>ROUND(#REF!+#REF!+#REF!+预安排!#REF!+#REF!+'6月'!Q145,5)</f>
        <v/>
      </c>
      <c r="R145" s="182">
        <f>ROUND(#REF!+#REF!+#REF!+预安排!G151+#REF!+'6月'!R145,5)</f>
        <v/>
      </c>
      <c r="S145" s="182">
        <f>ROUND(#REF!+#REF!+#REF!+预安排!#REF!+#REF!+'6月'!S145,5)</f>
        <v/>
      </c>
      <c r="T145" s="182">
        <f>ROUND(#REF!+#REF!+#REF!+预安排!#REF!+#REF!+'6月'!T145,5)</f>
        <v/>
      </c>
      <c r="U145" s="182">
        <f>ROUND(#REF!+#REF!+#REF!+预安排!O151+#REF!+'6月'!U145,5)</f>
        <v/>
      </c>
      <c r="V145" s="182">
        <f>ROUND(#REF!+#REF!+#REF!+预安排!P151+#REF!+'6月'!V145,5)</f>
        <v/>
      </c>
      <c r="W145" s="182">
        <f>ROUND(#REF!+#REF!+#REF!+预安排!Q151+#REF!+'6月'!W145,5)</f>
        <v/>
      </c>
      <c r="X145" s="182">
        <f>ROUND(#REF!+#REF!+#REF!+预安排!R151+#REF!+'6月'!X145,5)</f>
        <v/>
      </c>
      <c r="Y145" s="182">
        <f>ROUND(#REF!+#REF!+#REF!+预安排!S151+#REF!+'6月'!Y145,5)</f>
        <v/>
      </c>
      <c r="Z145" s="182">
        <f>ROUND(#REF!+#REF!+#REF!+预安排!#REF!+#REF!+'6月'!Z145,5)</f>
        <v/>
      </c>
      <c r="AA145" s="182">
        <f>ROUND(#REF!+#REF!+#REF!+预安排!#REF!+#REF!+'6月'!AA145,5)</f>
        <v/>
      </c>
      <c r="AB145" s="182">
        <f>ROUND(#REF!+#REF!+#REF!+预安排!#REF!+#REF!+'6月'!AB145,5)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193">
        <f>计划!O145-O145</f>
        <v/>
      </c>
      <c r="AH145" s="193">
        <f>ROUND(AG145/$AH$1,2)</f>
        <v/>
      </c>
    </row>
    <row r="146" customFormat="1" s="1">
      <c r="A146" s="234" t="n"/>
      <c r="B146" s="231" t="inlineStr">
        <is>
          <t>SKU-C6295A43</t>
        </is>
      </c>
      <c r="C146" s="231" t="inlineStr">
        <is>
          <t>是</t>
        </is>
      </c>
      <c r="D146" s="231" t="n">
        <v>10</v>
      </c>
      <c r="E146" s="231" t="inlineStr"/>
      <c r="F146" s="231" t="inlineStr"/>
      <c r="G146" s="231" t="inlineStr"/>
      <c r="H146" s="231" t="inlineStr">
        <is>
          <t>是</t>
        </is>
      </c>
      <c r="I146" s="231" t="inlineStr">
        <is>
          <t>是</t>
        </is>
      </c>
      <c r="J146" s="27" t="inlineStr"/>
      <c r="K146" s="27" t="inlineStr"/>
      <c r="L146" s="231" t="n">
        <v>100</v>
      </c>
      <c r="M146" s="33" t="inlineStr">
        <is>
          <t>Product-C41500E8</t>
        </is>
      </c>
      <c r="N146" s="231" t="n">
        <v>1</v>
      </c>
      <c r="O146" s="181">
        <f>SUM(P146:AB146)</f>
        <v/>
      </c>
      <c r="P146" s="182">
        <f>ROUND(#REF!+#REF!+#REF!+预安排!F152+#REF!+'6月'!P146,5)</f>
        <v/>
      </c>
      <c r="Q146" s="182">
        <f>ROUND(#REF!+#REF!+#REF!+预安排!#REF!+#REF!+'6月'!Q146,5)</f>
        <v/>
      </c>
      <c r="R146" s="182">
        <f>ROUND(#REF!+#REF!+#REF!+预安排!G152+#REF!+'6月'!R146,5)</f>
        <v/>
      </c>
      <c r="S146" s="182">
        <f>ROUND(#REF!+#REF!+#REF!+预安排!#REF!+#REF!+'6月'!S146,5)</f>
        <v/>
      </c>
      <c r="T146" s="182">
        <f>ROUND(#REF!+#REF!+#REF!+预安排!#REF!+#REF!+'6月'!T146,5)</f>
        <v/>
      </c>
      <c r="U146" s="182">
        <f>ROUND(#REF!+#REF!+#REF!+预安排!O152+#REF!+'6月'!U146,5)</f>
        <v/>
      </c>
      <c r="V146" s="182">
        <f>ROUND(#REF!+#REF!+#REF!+预安排!P152+#REF!+'6月'!V146,5)</f>
        <v/>
      </c>
      <c r="W146" s="182">
        <f>ROUND(#REF!+#REF!+#REF!+预安排!Q152+#REF!+'6月'!W146,5)</f>
        <v/>
      </c>
      <c r="X146" s="182">
        <f>ROUND(#REF!+#REF!+#REF!+预安排!R152+#REF!+'6月'!X146,5)</f>
        <v/>
      </c>
      <c r="Y146" s="182">
        <f>ROUND(#REF!+#REF!+#REF!+预安排!S152+#REF!+'6月'!Y146,5)</f>
        <v/>
      </c>
      <c r="Z146" s="182">
        <f>ROUND(#REF!+#REF!+#REF!+预安排!#REF!+#REF!+'6月'!Z146,5)</f>
        <v/>
      </c>
      <c r="AA146" s="182">
        <f>ROUND(#REF!+#REF!+#REF!+预安排!#REF!+#REF!+'6月'!AA146,5)</f>
        <v/>
      </c>
      <c r="AB146" s="182">
        <f>ROUND(#REF!+#REF!+#REF!+预安排!#REF!+#REF!+'6月'!AB146,5)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193">
        <f>计划!O146-O146</f>
        <v/>
      </c>
      <c r="AH146" s="193">
        <f>ROUND(AG146/$AH$1,2)</f>
        <v/>
      </c>
    </row>
    <row r="147" customFormat="1" s="1">
      <c r="A147" s="234" t="n"/>
      <c r="B147" s="231" t="inlineStr">
        <is>
          <t>SKU-68E2C9C2</t>
        </is>
      </c>
      <c r="C147" s="231" t="inlineStr">
        <is>
          <t>是</t>
        </is>
      </c>
      <c r="D147" s="231" t="n">
        <v>10</v>
      </c>
      <c r="E147" s="231" t="inlineStr"/>
      <c r="F147" s="231" t="inlineStr"/>
      <c r="G147" s="231" t="inlineStr"/>
      <c r="H147" s="231" t="inlineStr"/>
      <c r="I147" s="231" t="inlineStr"/>
      <c r="J147" s="27" t="inlineStr">
        <is>
          <t>共</t>
        </is>
      </c>
      <c r="K147" s="27" t="inlineStr"/>
      <c r="L147" s="231" t="n">
        <v>100</v>
      </c>
      <c r="M147" s="19" t="inlineStr">
        <is>
          <t>Product-61D75507</t>
        </is>
      </c>
      <c r="N147" s="231" t="n">
        <v>1</v>
      </c>
      <c r="O147" s="181">
        <f>SUM(P147:AB147)</f>
        <v/>
      </c>
      <c r="P147" s="182">
        <f>ROUND(#REF!+#REF!+#REF!+预安排!F153+#REF!+'6月'!P147,5)</f>
        <v/>
      </c>
      <c r="Q147" s="182">
        <f>ROUND(#REF!+#REF!+#REF!+预安排!#REF!+#REF!+'6月'!Q147,5)</f>
        <v/>
      </c>
      <c r="R147" s="182">
        <f>ROUND(#REF!+#REF!+#REF!+预安排!G153+#REF!+'6月'!R147,5)</f>
        <v/>
      </c>
      <c r="S147" s="182">
        <f>ROUND(#REF!+#REF!+#REF!+预安排!#REF!+#REF!+'6月'!S147,5)</f>
        <v/>
      </c>
      <c r="T147" s="182">
        <f>ROUND(#REF!+#REF!+#REF!+预安排!#REF!+#REF!+'6月'!T147,5)</f>
        <v/>
      </c>
      <c r="U147" s="182">
        <f>ROUND(#REF!+#REF!+#REF!+预安排!O153+#REF!+'6月'!U147,5)</f>
        <v/>
      </c>
      <c r="V147" s="182">
        <f>ROUND(#REF!+#REF!+#REF!+预安排!P153+#REF!+'6月'!V147,5)</f>
        <v/>
      </c>
      <c r="W147" s="182">
        <f>ROUND(#REF!+#REF!+#REF!+预安排!Q153+#REF!+'6月'!W147,5)</f>
        <v/>
      </c>
      <c r="X147" s="182">
        <f>ROUND(#REF!+#REF!+#REF!+预安排!R153+#REF!+'6月'!X147,5)</f>
        <v/>
      </c>
      <c r="Y147" s="182">
        <f>ROUND(#REF!+#REF!+#REF!+预安排!S153+#REF!+'6月'!Y147,5)</f>
        <v/>
      </c>
      <c r="Z147" s="182">
        <f>ROUND(#REF!+#REF!+#REF!+预安排!#REF!+#REF!+'6月'!Z147,5)</f>
        <v/>
      </c>
      <c r="AA147" s="182">
        <f>ROUND(#REF!+#REF!+#REF!+预安排!#REF!+#REF!+'6月'!AA147,5)</f>
        <v/>
      </c>
      <c r="AB147" s="182">
        <f>ROUND(#REF!+#REF!+#REF!+预安排!#REF!+#REF!+'6月'!AB147,5)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193">
        <f>计划!O147-O147</f>
        <v/>
      </c>
      <c r="AH147" s="193">
        <f>ROUND(AG147/$AH$1,2)</f>
        <v/>
      </c>
    </row>
    <row r="148" customFormat="1" s="1">
      <c r="A148" s="234" t="n"/>
      <c r="B148" s="231" t="inlineStr">
        <is>
          <t>SKU-3821C959</t>
        </is>
      </c>
      <c r="C148" s="231" t="inlineStr">
        <is>
          <t>是</t>
        </is>
      </c>
      <c r="D148" s="231" t="n">
        <v>10</v>
      </c>
      <c r="E148" s="231" t="inlineStr"/>
      <c r="F148" s="231" t="inlineStr"/>
      <c r="G148" s="231" t="inlineStr"/>
      <c r="H148" s="231" t="inlineStr"/>
      <c r="I148" s="231" t="inlineStr"/>
      <c r="J148" s="27" t="inlineStr"/>
      <c r="K148" s="27" t="inlineStr"/>
      <c r="L148" s="231" t="n">
        <v>100</v>
      </c>
      <c r="M148" s="19" t="inlineStr">
        <is>
          <t>Product-E665821D</t>
        </is>
      </c>
      <c r="N148" s="231" t="n">
        <v>1</v>
      </c>
      <c r="O148" s="181">
        <f>SUM(P148:AB148)</f>
        <v/>
      </c>
      <c r="P148" s="182">
        <f>ROUND(#REF!+#REF!+#REF!+预安排!F154+#REF!+'6月'!P148,5)</f>
        <v/>
      </c>
      <c r="Q148" s="182">
        <f>ROUND(#REF!+#REF!+#REF!+预安排!#REF!+#REF!+'6月'!Q148,5)</f>
        <v/>
      </c>
      <c r="R148" s="182">
        <f>ROUND(#REF!+#REF!+#REF!+预安排!G154+#REF!+'6月'!R148,5)</f>
        <v/>
      </c>
      <c r="S148" s="182">
        <f>ROUND(#REF!+#REF!+#REF!+预安排!#REF!+#REF!+'6月'!S148,5)</f>
        <v/>
      </c>
      <c r="T148" s="182">
        <f>ROUND(#REF!+#REF!+#REF!+预安排!#REF!+#REF!+'6月'!T148,5)</f>
        <v/>
      </c>
      <c r="U148" s="182">
        <f>ROUND(#REF!+#REF!+#REF!+预安排!O154+#REF!+'6月'!U148,5)</f>
        <v/>
      </c>
      <c r="V148" s="182">
        <f>ROUND(#REF!+#REF!+#REF!+预安排!P154+#REF!+'6月'!V148,5)</f>
        <v/>
      </c>
      <c r="W148" s="182">
        <f>ROUND(#REF!+#REF!+#REF!+预安排!Q154+#REF!+'6月'!W148,5)</f>
        <v/>
      </c>
      <c r="X148" s="182">
        <f>ROUND(#REF!+#REF!+#REF!+预安排!R154+#REF!+'6月'!X148,5)</f>
        <v/>
      </c>
      <c r="Y148" s="182">
        <f>ROUND(#REF!+#REF!+#REF!+预安排!S154+#REF!+'6月'!Y148,5)</f>
        <v/>
      </c>
      <c r="Z148" s="182">
        <f>ROUND(#REF!+#REF!+#REF!+预安排!#REF!+#REF!+'6月'!Z148,5)</f>
        <v/>
      </c>
      <c r="AA148" s="182">
        <f>ROUND(#REF!+#REF!+#REF!+预安排!#REF!+#REF!+'6月'!AA148,5)</f>
        <v/>
      </c>
      <c r="AB148" s="182">
        <f>ROUND(#REF!+#REF!+#REF!+预安排!#REF!+#REF!+'6月'!AB148,5)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193">
        <f>计划!O148-O148</f>
        <v/>
      </c>
      <c r="AH148" s="193">
        <f>ROUND(AG148/$AH$1,2)</f>
        <v/>
      </c>
    </row>
    <row r="149" customFormat="1" s="1">
      <c r="A149" s="234" t="n"/>
      <c r="B149" s="231" t="inlineStr">
        <is>
          <t>SKU-22F094B2</t>
        </is>
      </c>
      <c r="C149" s="231" t="inlineStr">
        <is>
          <t>是</t>
        </is>
      </c>
      <c r="D149" s="231" t="n">
        <v>10</v>
      </c>
      <c r="E149" s="231" t="inlineStr"/>
      <c r="F149" s="231" t="inlineStr"/>
      <c r="G149" s="231" t="inlineStr"/>
      <c r="H149" s="231" t="inlineStr"/>
      <c r="I149" s="231" t="inlineStr"/>
      <c r="J149" s="27" t="inlineStr"/>
      <c r="K149" s="27" t="inlineStr"/>
      <c r="L149" s="231" t="n">
        <v>100</v>
      </c>
      <c r="M149" s="19" t="inlineStr">
        <is>
          <t>Product-A2C9FA4B</t>
        </is>
      </c>
      <c r="N149" s="231" t="n">
        <v>3</v>
      </c>
      <c r="O149" s="181">
        <f>SUM(P149:AB149)</f>
        <v/>
      </c>
      <c r="P149" s="182">
        <f>ROUND(#REF!+#REF!+#REF!+预安排!F155+#REF!+'6月'!P149,5)</f>
        <v/>
      </c>
      <c r="Q149" s="182">
        <f>ROUND(#REF!+#REF!+#REF!+预安排!#REF!+#REF!+'6月'!Q149,5)</f>
        <v/>
      </c>
      <c r="R149" s="182">
        <f>ROUND(#REF!+#REF!+#REF!+预安排!G155+#REF!+'6月'!R149,5)</f>
        <v/>
      </c>
      <c r="S149" s="182">
        <f>ROUND(#REF!+#REF!+#REF!+预安排!#REF!+#REF!+'6月'!S149,5)</f>
        <v/>
      </c>
      <c r="T149" s="182">
        <f>ROUND(#REF!+#REF!+#REF!+预安排!#REF!+#REF!+'6月'!T149,5)</f>
        <v/>
      </c>
      <c r="U149" s="182">
        <f>ROUND(#REF!+#REF!+#REF!+预安排!O155+#REF!+'6月'!U149,5)</f>
        <v/>
      </c>
      <c r="V149" s="182">
        <f>ROUND(#REF!+#REF!+#REF!+预安排!P155+#REF!+'6月'!V149,5)</f>
        <v/>
      </c>
      <c r="W149" s="182">
        <f>ROUND(#REF!+#REF!+#REF!+预安排!Q155+#REF!+'6月'!W149,5)</f>
        <v/>
      </c>
      <c r="X149" s="182">
        <f>ROUND(#REF!+#REF!+#REF!+预安排!R155+#REF!+'6月'!X149,5)</f>
        <v/>
      </c>
      <c r="Y149" s="182">
        <f>ROUND(#REF!+#REF!+#REF!+预安排!S155+#REF!+'6月'!Y149,5)</f>
        <v/>
      </c>
      <c r="Z149" s="182">
        <f>ROUND(#REF!+#REF!+#REF!+预安排!#REF!+#REF!+'6月'!Z149,5)</f>
        <v/>
      </c>
      <c r="AA149" s="182">
        <f>ROUND(#REF!+#REF!+#REF!+预安排!#REF!+#REF!+'6月'!AA149,5)</f>
        <v/>
      </c>
      <c r="AB149" s="182">
        <f>ROUND(#REF!+#REF!+#REF!+预安排!#REF!+#REF!+'6月'!AB149,5)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193">
        <f>计划!O149-O149</f>
        <v/>
      </c>
      <c r="AH149" s="193">
        <f>ROUND(AG149/$AH$1,2)</f>
        <v/>
      </c>
    </row>
    <row r="150" customFormat="1" s="1">
      <c r="A150" s="234" t="n"/>
      <c r="B150" s="231" t="inlineStr">
        <is>
          <t>SKU-A00C82DC</t>
        </is>
      </c>
      <c r="C150" s="231" t="inlineStr">
        <is>
          <t>是</t>
        </is>
      </c>
      <c r="D150" s="231" t="n">
        <v>8</v>
      </c>
      <c r="E150" s="231" t="inlineStr"/>
      <c r="F150" s="231" t="inlineStr">
        <is>
          <t>是</t>
        </is>
      </c>
      <c r="G150" s="231" t="inlineStr"/>
      <c r="H150" s="231" t="inlineStr"/>
      <c r="I150" s="231" t="inlineStr">
        <is>
          <t>是</t>
        </is>
      </c>
      <c r="J150" s="27" t="inlineStr"/>
      <c r="K150" s="27" t="inlineStr"/>
      <c r="L150" s="231" t="n">
        <v>100</v>
      </c>
      <c r="M150" s="19" t="inlineStr">
        <is>
          <t>Product-C42233E0</t>
        </is>
      </c>
      <c r="N150" s="231" t="n">
        <v>1</v>
      </c>
      <c r="O150" s="181">
        <f>SUM(P150:AB150)</f>
        <v/>
      </c>
      <c r="P150" s="182">
        <f>ROUND(#REF!+#REF!+#REF!+预安排!F156+#REF!+'6月'!P150,5)</f>
        <v/>
      </c>
      <c r="Q150" s="182">
        <f>ROUND(#REF!+#REF!+#REF!+预安排!#REF!+#REF!+'6月'!Q150,5)</f>
        <v/>
      </c>
      <c r="R150" s="182">
        <f>ROUND(#REF!+#REF!+#REF!+预安排!G156+#REF!+'6月'!R150,5)</f>
        <v/>
      </c>
      <c r="S150" s="182">
        <f>ROUND(#REF!+#REF!+#REF!+预安排!#REF!+#REF!+'6月'!S150,5)</f>
        <v/>
      </c>
      <c r="T150" s="182">
        <f>ROUND(#REF!+#REF!+#REF!+预安排!#REF!+#REF!+'6月'!T150,5)</f>
        <v/>
      </c>
      <c r="U150" s="182">
        <f>ROUND(#REF!+#REF!+#REF!+预安排!O156+#REF!+'6月'!U150,5)</f>
        <v/>
      </c>
      <c r="V150" s="182">
        <f>ROUND(#REF!+#REF!+#REF!+预安排!P156+#REF!+'6月'!V150,5)</f>
        <v/>
      </c>
      <c r="W150" s="182">
        <f>ROUND(#REF!+#REF!+#REF!+预安排!Q156+#REF!+'6月'!W150,5)</f>
        <v/>
      </c>
      <c r="X150" s="182">
        <f>ROUND(#REF!+#REF!+#REF!+预安排!R156+#REF!+'6月'!X150,5)</f>
        <v/>
      </c>
      <c r="Y150" s="182">
        <f>ROUND(#REF!+#REF!+#REF!+预安排!S156+#REF!+'6月'!Y150,5)</f>
        <v/>
      </c>
      <c r="Z150" s="182">
        <f>ROUND(#REF!+#REF!+#REF!+预安排!#REF!+#REF!+'6月'!Z150,5)</f>
        <v/>
      </c>
      <c r="AA150" s="182">
        <f>ROUND(#REF!+#REF!+#REF!+预安排!#REF!+#REF!+'6月'!AA150,5)</f>
        <v/>
      </c>
      <c r="AB150" s="182">
        <f>ROUND(#REF!+#REF!+#REF!+预安排!#REF!+#REF!+'6月'!AB150,5)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193">
        <f>计划!O150-O150</f>
        <v/>
      </c>
      <c r="AH150" s="193">
        <f>ROUND(AG150/$AH$1,2)</f>
        <v/>
      </c>
    </row>
    <row r="151" customFormat="1" s="1">
      <c r="A151" s="235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196">
        <f>计划!O151-O151</f>
        <v/>
      </c>
      <c r="AH151" s="196">
        <f>ROUND(AG151/$AH$1,2)</f>
        <v/>
      </c>
    </row>
    <row r="152" customFormat="1" s="1">
      <c r="A152" s="54" t="inlineStr">
        <is>
          <t>山东</t>
        </is>
      </c>
      <c r="B152" s="231" t="inlineStr">
        <is>
          <t>SKU-85EB87C2</t>
        </is>
      </c>
      <c r="C152" s="231" t="inlineStr"/>
      <c r="D152" s="231" t="n">
        <v>10</v>
      </c>
      <c r="E152" s="231" t="inlineStr"/>
      <c r="F152" s="231" t="inlineStr"/>
      <c r="G152" s="231" t="inlineStr"/>
      <c r="H152" s="231" t="inlineStr"/>
      <c r="I152" s="231" t="inlineStr"/>
      <c r="J152" s="27" t="inlineStr"/>
      <c r="K152" s="27" t="inlineStr"/>
      <c r="L152" s="231" t="n">
        <v>100</v>
      </c>
      <c r="M152" s="43" t="inlineStr">
        <is>
          <t>Product-21719E56</t>
        </is>
      </c>
      <c r="N152" s="231" t="n">
        <v>3</v>
      </c>
      <c r="O152" s="181">
        <f>SUM(P152:AB152)</f>
        <v/>
      </c>
      <c r="P152" s="182">
        <f>ROUND(#REF!+#REF!+#REF!+预安排!F158+#REF!+'6月'!P152,5)</f>
        <v/>
      </c>
      <c r="Q152" s="182">
        <f>ROUND(#REF!+#REF!+#REF!+预安排!#REF!+#REF!+'6月'!Q152,5)</f>
        <v/>
      </c>
      <c r="R152" s="182">
        <f>ROUND(#REF!+#REF!+#REF!+预安排!G158+#REF!+'6月'!R152,5)</f>
        <v/>
      </c>
      <c r="S152" s="182">
        <f>ROUND(#REF!+#REF!+#REF!+预安排!#REF!+#REF!+'6月'!S152,5)</f>
        <v/>
      </c>
      <c r="T152" s="182">
        <f>ROUND(#REF!+#REF!+#REF!+预安排!#REF!+#REF!+'6月'!T152,5)</f>
        <v/>
      </c>
      <c r="U152" s="182">
        <f>ROUND(#REF!+#REF!+#REF!+预安排!O158+#REF!+'6月'!U152,5)</f>
        <v/>
      </c>
      <c r="V152" s="182">
        <f>ROUND(#REF!+#REF!+#REF!+预安排!P158+#REF!+'6月'!V152,5)</f>
        <v/>
      </c>
      <c r="W152" s="182">
        <f>ROUND(#REF!+#REF!+#REF!+预安排!Q158+#REF!+'6月'!W152,5)</f>
        <v/>
      </c>
      <c r="X152" s="182">
        <f>ROUND(#REF!+#REF!+#REF!+预安排!R158+#REF!+'6月'!X152,5)</f>
        <v/>
      </c>
      <c r="Y152" s="182">
        <f>ROUND(#REF!+#REF!+#REF!+预安排!S158+#REF!+'6月'!Y152,5)</f>
        <v/>
      </c>
      <c r="Z152" s="182">
        <f>ROUND(#REF!+#REF!+#REF!+预安排!#REF!+#REF!+'6月'!Z152,5)</f>
        <v/>
      </c>
      <c r="AA152" s="182">
        <f>ROUND(#REF!+#REF!+#REF!+预安排!#REF!+#REF!+'6月'!AA152,5)</f>
        <v/>
      </c>
      <c r="AB152" s="182">
        <f>ROUND(#REF!+#REF!+#REF!+预安排!#REF!+#REF!+'6月'!AB152,5)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193">
        <f>计划!O152-O152</f>
        <v/>
      </c>
      <c r="AH152" s="193">
        <f>ROUND(AG152/$AH$1,2)</f>
        <v/>
      </c>
    </row>
    <row r="153" customFormat="1" s="1">
      <c r="A153" s="234" t="n"/>
      <c r="B153" s="231" t="inlineStr">
        <is>
          <t>SKU-D52742FC</t>
        </is>
      </c>
      <c r="C153" s="231" t="inlineStr">
        <is>
          <t>是</t>
        </is>
      </c>
      <c r="D153" s="231" t="n">
        <v>8</v>
      </c>
      <c r="E153" s="231" t="inlineStr"/>
      <c r="F153" s="231" t="inlineStr"/>
      <c r="G153" s="231" t="inlineStr"/>
      <c r="H153" s="231" t="inlineStr"/>
      <c r="I153" s="231" t="inlineStr"/>
      <c r="J153" s="27" t="inlineStr"/>
      <c r="K153" s="27" t="inlineStr"/>
      <c r="L153" s="231" t="n">
        <v>100</v>
      </c>
      <c r="M153" s="19" t="inlineStr">
        <is>
          <t>Product-651736B9</t>
        </is>
      </c>
      <c r="N153" s="231" t="n">
        <v>1</v>
      </c>
      <c r="O153" s="181">
        <f>SUM(P153:AB153)</f>
        <v/>
      </c>
      <c r="P153" s="182">
        <f>ROUND(#REF!+#REF!+#REF!+预安排!F159+#REF!+'6月'!P153,5)</f>
        <v/>
      </c>
      <c r="Q153" s="182">
        <f>ROUND(#REF!+#REF!+#REF!+预安排!#REF!+#REF!+'6月'!Q153,5)</f>
        <v/>
      </c>
      <c r="R153" s="182">
        <f>ROUND(#REF!+#REF!+#REF!+预安排!G159+#REF!+'6月'!R153,5)</f>
        <v/>
      </c>
      <c r="S153" s="182">
        <f>ROUND(#REF!+#REF!+#REF!+预安排!#REF!+#REF!+'6月'!S153,5)</f>
        <v/>
      </c>
      <c r="T153" s="182">
        <f>ROUND(#REF!+#REF!+#REF!+预安排!#REF!+#REF!+'6月'!T153,5)</f>
        <v/>
      </c>
      <c r="U153" s="182">
        <f>ROUND(#REF!+#REF!+#REF!+预安排!O159+#REF!+'6月'!U153,5)</f>
        <v/>
      </c>
      <c r="V153" s="182">
        <f>ROUND(#REF!+#REF!+#REF!+预安排!P159+#REF!+'6月'!V153,5)</f>
        <v/>
      </c>
      <c r="W153" s="182">
        <f>ROUND(#REF!+#REF!+#REF!+预安排!Q159+#REF!+'6月'!W153,5)</f>
        <v/>
      </c>
      <c r="X153" s="182">
        <f>ROUND(#REF!+#REF!+#REF!+预安排!R159+#REF!+'6月'!X153,5)</f>
        <v/>
      </c>
      <c r="Y153" s="182">
        <f>ROUND(#REF!+#REF!+#REF!+预安排!S159+#REF!+'6月'!Y153,5)</f>
        <v/>
      </c>
      <c r="Z153" s="182">
        <f>ROUND(#REF!+#REF!+#REF!+预安排!#REF!+#REF!+'6月'!Z153,5)</f>
        <v/>
      </c>
      <c r="AA153" s="182">
        <f>ROUND(#REF!+#REF!+#REF!+预安排!#REF!+#REF!+'6月'!AA153,5)</f>
        <v/>
      </c>
      <c r="AB153" s="182">
        <f>ROUND(#REF!+#REF!+#REF!+预安排!#REF!+#REF!+'6月'!AB153,5)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193">
        <f>计划!O153-O153</f>
        <v/>
      </c>
      <c r="AH153" s="193">
        <f>ROUND(AG153/$AH$1,2)</f>
        <v/>
      </c>
    </row>
    <row r="154" customFormat="1" s="1">
      <c r="A154" s="234" t="n"/>
      <c r="B154" s="231" t="inlineStr">
        <is>
          <t>SKU-D4326C5A</t>
        </is>
      </c>
      <c r="C154" s="231" t="inlineStr">
        <is>
          <t>是</t>
        </is>
      </c>
      <c r="D154" s="231" t="n">
        <v>11</v>
      </c>
      <c r="E154" s="231" t="inlineStr"/>
      <c r="F154" s="231" t="inlineStr"/>
      <c r="G154" s="231" t="inlineStr"/>
      <c r="H154" s="231" t="inlineStr"/>
      <c r="I154" s="231" t="inlineStr"/>
      <c r="J154" s="27" t="inlineStr"/>
      <c r="K154" s="27" t="inlineStr"/>
      <c r="L154" s="231" t="n">
        <v>100</v>
      </c>
      <c r="M154" s="19" t="inlineStr">
        <is>
          <t>Product-E1F8C543</t>
        </is>
      </c>
      <c r="N154" s="231" t="n">
        <v>3</v>
      </c>
      <c r="O154" s="181">
        <f>SUM(P154:AB154)</f>
        <v/>
      </c>
      <c r="P154" s="182">
        <f>ROUND(#REF!+#REF!+#REF!+预安排!F160+#REF!+'6月'!P154,5)</f>
        <v/>
      </c>
      <c r="Q154" s="182">
        <f>ROUND(#REF!+#REF!+#REF!+预安排!#REF!+#REF!+'6月'!Q154,5)</f>
        <v/>
      </c>
      <c r="R154" s="182">
        <f>ROUND(#REF!+#REF!+#REF!+预安排!G160+#REF!+'6月'!R154,5)</f>
        <v/>
      </c>
      <c r="S154" s="182">
        <f>ROUND(#REF!+#REF!+#REF!+预安排!#REF!+#REF!+'6月'!S154,5)</f>
        <v/>
      </c>
      <c r="T154" s="182">
        <f>ROUND(#REF!+#REF!+#REF!+预安排!#REF!+#REF!+'6月'!T154,5)</f>
        <v/>
      </c>
      <c r="U154" s="182">
        <f>ROUND(#REF!+#REF!+#REF!+预安排!O160+#REF!+'6月'!U154,5)</f>
        <v/>
      </c>
      <c r="V154" s="182">
        <f>ROUND(#REF!+#REF!+#REF!+预安排!P160+#REF!+'6月'!V154,5)</f>
        <v/>
      </c>
      <c r="W154" s="182">
        <f>ROUND(#REF!+#REF!+#REF!+预安排!Q160+#REF!+'6月'!W154,5)</f>
        <v/>
      </c>
      <c r="X154" s="182">
        <f>ROUND(#REF!+#REF!+#REF!+预安排!R160+#REF!+'6月'!X154,5)</f>
        <v/>
      </c>
      <c r="Y154" s="182">
        <f>ROUND(#REF!+#REF!+#REF!+预安排!S160+#REF!+'6月'!Y154,5)</f>
        <v/>
      </c>
      <c r="Z154" s="182">
        <f>ROUND(#REF!+#REF!+#REF!+预安排!#REF!+#REF!+'6月'!Z154,5)</f>
        <v/>
      </c>
      <c r="AA154" s="182">
        <f>ROUND(#REF!+#REF!+#REF!+预安排!#REF!+#REF!+'6月'!AA154,5)</f>
        <v/>
      </c>
      <c r="AB154" s="182">
        <f>ROUND(#REF!+#REF!+#REF!+预安排!#REF!+#REF!+'6月'!AB154,5)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193">
        <f>计划!O154-O154</f>
        <v/>
      </c>
      <c r="AH154" s="193">
        <f>ROUND(AG154/$AH$1,2)</f>
        <v/>
      </c>
    </row>
    <row r="155" customFormat="1" s="1">
      <c r="A155" s="234" t="n"/>
      <c r="B155" s="231" t="inlineStr">
        <is>
          <t>SKU-7882C790</t>
        </is>
      </c>
      <c r="C155" s="231" t="inlineStr">
        <is>
          <t>是</t>
        </is>
      </c>
      <c r="D155" s="231" t="n">
        <v>11</v>
      </c>
      <c r="E155" s="231" t="inlineStr"/>
      <c r="F155" s="231" t="inlineStr"/>
      <c r="G155" s="231" t="inlineStr"/>
      <c r="H155" s="231" t="inlineStr"/>
      <c r="I155" s="231" t="inlineStr"/>
      <c r="J155" s="27" t="inlineStr"/>
      <c r="K155" s="27" t="inlineStr"/>
      <c r="L155" s="231" t="n">
        <v>100</v>
      </c>
      <c r="M155" s="43" t="inlineStr">
        <is>
          <t>Product-F864C796</t>
        </is>
      </c>
      <c r="N155" s="231" t="n">
        <v>3</v>
      </c>
      <c r="O155" s="181">
        <f>SUM(P155:AB155)</f>
        <v/>
      </c>
      <c r="P155" s="182">
        <f>ROUND(#REF!+#REF!+#REF!+预安排!F161+#REF!+'6月'!P155,5)</f>
        <v/>
      </c>
      <c r="Q155" s="182">
        <f>ROUND(#REF!+#REF!+#REF!+预安排!#REF!+#REF!+'6月'!Q155,5)</f>
        <v/>
      </c>
      <c r="R155" s="182">
        <f>ROUND(#REF!+#REF!+#REF!+预安排!G161+#REF!+'6月'!R155,5)</f>
        <v/>
      </c>
      <c r="S155" s="182">
        <f>ROUND(#REF!+#REF!+#REF!+预安排!#REF!+#REF!+'6月'!S155,5)</f>
        <v/>
      </c>
      <c r="T155" s="182">
        <f>ROUND(#REF!+#REF!+#REF!+预安排!#REF!+#REF!+'6月'!T155,5)</f>
        <v/>
      </c>
      <c r="U155" s="182">
        <f>ROUND(#REF!+#REF!+#REF!+预安排!O161+#REF!+'6月'!U155,5)</f>
        <v/>
      </c>
      <c r="V155" s="182">
        <f>ROUND(#REF!+#REF!+#REF!+预安排!P161+#REF!+'6月'!V155,5)</f>
        <v/>
      </c>
      <c r="W155" s="182">
        <f>ROUND(#REF!+#REF!+#REF!+预安排!Q161+#REF!+'6月'!W155,5)</f>
        <v/>
      </c>
      <c r="X155" s="182">
        <f>ROUND(#REF!+#REF!+#REF!+预安排!R161+#REF!+'6月'!X155,5)</f>
        <v/>
      </c>
      <c r="Y155" s="182">
        <f>ROUND(#REF!+#REF!+#REF!+预安排!S161+#REF!+'6月'!Y155,5)</f>
        <v/>
      </c>
      <c r="Z155" s="182">
        <f>ROUND(#REF!+#REF!+#REF!+预安排!#REF!+#REF!+'6月'!Z155,5)</f>
        <v/>
      </c>
      <c r="AA155" s="182">
        <f>ROUND(#REF!+#REF!+#REF!+预安排!#REF!+#REF!+'6月'!AA155,5)</f>
        <v/>
      </c>
      <c r="AB155" s="182">
        <f>ROUND(#REF!+#REF!+#REF!+预安排!#REF!+#REF!+'6月'!AB155,5)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193">
        <f>计划!O155-O155</f>
        <v/>
      </c>
      <c r="AH155" s="193">
        <f>ROUND(AG155/$AH$1,2)</f>
        <v/>
      </c>
    </row>
    <row r="156" customFormat="1" s="1">
      <c r="A156" s="234" t="n"/>
      <c r="B156" s="231" t="inlineStr">
        <is>
          <t>SKU-9A453BC6</t>
        </is>
      </c>
      <c r="C156" s="231" t="inlineStr">
        <is>
          <t>是</t>
        </is>
      </c>
      <c r="D156" s="231" t="n">
        <v>8</v>
      </c>
      <c r="E156" s="231" t="inlineStr"/>
      <c r="F156" s="231" t="inlineStr"/>
      <c r="G156" s="231" t="inlineStr"/>
      <c r="H156" s="231" t="inlineStr"/>
      <c r="I156" s="231" t="inlineStr"/>
      <c r="J156" s="27" t="inlineStr"/>
      <c r="K156" s="27" t="inlineStr"/>
      <c r="L156" s="231" t="n">
        <v>100</v>
      </c>
      <c r="M156" s="19" t="inlineStr">
        <is>
          <t>Product-C344580B</t>
        </is>
      </c>
      <c r="N156" s="231" t="n">
        <v>2</v>
      </c>
      <c r="O156" s="181">
        <f>SUM(P156:AB156)</f>
        <v/>
      </c>
      <c r="P156" s="182">
        <f>ROUND(#REF!+#REF!+#REF!+预安排!F162+#REF!+'6月'!P156,5)</f>
        <v/>
      </c>
      <c r="Q156" s="182">
        <f>ROUND(#REF!+#REF!+#REF!+预安排!#REF!+#REF!+'6月'!Q156,5)</f>
        <v/>
      </c>
      <c r="R156" s="182">
        <f>ROUND(#REF!+#REF!+#REF!+预安排!G162+#REF!+'6月'!R156,5)</f>
        <v/>
      </c>
      <c r="S156" s="182">
        <f>ROUND(#REF!+#REF!+#REF!+预安排!#REF!+#REF!+'6月'!S156,5)</f>
        <v/>
      </c>
      <c r="T156" s="182">
        <f>ROUND(#REF!+#REF!+#REF!+预安排!#REF!+#REF!+'6月'!T156,5)</f>
        <v/>
      </c>
      <c r="U156" s="182">
        <f>ROUND(#REF!+#REF!+#REF!+预安排!O162+#REF!+'6月'!U156,5)</f>
        <v/>
      </c>
      <c r="V156" s="182">
        <f>ROUND(#REF!+#REF!+#REF!+预安排!P162+#REF!+'6月'!V156,5)</f>
        <v/>
      </c>
      <c r="W156" s="182">
        <f>ROUND(#REF!+#REF!+#REF!+预安排!Q162+#REF!+'6月'!W156,5)</f>
        <v/>
      </c>
      <c r="X156" s="182">
        <f>ROUND(#REF!+#REF!+#REF!+预安排!R162+#REF!+'6月'!X156,5)</f>
        <v/>
      </c>
      <c r="Y156" s="182">
        <f>ROUND(#REF!+#REF!+#REF!+预安排!S162+#REF!+'6月'!Y156,5)</f>
        <v/>
      </c>
      <c r="Z156" s="182">
        <f>ROUND(#REF!+#REF!+#REF!+预安排!#REF!+#REF!+'6月'!Z156,5)</f>
        <v/>
      </c>
      <c r="AA156" s="182">
        <f>ROUND(#REF!+#REF!+#REF!+预安排!#REF!+#REF!+'6月'!AA156,5)</f>
        <v/>
      </c>
      <c r="AB156" s="182">
        <f>ROUND(#REF!+#REF!+#REF!+预安排!#REF!+#REF!+'6月'!AB156,5)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193">
        <f>计划!O156-O156</f>
        <v/>
      </c>
      <c r="AH156" s="193">
        <f>ROUND(AG156/$AH$1,2)</f>
        <v/>
      </c>
    </row>
    <row r="157" customFormat="1" s="1">
      <c r="A157" s="234" t="n"/>
      <c r="B157" s="231" t="inlineStr">
        <is>
          <t>SKU-EE07E257</t>
        </is>
      </c>
      <c r="C157" s="231" t="inlineStr">
        <is>
          <t>是</t>
        </is>
      </c>
      <c r="D157" s="231" t="n">
        <v>6</v>
      </c>
      <c r="E157" s="231" t="inlineStr">
        <is>
          <t>是</t>
        </is>
      </c>
      <c r="F157" s="231" t="inlineStr"/>
      <c r="G157" s="231" t="inlineStr"/>
      <c r="H157" s="231" t="inlineStr"/>
      <c r="I157" s="231" t="inlineStr">
        <is>
          <t>是</t>
        </is>
      </c>
      <c r="J157" s="27" t="inlineStr">
        <is>
          <t>共</t>
        </is>
      </c>
      <c r="K157" s="27" t="inlineStr"/>
      <c r="L157" s="231" t="n">
        <v>100</v>
      </c>
      <c r="M157" s="19" t="inlineStr">
        <is>
          <t>Product-1F0D9429</t>
        </is>
      </c>
      <c r="N157" s="231" t="n">
        <v>2</v>
      </c>
      <c r="O157" s="181">
        <f>SUM(P157:AB157)</f>
        <v/>
      </c>
      <c r="P157" s="182">
        <f>ROUND(#REF!+#REF!+#REF!+预安排!F163+#REF!+'6月'!P157,5)</f>
        <v/>
      </c>
      <c r="Q157" s="182">
        <f>ROUND(#REF!+#REF!+#REF!+预安排!#REF!+#REF!+'6月'!Q157,5)</f>
        <v/>
      </c>
      <c r="R157" s="182">
        <f>ROUND(#REF!+#REF!+#REF!+预安排!G163+#REF!+'6月'!R157,5)</f>
        <v/>
      </c>
      <c r="S157" s="182">
        <f>ROUND(#REF!+#REF!+#REF!+预安排!#REF!+#REF!+'6月'!S157,5)</f>
        <v/>
      </c>
      <c r="T157" s="182">
        <f>ROUND(#REF!+#REF!+#REF!+预安排!#REF!+#REF!+'6月'!T157,5)</f>
        <v/>
      </c>
      <c r="U157" s="182">
        <f>ROUND(#REF!+#REF!+#REF!+预安排!O163+#REF!+'6月'!U157,5)</f>
        <v/>
      </c>
      <c r="V157" s="182">
        <f>ROUND(#REF!+#REF!+#REF!+预安排!P163+#REF!+'6月'!V157,5)</f>
        <v/>
      </c>
      <c r="W157" s="182">
        <f>ROUND(#REF!+#REF!+#REF!+预安排!Q163+#REF!+'6月'!W157,5)</f>
        <v/>
      </c>
      <c r="X157" s="182">
        <f>ROUND(#REF!+#REF!+#REF!+预安排!R163+#REF!+'6月'!X157,5)</f>
        <v/>
      </c>
      <c r="Y157" s="182">
        <f>ROUND(#REF!+#REF!+#REF!+预安排!S163+#REF!+'6月'!Y157,5)</f>
        <v/>
      </c>
      <c r="Z157" s="182">
        <f>ROUND(#REF!+#REF!+#REF!+预安排!#REF!+#REF!+'6月'!Z157,5)</f>
        <v/>
      </c>
      <c r="AA157" s="182">
        <f>ROUND(#REF!+#REF!+#REF!+预安排!#REF!+#REF!+'6月'!AA157,5)</f>
        <v/>
      </c>
      <c r="AB157" s="182">
        <f>ROUND(#REF!+#REF!+#REF!+预安排!#REF!+#REF!+'6月'!AB157,5)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193">
        <f>计划!O157-O157</f>
        <v/>
      </c>
      <c r="AH157" s="193">
        <f>ROUND(AG157/$AH$1,2)</f>
        <v/>
      </c>
    </row>
    <row r="158" customFormat="1" s="1">
      <c r="A158" s="234" t="n"/>
      <c r="B158" s="55" t="inlineStr">
        <is>
          <t>SKU-49DCD58C</t>
        </is>
      </c>
      <c r="C158" s="231" t="inlineStr">
        <is>
          <t>是</t>
        </is>
      </c>
      <c r="D158" s="55" t="n">
        <v>10</v>
      </c>
      <c r="E158" s="231" t="inlineStr"/>
      <c r="F158" s="231" t="inlineStr">
        <is>
          <t>是</t>
        </is>
      </c>
      <c r="G158" s="231" t="inlineStr"/>
      <c r="H158" s="231" t="inlineStr"/>
      <c r="I158" s="231" t="inlineStr">
        <is>
          <t>是</t>
        </is>
      </c>
      <c r="J158" s="56" t="inlineStr"/>
      <c r="K158" s="56" t="inlineStr"/>
      <c r="L158" s="231" t="n">
        <v>100</v>
      </c>
      <c r="M158" s="33" t="inlineStr">
        <is>
          <t>Product-BF9865D9</t>
        </is>
      </c>
      <c r="N158" s="231" t="n">
        <v>1</v>
      </c>
      <c r="O158" s="181">
        <f>SUM(P158:AB158)</f>
        <v/>
      </c>
      <c r="P158" s="182">
        <f>ROUND(#REF!+#REF!+#REF!+预安排!F164+#REF!+'6月'!P158,5)</f>
        <v/>
      </c>
      <c r="Q158" s="182">
        <f>ROUND(#REF!+#REF!+#REF!+预安排!#REF!+#REF!+'6月'!Q158,5)</f>
        <v/>
      </c>
      <c r="R158" s="182">
        <f>ROUND(#REF!+#REF!+#REF!+预安排!G164+#REF!+'6月'!R158,5)</f>
        <v/>
      </c>
      <c r="S158" s="182">
        <f>ROUND(#REF!+#REF!+#REF!+预安排!#REF!+#REF!+'6月'!S158,5)</f>
        <v/>
      </c>
      <c r="T158" s="182">
        <f>ROUND(#REF!+#REF!+#REF!+预安排!#REF!+#REF!+'6月'!T158,5)</f>
        <v/>
      </c>
      <c r="U158" s="182">
        <f>ROUND(#REF!+#REF!+#REF!+预安排!O164+#REF!+'6月'!U158,5)</f>
        <v/>
      </c>
      <c r="V158" s="182">
        <f>ROUND(#REF!+#REF!+#REF!+预安排!P164+#REF!+'6月'!V158,5)</f>
        <v/>
      </c>
      <c r="W158" s="182">
        <f>ROUND(#REF!+#REF!+#REF!+预安排!Q164+#REF!+'6月'!W158,5)</f>
        <v/>
      </c>
      <c r="X158" s="182">
        <f>ROUND(#REF!+#REF!+#REF!+预安排!R164+#REF!+'6月'!X158,5)</f>
        <v/>
      </c>
      <c r="Y158" s="182">
        <f>ROUND(#REF!+#REF!+#REF!+预安排!S164+#REF!+'6月'!Y158,5)</f>
        <v/>
      </c>
      <c r="Z158" s="182">
        <f>ROUND(#REF!+#REF!+#REF!+预安排!#REF!+#REF!+'6月'!Z158,5)</f>
        <v/>
      </c>
      <c r="AA158" s="182">
        <f>ROUND(#REF!+#REF!+#REF!+预安排!#REF!+#REF!+'6月'!AA158,5)</f>
        <v/>
      </c>
      <c r="AB158" s="182">
        <f>ROUND(#REF!+#REF!+#REF!+预安排!#REF!+#REF!+'6月'!AB158,5)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193">
        <f>计划!O158-O158</f>
        <v/>
      </c>
      <c r="AH158" s="193">
        <f>ROUND(AG158/$AH$1,2)</f>
        <v/>
      </c>
    </row>
    <row r="159" customFormat="1" s="1">
      <c r="A159" s="234" t="n"/>
      <c r="B159" s="231" t="inlineStr">
        <is>
          <t>SKU-5D621FD4</t>
        </is>
      </c>
      <c r="C159" s="231" t="inlineStr">
        <is>
          <t>是</t>
        </is>
      </c>
      <c r="D159" s="231" t="n">
        <v>6</v>
      </c>
      <c r="E159" s="231" t="inlineStr">
        <is>
          <t>是</t>
        </is>
      </c>
      <c r="F159" s="231" t="inlineStr"/>
      <c r="G159" s="231" t="inlineStr"/>
      <c r="H159" s="231" t="inlineStr">
        <is>
          <t>是</t>
        </is>
      </c>
      <c r="I159" s="231" t="inlineStr">
        <is>
          <t>是</t>
        </is>
      </c>
      <c r="J159" s="56" t="inlineStr">
        <is>
          <t>共</t>
        </is>
      </c>
      <c r="K159" s="56" t="inlineStr"/>
      <c r="L159" s="231" t="n">
        <v>100</v>
      </c>
      <c r="M159" s="19" t="inlineStr">
        <is>
          <t>Product-26631748</t>
        </is>
      </c>
      <c r="N159" s="231" t="n">
        <v>1</v>
      </c>
      <c r="O159" s="181">
        <f>SUM(P159:AB159)</f>
        <v/>
      </c>
      <c r="P159" s="182">
        <f>ROUND(#REF!+#REF!+#REF!+预安排!F165+#REF!+'6月'!P159,5)</f>
        <v/>
      </c>
      <c r="Q159" s="182">
        <f>ROUND(#REF!+#REF!+#REF!+预安排!#REF!+#REF!+'6月'!Q159,5)</f>
        <v/>
      </c>
      <c r="R159" s="182">
        <f>ROUND(#REF!+#REF!+#REF!+预安排!G165+#REF!+'6月'!R159,5)</f>
        <v/>
      </c>
      <c r="S159" s="182">
        <f>ROUND(#REF!+#REF!+#REF!+预安排!#REF!+#REF!+'6月'!S159,5)</f>
        <v/>
      </c>
      <c r="T159" s="182">
        <f>ROUND(#REF!+#REF!+#REF!+预安排!#REF!+#REF!+'6月'!T159,5)</f>
        <v/>
      </c>
      <c r="U159" s="182">
        <f>ROUND(#REF!+#REF!+#REF!+预安排!O165+#REF!+'6月'!U159,5)</f>
        <v/>
      </c>
      <c r="V159" s="182">
        <f>ROUND(#REF!+#REF!+#REF!+预安排!P165+#REF!+'6月'!V159,5)</f>
        <v/>
      </c>
      <c r="W159" s="182">
        <f>ROUND(#REF!+#REF!+#REF!+预安排!Q165+#REF!+'6月'!W159,5)</f>
        <v/>
      </c>
      <c r="X159" s="182">
        <f>ROUND(#REF!+#REF!+#REF!+预安排!R165+#REF!+'6月'!X159,5)</f>
        <v/>
      </c>
      <c r="Y159" s="182">
        <f>ROUND(#REF!+#REF!+#REF!+预安排!S165+#REF!+'6月'!Y159,5)</f>
        <v/>
      </c>
      <c r="Z159" s="182">
        <f>ROUND(#REF!+#REF!+#REF!+预安排!#REF!+#REF!+'6月'!Z159,5)</f>
        <v/>
      </c>
      <c r="AA159" s="182">
        <f>ROUND(#REF!+#REF!+#REF!+预安排!#REF!+#REF!+'6月'!AA159,5)</f>
        <v/>
      </c>
      <c r="AB159" s="182">
        <f>ROUND(#REF!+#REF!+#REF!+预安排!#REF!+#REF!+'6月'!AB159,5)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193">
        <f>计划!O159-O159</f>
        <v/>
      </c>
      <c r="AH159" s="193">
        <f>ROUND(AG159/$AH$1,2)</f>
        <v/>
      </c>
    </row>
    <row r="160" customFormat="1" s="1">
      <c r="A160" s="234" t="n"/>
      <c r="B160" s="231" t="inlineStr">
        <is>
          <t>SKU-CA16AEB9</t>
        </is>
      </c>
      <c r="C160" s="231" t="inlineStr">
        <is>
          <t>是</t>
        </is>
      </c>
      <c r="D160" s="231" t="n">
        <v>7</v>
      </c>
      <c r="E160" s="231" t="inlineStr">
        <is>
          <t>是</t>
        </is>
      </c>
      <c r="F160" s="231" t="inlineStr"/>
      <c r="G160" s="231" t="inlineStr"/>
      <c r="H160" s="231" t="inlineStr"/>
      <c r="I160" s="231" t="inlineStr">
        <is>
          <t>是</t>
        </is>
      </c>
      <c r="J160" s="27" t="inlineStr"/>
      <c r="K160" s="27" t="inlineStr"/>
      <c r="L160" s="231" t="n">
        <v>100</v>
      </c>
      <c r="M160" s="19" t="inlineStr">
        <is>
          <t>Product-4B7D4BD1</t>
        </is>
      </c>
      <c r="N160" s="231" t="n">
        <v>1</v>
      </c>
      <c r="O160" s="181">
        <f>SUM(P160:AB160)</f>
        <v/>
      </c>
      <c r="P160" s="182">
        <f>ROUND(#REF!+#REF!+#REF!+预安排!F166+#REF!+'6月'!P160,5)</f>
        <v/>
      </c>
      <c r="Q160" s="182">
        <f>ROUND(#REF!+#REF!+#REF!+预安排!#REF!+#REF!+'6月'!Q160,5)</f>
        <v/>
      </c>
      <c r="R160" s="182">
        <f>ROUND(#REF!+#REF!+#REF!+预安排!G166+#REF!+'6月'!R160,5)</f>
        <v/>
      </c>
      <c r="S160" s="182">
        <f>ROUND(#REF!+#REF!+#REF!+预安排!#REF!+#REF!+'6月'!S160,5)</f>
        <v/>
      </c>
      <c r="T160" s="182">
        <f>ROUND(#REF!+#REF!+#REF!+预安排!#REF!+#REF!+'6月'!T160,5)</f>
        <v/>
      </c>
      <c r="U160" s="182">
        <f>ROUND(#REF!+#REF!+#REF!+预安排!O166+#REF!+'6月'!U160,5)</f>
        <v/>
      </c>
      <c r="V160" s="182">
        <f>ROUND(#REF!+#REF!+#REF!+预安排!P166+#REF!+'6月'!V160,5)</f>
        <v/>
      </c>
      <c r="W160" s="182">
        <f>ROUND(#REF!+#REF!+#REF!+预安排!Q166+#REF!+'6月'!W160,5)</f>
        <v/>
      </c>
      <c r="X160" s="182">
        <f>ROUND(#REF!+#REF!+#REF!+预安排!R166+#REF!+'6月'!X160,5)</f>
        <v/>
      </c>
      <c r="Y160" s="182">
        <f>ROUND(#REF!+#REF!+#REF!+预安排!S166+#REF!+'6月'!Y160,5)</f>
        <v/>
      </c>
      <c r="Z160" s="182">
        <f>ROUND(#REF!+#REF!+#REF!+预安排!#REF!+#REF!+'6月'!Z160,5)</f>
        <v/>
      </c>
      <c r="AA160" s="182">
        <f>ROUND(#REF!+#REF!+#REF!+预安排!#REF!+#REF!+'6月'!AA160,5)</f>
        <v/>
      </c>
      <c r="AB160" s="182">
        <f>ROUND(#REF!+#REF!+#REF!+预安排!#REF!+#REF!+'6月'!AB160,5)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193">
        <f>计划!O160-O160</f>
        <v/>
      </c>
      <c r="AH160" s="193">
        <f>ROUND(AG160/$AH$1,2)</f>
        <v/>
      </c>
    </row>
    <row r="161" customFormat="1" s="1">
      <c r="A161" s="234" t="n"/>
      <c r="B161" s="231" t="inlineStr">
        <is>
          <t>SKU-8ED723E3</t>
        </is>
      </c>
      <c r="C161" s="231" t="inlineStr">
        <is>
          <t>是</t>
        </is>
      </c>
      <c r="D161" s="231" t="n">
        <v>8</v>
      </c>
      <c r="E161" s="231" t="inlineStr">
        <is>
          <t>是</t>
        </is>
      </c>
      <c r="F161" s="231" t="inlineStr"/>
      <c r="G161" s="231" t="inlineStr"/>
      <c r="H161" s="231" t="inlineStr"/>
      <c r="I161" s="231" t="inlineStr">
        <is>
          <t>是</t>
        </is>
      </c>
      <c r="J161" s="27" t="inlineStr"/>
      <c r="K161" s="27" t="inlineStr"/>
      <c r="L161" s="231" t="n">
        <v>100</v>
      </c>
      <c r="M161" s="19" t="inlineStr">
        <is>
          <t>Product-E8BD5CCF</t>
        </is>
      </c>
      <c r="N161" s="231" t="n">
        <v>1</v>
      </c>
      <c r="O161" s="181">
        <f>SUM(P161:AB161)</f>
        <v/>
      </c>
      <c r="P161" s="182">
        <f>ROUND(#REF!+#REF!+#REF!+预安排!F167+#REF!+'6月'!P161,5)</f>
        <v/>
      </c>
      <c r="Q161" s="182">
        <f>ROUND(#REF!+#REF!+#REF!+预安排!#REF!+#REF!+'6月'!Q161,5)</f>
        <v/>
      </c>
      <c r="R161" s="182">
        <f>ROUND(#REF!+#REF!+#REF!+预安排!G167+#REF!+'6月'!R161,5)</f>
        <v/>
      </c>
      <c r="S161" s="182">
        <f>ROUND(#REF!+#REF!+#REF!+预安排!#REF!+#REF!+'6月'!S161,5)</f>
        <v/>
      </c>
      <c r="T161" s="182">
        <f>ROUND(#REF!+#REF!+#REF!+预安排!#REF!+#REF!+'6月'!T161,5)</f>
        <v/>
      </c>
      <c r="U161" s="182">
        <f>ROUND(#REF!+#REF!+#REF!+预安排!O167+#REF!+'6月'!U161,5)</f>
        <v/>
      </c>
      <c r="V161" s="182">
        <f>ROUND(#REF!+#REF!+#REF!+预安排!P167+#REF!+'6月'!V161,5)</f>
        <v/>
      </c>
      <c r="W161" s="182">
        <f>ROUND(#REF!+#REF!+#REF!+预安排!Q167+#REF!+'6月'!W161,5)</f>
        <v/>
      </c>
      <c r="X161" s="182">
        <f>ROUND(#REF!+#REF!+#REF!+预安排!R167+#REF!+'6月'!X161,5)</f>
        <v/>
      </c>
      <c r="Y161" s="182">
        <f>ROUND(#REF!+#REF!+#REF!+预安排!S167+#REF!+'6月'!Y161,5)</f>
        <v/>
      </c>
      <c r="Z161" s="182">
        <f>ROUND(#REF!+#REF!+#REF!+预安排!#REF!+#REF!+'6月'!Z161,5)</f>
        <v/>
      </c>
      <c r="AA161" s="182">
        <f>ROUND(#REF!+#REF!+#REF!+预安排!#REF!+#REF!+'6月'!AA161,5)</f>
        <v/>
      </c>
      <c r="AB161" s="182">
        <f>ROUND(#REF!+#REF!+#REF!+预安排!#REF!+#REF!+'6月'!AB161,5)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193">
        <f>计划!O161-O161</f>
        <v/>
      </c>
      <c r="AH161" s="193">
        <f>ROUND(AG161/$AH$1,2)</f>
        <v/>
      </c>
    </row>
    <row r="162" customFormat="1" s="1">
      <c r="A162" s="234" t="n"/>
      <c r="B162" s="231" t="inlineStr">
        <is>
          <t>SKU-DBA86E65</t>
        </is>
      </c>
      <c r="C162" s="231" t="inlineStr">
        <is>
          <t>是</t>
        </is>
      </c>
      <c r="D162" s="231" t="n">
        <v>6</v>
      </c>
      <c r="E162" s="231" t="inlineStr">
        <is>
          <t>是</t>
        </is>
      </c>
      <c r="F162" s="231" t="inlineStr"/>
      <c r="G162" s="231" t="inlineStr"/>
      <c r="H162" s="231" t="inlineStr">
        <is>
          <t>是</t>
        </is>
      </c>
      <c r="I162" s="231" t="inlineStr">
        <is>
          <t>是</t>
        </is>
      </c>
      <c r="J162" s="27" t="inlineStr"/>
      <c r="K162" s="27" t="inlineStr"/>
      <c r="L162" s="231" t="n">
        <v>100</v>
      </c>
      <c r="M162" s="45" t="inlineStr">
        <is>
          <t>Product-621BB3A5</t>
        </is>
      </c>
      <c r="N162" s="231" t="n">
        <v>1</v>
      </c>
      <c r="O162" s="181">
        <f>SUM(P162:AB162)</f>
        <v/>
      </c>
      <c r="P162" s="182">
        <f>ROUND(#REF!+#REF!+#REF!+预安排!F168+#REF!+'6月'!P162,5)</f>
        <v/>
      </c>
      <c r="Q162" s="182">
        <f>ROUND(#REF!+#REF!+#REF!+预安排!#REF!+#REF!+'6月'!Q162,5)</f>
        <v/>
      </c>
      <c r="R162" s="182">
        <f>ROUND(#REF!+#REF!+#REF!+预安排!G168+#REF!+'6月'!R162,5)</f>
        <v/>
      </c>
      <c r="S162" s="182">
        <f>ROUND(#REF!+#REF!+#REF!+预安排!#REF!+#REF!+'6月'!S162,5)</f>
        <v/>
      </c>
      <c r="T162" s="182">
        <f>ROUND(#REF!+#REF!+#REF!+预安排!#REF!+#REF!+'6月'!T162,5)</f>
        <v/>
      </c>
      <c r="U162" s="182">
        <f>ROUND(#REF!+#REF!+#REF!+预安排!O168+#REF!+'6月'!U162,5)</f>
        <v/>
      </c>
      <c r="V162" s="182">
        <f>ROUND(#REF!+#REF!+#REF!+预安排!P168+#REF!+'6月'!V162,5)</f>
        <v/>
      </c>
      <c r="W162" s="182">
        <f>ROUND(#REF!+#REF!+#REF!+预安排!Q168+#REF!+'6月'!W162,5)</f>
        <v/>
      </c>
      <c r="X162" s="182">
        <f>ROUND(#REF!+#REF!+#REF!+预安排!R168+#REF!+'6月'!X162,5)</f>
        <v/>
      </c>
      <c r="Y162" s="182">
        <f>ROUND(#REF!+#REF!+#REF!+预安排!S168+#REF!+'6月'!Y162,5)</f>
        <v/>
      </c>
      <c r="Z162" s="182">
        <f>ROUND(#REF!+#REF!+#REF!+预安排!#REF!+#REF!+'6月'!Z162,5)</f>
        <v/>
      </c>
      <c r="AA162" s="182">
        <f>ROUND(#REF!+#REF!+#REF!+预安排!#REF!+#REF!+'6月'!AA162,5)</f>
        <v/>
      </c>
      <c r="AB162" s="182">
        <f>ROUND(#REF!+#REF!+#REF!+预安排!#REF!+#REF!+'6月'!AB162,5)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193">
        <f>计划!O162-O162</f>
        <v/>
      </c>
      <c r="AH162" s="193">
        <f>ROUND(AG162/$AH$1,2)</f>
        <v/>
      </c>
    </row>
    <row r="163" customFormat="1" s="1">
      <c r="A163" s="234" t="n"/>
      <c r="B163" s="231" t="inlineStr">
        <is>
          <t>SKU-B757BD73</t>
        </is>
      </c>
      <c r="C163" s="231" t="inlineStr">
        <is>
          <t>是</t>
        </is>
      </c>
      <c r="D163" s="231" t="n">
        <v>8</v>
      </c>
      <c r="E163" s="231" t="inlineStr"/>
      <c r="F163" s="231" t="inlineStr"/>
      <c r="G163" s="231" t="inlineStr"/>
      <c r="H163" s="231" t="inlineStr"/>
      <c r="I163" s="231" t="inlineStr"/>
      <c r="J163" s="27" t="inlineStr"/>
      <c r="K163" s="27" t="inlineStr"/>
      <c r="L163" s="231" t="n">
        <v>100</v>
      </c>
      <c r="M163" s="45" t="inlineStr">
        <is>
          <t>Product-3A2FFD27</t>
        </is>
      </c>
      <c r="N163" s="231" t="n">
        <v>3</v>
      </c>
      <c r="O163" s="181">
        <f>SUM(P163:AB163)</f>
        <v/>
      </c>
      <c r="P163" s="182">
        <f>ROUND(#REF!+#REF!+#REF!+预安排!F169+#REF!+'6月'!P163,5)</f>
        <v/>
      </c>
      <c r="Q163" s="182">
        <f>ROUND(#REF!+#REF!+#REF!+预安排!#REF!+#REF!+'6月'!Q163,5)</f>
        <v/>
      </c>
      <c r="R163" s="182">
        <f>ROUND(#REF!+#REF!+#REF!+预安排!G169+#REF!+'6月'!R163,5)</f>
        <v/>
      </c>
      <c r="S163" s="182">
        <f>ROUND(#REF!+#REF!+#REF!+预安排!#REF!+#REF!+'6月'!S163,5)</f>
        <v/>
      </c>
      <c r="T163" s="182">
        <f>ROUND(#REF!+#REF!+#REF!+预安排!#REF!+#REF!+'6月'!T163,5)</f>
        <v/>
      </c>
      <c r="U163" s="182">
        <f>ROUND(#REF!+#REF!+#REF!+预安排!O169+#REF!+'6月'!U163,5)</f>
        <v/>
      </c>
      <c r="V163" s="182">
        <f>ROUND(#REF!+#REF!+#REF!+预安排!P169+#REF!+'6月'!V163,5)</f>
        <v/>
      </c>
      <c r="W163" s="182">
        <f>ROUND(#REF!+#REF!+#REF!+预安排!Q169+#REF!+'6月'!W163,5)</f>
        <v/>
      </c>
      <c r="X163" s="182">
        <f>ROUND(#REF!+#REF!+#REF!+预安排!R169+#REF!+'6月'!X163,5)</f>
        <v/>
      </c>
      <c r="Y163" s="182">
        <f>ROUND(#REF!+#REF!+#REF!+预安排!S169+#REF!+'6月'!Y163,5)</f>
        <v/>
      </c>
      <c r="Z163" s="182">
        <f>ROUND(#REF!+#REF!+#REF!+预安排!#REF!+#REF!+'6月'!Z163,5)</f>
        <v/>
      </c>
      <c r="AA163" s="182">
        <f>ROUND(#REF!+#REF!+#REF!+预安排!#REF!+#REF!+'6月'!AA163,5)</f>
        <v/>
      </c>
      <c r="AB163" s="182">
        <f>ROUND(#REF!+#REF!+#REF!+预安排!#REF!+#REF!+'6月'!AB163,5)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193">
        <f>计划!O163-O163</f>
        <v/>
      </c>
      <c r="AH163" s="193">
        <f>ROUND(AG163/$AH$1,2)</f>
        <v/>
      </c>
    </row>
    <row r="164" customFormat="1" s="1">
      <c r="A164" s="235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196">
        <f>计划!O164-O164</f>
        <v/>
      </c>
      <c r="AH164" s="196">
        <f>ROUND(AG164/$AH$1,2)</f>
        <v/>
      </c>
    </row>
    <row r="165" customFormat="1" s="1">
      <c r="A165" s="54" t="inlineStr">
        <is>
          <t>河南</t>
        </is>
      </c>
      <c r="B165" s="231" t="inlineStr">
        <is>
          <t>SKU-73F9B5D4</t>
        </is>
      </c>
      <c r="C165" s="231" t="inlineStr">
        <is>
          <t>是</t>
        </is>
      </c>
      <c r="D165" s="231" t="n">
        <v>10</v>
      </c>
      <c r="E165" s="231" t="inlineStr"/>
      <c r="F165" s="231" t="inlineStr"/>
      <c r="G165" s="231" t="inlineStr"/>
      <c r="H165" s="231" t="inlineStr"/>
      <c r="I165" s="231" t="inlineStr"/>
      <c r="J165" s="27" t="inlineStr"/>
      <c r="K165" s="27" t="inlineStr"/>
      <c r="L165" s="231" t="n">
        <v>100</v>
      </c>
      <c r="M165" s="43" t="inlineStr">
        <is>
          <t>Product-E50899B3</t>
        </is>
      </c>
      <c r="N165" s="231" t="n">
        <v>2</v>
      </c>
      <c r="O165" s="181">
        <f>SUM(P165:AB165)</f>
        <v/>
      </c>
      <c r="P165" s="182">
        <f>ROUND(#REF!+#REF!+#REF!+预安排!F171+#REF!+'6月'!P165,5)</f>
        <v/>
      </c>
      <c r="Q165" s="182">
        <f>ROUND(#REF!+#REF!+#REF!+预安排!#REF!+#REF!+'6月'!Q165,5)</f>
        <v/>
      </c>
      <c r="R165" s="182">
        <f>ROUND(#REF!+#REF!+#REF!+预安排!G171+#REF!+'6月'!R165,5)</f>
        <v/>
      </c>
      <c r="S165" s="182">
        <f>ROUND(#REF!+#REF!+#REF!+预安排!#REF!+#REF!+'6月'!S165,5)</f>
        <v/>
      </c>
      <c r="T165" s="182">
        <f>ROUND(#REF!+#REF!+#REF!+预安排!#REF!+#REF!+'6月'!T165,5)</f>
        <v/>
      </c>
      <c r="U165" s="182">
        <f>ROUND(#REF!+#REF!+#REF!+预安排!O171+#REF!+'6月'!U165,5)</f>
        <v/>
      </c>
      <c r="V165" s="182">
        <f>ROUND(#REF!+#REF!+#REF!+预安排!P171+#REF!+'6月'!V165,5)</f>
        <v/>
      </c>
      <c r="W165" s="182">
        <f>ROUND(#REF!+#REF!+#REF!+预安排!Q171+#REF!+'6月'!W165,5)</f>
        <v/>
      </c>
      <c r="X165" s="182">
        <f>ROUND(#REF!+#REF!+#REF!+预安排!R171+#REF!+'6月'!X165,5)</f>
        <v/>
      </c>
      <c r="Y165" s="182">
        <f>ROUND(#REF!+#REF!+#REF!+预安排!S171+#REF!+'6月'!Y165,5)</f>
        <v/>
      </c>
      <c r="Z165" s="182">
        <f>ROUND(#REF!+#REF!+#REF!+预安排!#REF!+#REF!+'6月'!Z165,5)</f>
        <v/>
      </c>
      <c r="AA165" s="182">
        <f>ROUND(#REF!+#REF!+#REF!+预安排!#REF!+#REF!+'6月'!AA165,5)</f>
        <v/>
      </c>
      <c r="AB165" s="182">
        <f>ROUND(#REF!+#REF!+#REF!+预安排!#REF!+#REF!+'6月'!AB165,5)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193">
        <f>计划!O165-O165</f>
        <v/>
      </c>
      <c r="AH165" s="193">
        <f>ROUND(AG165/$AH$1,2)</f>
        <v/>
      </c>
    </row>
    <row r="166" customFormat="1" s="1">
      <c r="A166" s="234" t="n"/>
      <c r="B166" s="231" t="inlineStr">
        <is>
          <t>SKU-7C4AE0E1</t>
        </is>
      </c>
      <c r="C166" s="231" t="inlineStr">
        <is>
          <t>是</t>
        </is>
      </c>
      <c r="D166" s="231" t="n">
        <v>11</v>
      </c>
      <c r="E166" s="231" t="inlineStr"/>
      <c r="F166" s="231" t="inlineStr"/>
      <c r="G166" s="231" t="inlineStr"/>
      <c r="H166" s="231" t="inlineStr"/>
      <c r="I166" s="231" t="inlineStr"/>
      <c r="J166" s="27" t="inlineStr">
        <is>
          <t>共</t>
        </is>
      </c>
      <c r="K166" s="27" t="inlineStr"/>
      <c r="L166" s="231" t="n">
        <v>100</v>
      </c>
      <c r="M166" s="19" t="inlineStr">
        <is>
          <t>Product-69803ED8</t>
        </is>
      </c>
      <c r="N166" s="231" t="n">
        <v>1</v>
      </c>
      <c r="O166" s="181">
        <f>SUM(P166:AB166)</f>
        <v/>
      </c>
      <c r="P166" s="182">
        <f>ROUND(#REF!+#REF!+#REF!+预安排!F172+#REF!+'6月'!P166,5)</f>
        <v/>
      </c>
      <c r="Q166" s="182">
        <f>ROUND(#REF!+#REF!+#REF!+预安排!#REF!+#REF!+'6月'!Q166,5)</f>
        <v/>
      </c>
      <c r="R166" s="182">
        <f>ROUND(#REF!+#REF!+#REF!+预安排!G172+#REF!+'6月'!R166,5)</f>
        <v/>
      </c>
      <c r="S166" s="182">
        <f>ROUND(#REF!+#REF!+#REF!+预安排!#REF!+#REF!+'6月'!S166,5)</f>
        <v/>
      </c>
      <c r="T166" s="182">
        <f>ROUND(#REF!+#REF!+#REF!+预安排!#REF!+#REF!+'6月'!T166,5)</f>
        <v/>
      </c>
      <c r="U166" s="182">
        <f>ROUND(#REF!+#REF!+#REF!+预安排!O172+#REF!+'6月'!U166,5)</f>
        <v/>
      </c>
      <c r="V166" s="182">
        <f>ROUND(#REF!+#REF!+#REF!+预安排!P172+#REF!+'6月'!V166,5)</f>
        <v/>
      </c>
      <c r="W166" s="182">
        <f>ROUND(#REF!+#REF!+#REF!+预安排!Q172+#REF!+'6月'!W166,5)</f>
        <v/>
      </c>
      <c r="X166" s="182">
        <f>ROUND(#REF!+#REF!+#REF!+预安排!R172+#REF!+'6月'!X166,5)</f>
        <v/>
      </c>
      <c r="Y166" s="182">
        <f>ROUND(#REF!+#REF!+#REF!+预安排!S172+#REF!+'6月'!Y166,5)</f>
        <v/>
      </c>
      <c r="Z166" s="182">
        <f>ROUND(#REF!+#REF!+#REF!+预安排!#REF!+#REF!+'6月'!Z166,5)</f>
        <v/>
      </c>
      <c r="AA166" s="182">
        <f>ROUND(#REF!+#REF!+#REF!+预安排!#REF!+#REF!+'6月'!AA166,5)</f>
        <v/>
      </c>
      <c r="AB166" s="182">
        <f>ROUND(#REF!+#REF!+#REF!+预安排!#REF!+#REF!+'6月'!AB166,5)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193">
        <f>计划!O166-O166</f>
        <v/>
      </c>
      <c r="AH166" s="193">
        <f>ROUND(AG166/$AH$1,2)</f>
        <v/>
      </c>
    </row>
    <row r="167" customFormat="1" s="1">
      <c r="A167" s="234" t="n"/>
      <c r="B167" s="231" t="inlineStr">
        <is>
          <t>SKU-38CF6D81</t>
        </is>
      </c>
      <c r="C167" s="231" t="inlineStr">
        <is>
          <t>是</t>
        </is>
      </c>
      <c r="D167" s="231" t="n">
        <v>10</v>
      </c>
      <c r="E167" s="231" t="inlineStr"/>
      <c r="F167" s="231" t="inlineStr"/>
      <c r="G167" s="231" t="inlineStr"/>
      <c r="H167" s="231" t="inlineStr"/>
      <c r="I167" s="231" t="inlineStr"/>
      <c r="J167" s="27" t="inlineStr"/>
      <c r="K167" s="27" t="inlineStr"/>
      <c r="L167" s="231" t="n">
        <v>100</v>
      </c>
      <c r="M167" s="19" t="inlineStr">
        <is>
          <t>Product-770D085E</t>
        </is>
      </c>
      <c r="N167" s="231" t="n">
        <v>3</v>
      </c>
      <c r="O167" s="181">
        <f>SUM(P167:AB167)</f>
        <v/>
      </c>
      <c r="P167" s="182">
        <f>ROUND(#REF!+#REF!+#REF!+预安排!F173+#REF!+'6月'!P167,5)</f>
        <v/>
      </c>
      <c r="Q167" s="182">
        <f>ROUND(#REF!+#REF!+#REF!+预安排!#REF!+#REF!+'6月'!Q167,5)</f>
        <v/>
      </c>
      <c r="R167" s="182">
        <f>ROUND(#REF!+#REF!+#REF!+预安排!G173+#REF!+'6月'!R167,5)</f>
        <v/>
      </c>
      <c r="S167" s="182">
        <f>ROUND(#REF!+#REF!+#REF!+预安排!#REF!+#REF!+'6月'!S167,5)</f>
        <v/>
      </c>
      <c r="T167" s="182">
        <f>ROUND(#REF!+#REF!+#REF!+预安排!#REF!+#REF!+'6月'!T167,5)</f>
        <v/>
      </c>
      <c r="U167" s="182">
        <f>ROUND(#REF!+#REF!+#REF!+预安排!O173+#REF!+'6月'!U167,5)</f>
        <v/>
      </c>
      <c r="V167" s="182">
        <f>ROUND(#REF!+#REF!+#REF!+预安排!P173+#REF!+'6月'!V167,5)</f>
        <v/>
      </c>
      <c r="W167" s="182">
        <f>ROUND(#REF!+#REF!+#REF!+预安排!Q173+#REF!+'6月'!W167,5)</f>
        <v/>
      </c>
      <c r="X167" s="182">
        <f>ROUND(#REF!+#REF!+#REF!+预安排!R173+#REF!+'6月'!X167,5)</f>
        <v/>
      </c>
      <c r="Y167" s="182">
        <f>ROUND(#REF!+#REF!+#REF!+预安排!S173+#REF!+'6月'!Y167,5)</f>
        <v/>
      </c>
      <c r="Z167" s="182">
        <f>ROUND(#REF!+#REF!+#REF!+预安排!#REF!+#REF!+'6月'!Z167,5)</f>
        <v/>
      </c>
      <c r="AA167" s="182">
        <f>ROUND(#REF!+#REF!+#REF!+预安排!#REF!+#REF!+'6月'!AA167,5)</f>
        <v/>
      </c>
      <c r="AB167" s="182">
        <f>ROUND(#REF!+#REF!+#REF!+预安排!#REF!+#REF!+'6月'!AB167,5)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193">
        <f>计划!O167-O167</f>
        <v/>
      </c>
      <c r="AH167" s="193">
        <f>ROUND(AG167/$AH$1,2)</f>
        <v/>
      </c>
    </row>
    <row r="168" customFormat="1" s="1">
      <c r="A168" s="234" t="n"/>
      <c r="B168" s="231" t="inlineStr">
        <is>
          <t>SKU-87F8B8AB</t>
        </is>
      </c>
      <c r="C168" s="231" t="inlineStr">
        <is>
          <t>是</t>
        </is>
      </c>
      <c r="D168" s="231" t="n">
        <v>6</v>
      </c>
      <c r="E168" s="231" t="inlineStr">
        <is>
          <t>是</t>
        </is>
      </c>
      <c r="F168" s="231" t="inlineStr"/>
      <c r="G168" s="231" t="inlineStr"/>
      <c r="H168" s="231" t="inlineStr"/>
      <c r="I168" s="231" t="inlineStr">
        <is>
          <t>是</t>
        </is>
      </c>
      <c r="J168" s="27" t="inlineStr"/>
      <c r="K168" s="27" t="inlineStr"/>
      <c r="L168" s="231" t="n">
        <v>100</v>
      </c>
      <c r="M168" s="19" t="inlineStr">
        <is>
          <t>Product-7BF3E316</t>
        </is>
      </c>
      <c r="N168" s="231" t="n">
        <v>2</v>
      </c>
      <c r="O168" s="181">
        <f>SUM(P168:AB168)</f>
        <v/>
      </c>
      <c r="P168" s="182">
        <f>ROUND(#REF!+#REF!+#REF!+预安排!F174+#REF!+'6月'!P168,5)</f>
        <v/>
      </c>
      <c r="Q168" s="182">
        <f>ROUND(#REF!+#REF!+#REF!+预安排!#REF!+#REF!+'6月'!Q168,5)</f>
        <v/>
      </c>
      <c r="R168" s="182">
        <f>ROUND(#REF!+#REF!+#REF!+预安排!G174+#REF!+'6月'!R168,5)</f>
        <v/>
      </c>
      <c r="S168" s="182">
        <f>ROUND(#REF!+#REF!+#REF!+预安排!#REF!+#REF!+'6月'!S168,5)</f>
        <v/>
      </c>
      <c r="T168" s="182">
        <f>ROUND(#REF!+#REF!+#REF!+预安排!#REF!+#REF!+'6月'!T168,5)</f>
        <v/>
      </c>
      <c r="U168" s="182">
        <f>ROUND(#REF!+#REF!+#REF!+预安排!O174+#REF!+'6月'!U168,5)</f>
        <v/>
      </c>
      <c r="V168" s="182">
        <f>ROUND(#REF!+#REF!+#REF!+预安排!P174+#REF!+'6月'!V168,5)</f>
        <v/>
      </c>
      <c r="W168" s="182">
        <f>ROUND(#REF!+#REF!+#REF!+预安排!Q174+#REF!+'6月'!W168,5)</f>
        <v/>
      </c>
      <c r="X168" s="182">
        <f>ROUND(#REF!+#REF!+#REF!+预安排!R174+#REF!+'6月'!X168,5)</f>
        <v/>
      </c>
      <c r="Y168" s="182">
        <f>ROUND(#REF!+#REF!+#REF!+预安排!S174+#REF!+'6月'!Y168,5)</f>
        <v/>
      </c>
      <c r="Z168" s="182">
        <f>ROUND(#REF!+#REF!+#REF!+预安排!#REF!+#REF!+'6月'!Z168,5)</f>
        <v/>
      </c>
      <c r="AA168" s="182">
        <f>ROUND(#REF!+#REF!+#REF!+预安排!#REF!+#REF!+'6月'!AA168,5)</f>
        <v/>
      </c>
      <c r="AB168" s="182">
        <f>ROUND(#REF!+#REF!+#REF!+预安排!#REF!+#REF!+'6月'!AB168,5)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193">
        <f>计划!O168-O168</f>
        <v/>
      </c>
      <c r="AH168" s="193">
        <f>ROUND(AG168/$AH$1,2)</f>
        <v/>
      </c>
    </row>
    <row r="169" customFormat="1" s="1">
      <c r="A169" s="234" t="n"/>
      <c r="B169" s="231" t="inlineStr">
        <is>
          <t>SKU-2BECE586</t>
        </is>
      </c>
      <c r="C169" s="231" t="inlineStr">
        <is>
          <t>是</t>
        </is>
      </c>
      <c r="D169" s="231" t="n">
        <v>6</v>
      </c>
      <c r="E169" s="231" t="inlineStr">
        <is>
          <t>是</t>
        </is>
      </c>
      <c r="F169" s="231" t="inlineStr"/>
      <c r="G169" s="231" t="inlineStr"/>
      <c r="H169" s="231" t="inlineStr"/>
      <c r="I169" s="231" t="inlineStr">
        <is>
          <t>是</t>
        </is>
      </c>
      <c r="J169" s="27" t="inlineStr">
        <is>
          <t>共</t>
        </is>
      </c>
      <c r="K169" s="27" t="inlineStr"/>
      <c r="L169" s="231" t="n">
        <v>100</v>
      </c>
      <c r="M169" s="19" t="inlineStr">
        <is>
          <t>Product-AECED13C</t>
        </is>
      </c>
      <c r="N169" s="231" t="n">
        <v>1</v>
      </c>
      <c r="O169" s="181">
        <f>SUM(P169:AB169)</f>
        <v/>
      </c>
      <c r="P169" s="182">
        <f>ROUND(#REF!+#REF!+#REF!+预安排!F175+#REF!+'6月'!P169,5)</f>
        <v/>
      </c>
      <c r="Q169" s="182">
        <f>ROUND(#REF!+#REF!+#REF!+预安排!#REF!+#REF!+'6月'!Q169,5)</f>
        <v/>
      </c>
      <c r="R169" s="182">
        <f>ROUND(#REF!+#REF!+#REF!+预安排!G175+#REF!+'6月'!R169,5)</f>
        <v/>
      </c>
      <c r="S169" s="182">
        <f>ROUND(#REF!+#REF!+#REF!+预安排!#REF!+#REF!+'6月'!S169,5)</f>
        <v/>
      </c>
      <c r="T169" s="182">
        <f>ROUND(#REF!+#REF!+#REF!+预安排!#REF!+#REF!+'6月'!T169,5)</f>
        <v/>
      </c>
      <c r="U169" s="182">
        <f>ROUND(#REF!+#REF!+#REF!+预安排!O175+#REF!+'6月'!U169,5)</f>
        <v/>
      </c>
      <c r="V169" s="182">
        <f>ROUND(#REF!+#REF!+#REF!+预安排!P175+#REF!+'6月'!V169,5)</f>
        <v/>
      </c>
      <c r="W169" s="182">
        <f>ROUND(#REF!+#REF!+#REF!+预安排!Q175+#REF!+'6月'!W169,5)</f>
        <v/>
      </c>
      <c r="X169" s="182">
        <f>ROUND(#REF!+#REF!+#REF!+预安排!R175+#REF!+'6月'!X169,5)</f>
        <v/>
      </c>
      <c r="Y169" s="182">
        <f>ROUND(#REF!+#REF!+#REF!+预安排!S175+#REF!+'6月'!Y169,5)</f>
        <v/>
      </c>
      <c r="Z169" s="182">
        <f>ROUND(#REF!+#REF!+#REF!+预安排!#REF!+#REF!+'6月'!Z169,5)</f>
        <v/>
      </c>
      <c r="AA169" s="182">
        <f>ROUND(#REF!+#REF!+#REF!+预安排!#REF!+#REF!+'6月'!AA169,5)</f>
        <v/>
      </c>
      <c r="AB169" s="182">
        <f>ROUND(#REF!+#REF!+#REF!+预安排!#REF!+#REF!+'6月'!AB169,5)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193">
        <f>计划!O169-O169</f>
        <v/>
      </c>
      <c r="AH169" s="193">
        <f>ROUND(AG169/$AH$1,2)</f>
        <v/>
      </c>
    </row>
    <row r="170" customFormat="1" s="1">
      <c r="A170" s="234" t="n"/>
      <c r="B170" s="231" t="inlineStr">
        <is>
          <t>SKU-E2A6D7B2</t>
        </is>
      </c>
      <c r="C170" s="231" t="inlineStr">
        <is>
          <t>是</t>
        </is>
      </c>
      <c r="D170" s="231" t="n">
        <v>10</v>
      </c>
      <c r="E170" s="231" t="inlineStr"/>
      <c r="F170" s="231" t="inlineStr"/>
      <c r="G170" s="231" t="inlineStr"/>
      <c r="H170" s="231" t="inlineStr"/>
      <c r="I170" s="231" t="inlineStr"/>
      <c r="J170" s="27" t="inlineStr"/>
      <c r="K170" s="27" t="inlineStr"/>
      <c r="L170" s="231" t="n">
        <v>100</v>
      </c>
      <c r="M170" s="19" t="inlineStr">
        <is>
          <t>Product-7068DBFE</t>
        </is>
      </c>
      <c r="N170" s="231" t="n">
        <v>3</v>
      </c>
      <c r="O170" s="181">
        <f>SUM(P170:AB170)</f>
        <v/>
      </c>
      <c r="P170" s="182">
        <f>ROUND(#REF!+#REF!+#REF!+预安排!F176+#REF!+'6月'!P170,5)</f>
        <v/>
      </c>
      <c r="Q170" s="182">
        <f>ROUND(#REF!+#REF!+#REF!+预安排!#REF!+#REF!+'6月'!Q170,5)</f>
        <v/>
      </c>
      <c r="R170" s="182">
        <f>ROUND(#REF!+#REF!+#REF!+预安排!G176+#REF!+'6月'!R170,5)</f>
        <v/>
      </c>
      <c r="S170" s="182">
        <f>ROUND(#REF!+#REF!+#REF!+预安排!#REF!+#REF!+'6月'!S170,5)</f>
        <v/>
      </c>
      <c r="T170" s="182">
        <f>ROUND(#REF!+#REF!+#REF!+预安排!#REF!+#REF!+'6月'!T170,5)</f>
        <v/>
      </c>
      <c r="U170" s="182">
        <f>ROUND(#REF!+#REF!+#REF!+预安排!O176+#REF!+'6月'!U170,5)</f>
        <v/>
      </c>
      <c r="V170" s="182">
        <f>ROUND(#REF!+#REF!+#REF!+预安排!P176+#REF!+'6月'!V170,5)</f>
        <v/>
      </c>
      <c r="W170" s="182">
        <f>ROUND(#REF!+#REF!+#REF!+预安排!Q176+#REF!+'6月'!W170,5)</f>
        <v/>
      </c>
      <c r="X170" s="182">
        <f>ROUND(#REF!+#REF!+#REF!+预安排!R176+#REF!+'6月'!X170,5)</f>
        <v/>
      </c>
      <c r="Y170" s="182">
        <f>ROUND(#REF!+#REF!+#REF!+预安排!S176+#REF!+'6月'!Y170,5)</f>
        <v/>
      </c>
      <c r="Z170" s="182">
        <f>ROUND(#REF!+#REF!+#REF!+预安排!#REF!+#REF!+'6月'!Z170,5)</f>
        <v/>
      </c>
      <c r="AA170" s="182">
        <f>ROUND(#REF!+#REF!+#REF!+预安排!#REF!+#REF!+'6月'!AA170,5)</f>
        <v/>
      </c>
      <c r="AB170" s="182">
        <f>ROUND(#REF!+#REF!+#REF!+预安排!#REF!+#REF!+'6月'!AB170,5)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193">
        <f>计划!O170-O170</f>
        <v/>
      </c>
      <c r="AH170" s="193">
        <f>ROUND(AG170/$AH$1,2)</f>
        <v/>
      </c>
    </row>
    <row r="171" customFormat="1" s="1">
      <c r="A171" s="234" t="n"/>
      <c r="B171" s="231" t="inlineStr">
        <is>
          <t>SKU-DF4C456E</t>
        </is>
      </c>
      <c r="C171" s="231" t="inlineStr">
        <is>
          <t>是</t>
        </is>
      </c>
      <c r="D171" s="231" t="n">
        <v>10</v>
      </c>
      <c r="E171" s="231" t="inlineStr"/>
      <c r="F171" s="231" t="inlineStr"/>
      <c r="G171" s="231" t="inlineStr">
        <is>
          <t>是</t>
        </is>
      </c>
      <c r="H171" s="231" t="inlineStr"/>
      <c r="I171" s="231" t="inlineStr">
        <is>
          <t>是</t>
        </is>
      </c>
      <c r="J171" s="27" t="inlineStr">
        <is>
          <t>共</t>
        </is>
      </c>
      <c r="K171" s="27" t="inlineStr"/>
      <c r="L171" s="231" t="n">
        <v>100</v>
      </c>
      <c r="M171" s="19" t="inlineStr">
        <is>
          <t>Product-2194AF5F</t>
        </is>
      </c>
      <c r="N171" s="231" t="n">
        <v>2</v>
      </c>
      <c r="O171" s="181">
        <f>SUM(P171:AB171)</f>
        <v/>
      </c>
      <c r="P171" s="182">
        <f>ROUND(#REF!+#REF!+#REF!+预安排!F177+#REF!+'6月'!P171,5)</f>
        <v/>
      </c>
      <c r="Q171" s="182">
        <f>ROUND(#REF!+#REF!+#REF!+预安排!#REF!+#REF!+'6月'!Q171,5)</f>
        <v/>
      </c>
      <c r="R171" s="182">
        <f>ROUND(#REF!+#REF!+#REF!+预安排!G177+#REF!+'6月'!R171,5)</f>
        <v/>
      </c>
      <c r="S171" s="182">
        <f>ROUND(#REF!+#REF!+#REF!+预安排!#REF!+#REF!+'6月'!S171,5)</f>
        <v/>
      </c>
      <c r="T171" s="182">
        <f>ROUND(#REF!+#REF!+#REF!+预安排!#REF!+#REF!+'6月'!T171,5)</f>
        <v/>
      </c>
      <c r="U171" s="182">
        <f>ROUND(#REF!+#REF!+#REF!+预安排!O177+#REF!+'6月'!U171,5)</f>
        <v/>
      </c>
      <c r="V171" s="182">
        <f>ROUND(#REF!+#REF!+#REF!+预安排!P177+#REF!+'6月'!V171,5)</f>
        <v/>
      </c>
      <c r="W171" s="182">
        <f>ROUND(#REF!+#REF!+#REF!+预安排!Q177+#REF!+'6月'!W171,5)</f>
        <v/>
      </c>
      <c r="X171" s="182">
        <f>ROUND(#REF!+#REF!+#REF!+预安排!R177+#REF!+'6月'!X171,5)</f>
        <v/>
      </c>
      <c r="Y171" s="182">
        <f>ROUND(#REF!+#REF!+#REF!+预安排!S177+#REF!+'6月'!Y171,5)</f>
        <v/>
      </c>
      <c r="Z171" s="182">
        <f>ROUND(#REF!+#REF!+#REF!+预安排!#REF!+#REF!+'6月'!Z171,5)</f>
        <v/>
      </c>
      <c r="AA171" s="182">
        <f>ROUND(#REF!+#REF!+#REF!+预安排!#REF!+#REF!+'6月'!AA171,5)</f>
        <v/>
      </c>
      <c r="AB171" s="182">
        <f>ROUND(#REF!+#REF!+#REF!+预安排!#REF!+#REF!+'6月'!AB171,5)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193">
        <f>计划!O171-O171</f>
        <v/>
      </c>
      <c r="AH171" s="193">
        <f>ROUND(AG171/$AH$1,2)</f>
        <v/>
      </c>
    </row>
    <row r="172" customFormat="1" s="1">
      <c r="A172" s="234" t="n"/>
      <c r="B172" s="231" t="inlineStr">
        <is>
          <t>SKU-346CCBE7</t>
        </is>
      </c>
      <c r="C172" s="231" t="inlineStr">
        <is>
          <t>是</t>
        </is>
      </c>
      <c r="D172" s="231" t="n">
        <v>8</v>
      </c>
      <c r="E172" s="231" t="inlineStr">
        <is>
          <t>是</t>
        </is>
      </c>
      <c r="F172" s="231" t="inlineStr"/>
      <c r="G172" s="231" t="inlineStr"/>
      <c r="H172" s="231" t="inlineStr"/>
      <c r="I172" s="231" t="inlineStr">
        <is>
          <t>是</t>
        </is>
      </c>
      <c r="J172" s="27" t="inlineStr">
        <is>
          <t>共</t>
        </is>
      </c>
      <c r="K172" s="27" t="inlineStr"/>
      <c r="L172" s="231" t="n">
        <v>100</v>
      </c>
      <c r="M172" s="19" t="inlineStr">
        <is>
          <t>Product-5785945E</t>
        </is>
      </c>
      <c r="N172" s="231" t="n">
        <v>1</v>
      </c>
      <c r="O172" s="181">
        <f>SUM(P172:AB172)</f>
        <v/>
      </c>
      <c r="P172" s="182">
        <f>ROUND(#REF!+#REF!+#REF!+预安排!F178+#REF!+'6月'!P172,5)</f>
        <v/>
      </c>
      <c r="Q172" s="182">
        <f>ROUND(#REF!+#REF!+#REF!+预安排!#REF!+#REF!+'6月'!Q172,5)</f>
        <v/>
      </c>
      <c r="R172" s="182">
        <f>ROUND(#REF!+#REF!+#REF!+预安排!G178+#REF!+'6月'!R172,5)</f>
        <v/>
      </c>
      <c r="S172" s="182">
        <f>ROUND(#REF!+#REF!+#REF!+预安排!#REF!+#REF!+'6月'!S172,5)</f>
        <v/>
      </c>
      <c r="T172" s="182">
        <f>ROUND(#REF!+#REF!+#REF!+预安排!#REF!+#REF!+'6月'!T172,5)</f>
        <v/>
      </c>
      <c r="U172" s="182">
        <f>ROUND(#REF!+#REF!+#REF!+预安排!O178+#REF!+'6月'!U172,5)</f>
        <v/>
      </c>
      <c r="V172" s="182">
        <f>ROUND(#REF!+#REF!+#REF!+预安排!P178+#REF!+'6月'!V172,5)</f>
        <v/>
      </c>
      <c r="W172" s="182">
        <f>ROUND(#REF!+#REF!+#REF!+预安排!Q178+#REF!+'6月'!W172,5)</f>
        <v/>
      </c>
      <c r="X172" s="182">
        <f>ROUND(#REF!+#REF!+#REF!+预安排!R178+#REF!+'6月'!X172,5)</f>
        <v/>
      </c>
      <c r="Y172" s="182">
        <f>ROUND(#REF!+#REF!+#REF!+预安排!S178+#REF!+'6月'!Y172,5)</f>
        <v/>
      </c>
      <c r="Z172" s="182">
        <f>ROUND(#REF!+#REF!+#REF!+预安排!#REF!+#REF!+'6月'!Z172,5)</f>
        <v/>
      </c>
      <c r="AA172" s="182">
        <f>ROUND(#REF!+#REF!+#REF!+预安排!#REF!+#REF!+'6月'!AA172,5)</f>
        <v/>
      </c>
      <c r="AB172" s="182">
        <f>ROUND(#REF!+#REF!+#REF!+预安排!#REF!+#REF!+'6月'!AB172,5)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193">
        <f>计划!O172-O172</f>
        <v/>
      </c>
      <c r="AH172" s="193">
        <f>ROUND(AG172/$AH$1,2)</f>
        <v/>
      </c>
    </row>
    <row r="173" customFormat="1" s="1">
      <c r="A173" s="234" t="n"/>
      <c r="B173" s="231" t="inlineStr">
        <is>
          <t>SKU-DF067F13</t>
        </is>
      </c>
      <c r="C173" s="231" t="inlineStr">
        <is>
          <t>是</t>
        </is>
      </c>
      <c r="D173" s="231" t="n">
        <v>10</v>
      </c>
      <c r="E173" s="231" t="inlineStr"/>
      <c r="F173" s="231" t="inlineStr"/>
      <c r="G173" s="231" t="inlineStr"/>
      <c r="H173" s="231" t="inlineStr"/>
      <c r="I173" s="231" t="inlineStr"/>
      <c r="J173" s="27" t="inlineStr"/>
      <c r="K173" s="27" t="inlineStr"/>
      <c r="L173" s="231" t="n">
        <v>100</v>
      </c>
      <c r="M173" s="19" t="inlineStr">
        <is>
          <t>Product-2FB2C039</t>
        </is>
      </c>
      <c r="N173" s="231" t="n">
        <v>2</v>
      </c>
      <c r="O173" s="181">
        <f>SUM(P173:AB173)</f>
        <v/>
      </c>
      <c r="P173" s="182">
        <f>ROUND(#REF!+#REF!+#REF!+预安排!F179+#REF!+'6月'!P173,5)</f>
        <v/>
      </c>
      <c r="Q173" s="182">
        <f>ROUND(#REF!+#REF!+#REF!+预安排!#REF!+#REF!+'6月'!Q173,5)</f>
        <v/>
      </c>
      <c r="R173" s="182">
        <f>ROUND(#REF!+#REF!+#REF!+预安排!G179+#REF!+'6月'!R173,5)</f>
        <v/>
      </c>
      <c r="S173" s="182">
        <f>ROUND(#REF!+#REF!+#REF!+预安排!#REF!+#REF!+'6月'!S173,5)</f>
        <v/>
      </c>
      <c r="T173" s="182">
        <f>ROUND(#REF!+#REF!+#REF!+预安排!#REF!+#REF!+'6月'!T173,5)</f>
        <v/>
      </c>
      <c r="U173" s="182">
        <f>ROUND(#REF!+#REF!+#REF!+预安排!O179+#REF!+'6月'!U173,5)</f>
        <v/>
      </c>
      <c r="V173" s="182">
        <f>ROUND(#REF!+#REF!+#REF!+预安排!P179+#REF!+'6月'!V173,5)</f>
        <v/>
      </c>
      <c r="W173" s="182">
        <f>ROUND(#REF!+#REF!+#REF!+预安排!Q179+#REF!+'6月'!W173,5)</f>
        <v/>
      </c>
      <c r="X173" s="182">
        <f>ROUND(#REF!+#REF!+#REF!+预安排!R179+#REF!+'6月'!X173,5)</f>
        <v/>
      </c>
      <c r="Y173" s="182">
        <f>ROUND(#REF!+#REF!+#REF!+预安排!S179+#REF!+'6月'!Y173,5)</f>
        <v/>
      </c>
      <c r="Z173" s="182">
        <f>ROUND(#REF!+#REF!+#REF!+预安排!#REF!+#REF!+'6月'!Z173,5)</f>
        <v/>
      </c>
      <c r="AA173" s="182">
        <f>ROUND(#REF!+#REF!+#REF!+预安排!#REF!+#REF!+'6月'!AA173,5)</f>
        <v/>
      </c>
      <c r="AB173" s="182">
        <f>ROUND(#REF!+#REF!+#REF!+预安排!#REF!+#REF!+'6月'!AB173,5)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193">
        <f>计划!O173-O173</f>
        <v/>
      </c>
      <c r="AH173" s="193">
        <f>ROUND(AG173/$AH$1,2)</f>
        <v/>
      </c>
    </row>
    <row r="174" customFormat="1" s="1">
      <c r="A174" s="234" t="n"/>
      <c r="B174" s="231" t="inlineStr">
        <is>
          <t>SKU-B6FC5230</t>
        </is>
      </c>
      <c r="C174" s="231" t="inlineStr">
        <is>
          <t>是</t>
        </is>
      </c>
      <c r="D174" s="231" t="n">
        <v>10</v>
      </c>
      <c r="E174" s="231" t="inlineStr"/>
      <c r="F174" s="231" t="inlineStr">
        <is>
          <t>是</t>
        </is>
      </c>
      <c r="G174" s="231" t="inlineStr"/>
      <c r="H174" s="231" t="inlineStr"/>
      <c r="I174" s="231" t="inlineStr">
        <is>
          <t>是</t>
        </is>
      </c>
      <c r="J174" s="27" t="inlineStr"/>
      <c r="K174" s="27" t="inlineStr"/>
      <c r="L174" s="231" t="n">
        <v>100</v>
      </c>
      <c r="M174" s="19" t="inlineStr">
        <is>
          <t>Product-A90CE342</t>
        </is>
      </c>
      <c r="N174" s="231" t="n">
        <v>1</v>
      </c>
      <c r="O174" s="181">
        <f>SUM(P174:AB174)</f>
        <v/>
      </c>
      <c r="P174" s="182">
        <f>ROUND(#REF!+#REF!+#REF!+预安排!F180+#REF!+'6月'!P174,5)</f>
        <v/>
      </c>
      <c r="Q174" s="182">
        <f>ROUND(#REF!+#REF!+#REF!+预安排!#REF!+#REF!+'6月'!Q174,5)</f>
        <v/>
      </c>
      <c r="R174" s="182">
        <f>ROUND(#REF!+#REF!+#REF!+预安排!G180+#REF!+'6月'!R174,5)</f>
        <v/>
      </c>
      <c r="S174" s="182">
        <f>ROUND(#REF!+#REF!+#REF!+预安排!#REF!+#REF!+'6月'!S174,5)</f>
        <v/>
      </c>
      <c r="T174" s="182">
        <f>ROUND(#REF!+#REF!+#REF!+预安排!#REF!+#REF!+'6月'!T174,5)</f>
        <v/>
      </c>
      <c r="U174" s="182">
        <f>ROUND(#REF!+#REF!+#REF!+预安排!O180+#REF!+'6月'!U174,5)</f>
        <v/>
      </c>
      <c r="V174" s="182">
        <f>ROUND(#REF!+#REF!+#REF!+预安排!P180+#REF!+'6月'!V174,5)</f>
        <v/>
      </c>
      <c r="W174" s="182">
        <f>ROUND(#REF!+#REF!+#REF!+预安排!Q180+#REF!+'6月'!W174,5)</f>
        <v/>
      </c>
      <c r="X174" s="182">
        <f>ROUND(#REF!+#REF!+#REF!+预安排!R180+#REF!+'6月'!X174,5)</f>
        <v/>
      </c>
      <c r="Y174" s="182">
        <f>ROUND(#REF!+#REF!+#REF!+预安排!S180+#REF!+'6月'!Y174,5)</f>
        <v/>
      </c>
      <c r="Z174" s="182">
        <f>ROUND(#REF!+#REF!+#REF!+预安排!#REF!+#REF!+'6月'!Z174,5)</f>
        <v/>
      </c>
      <c r="AA174" s="182">
        <f>ROUND(#REF!+#REF!+#REF!+预安排!#REF!+#REF!+'6月'!AA174,5)</f>
        <v/>
      </c>
      <c r="AB174" s="182">
        <f>ROUND(#REF!+#REF!+#REF!+预安排!#REF!+#REF!+'6月'!AB174,5)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193">
        <f>计划!O174-O174</f>
        <v/>
      </c>
      <c r="AH174" s="193">
        <f>ROUND(AG174/$AH$1,2)</f>
        <v/>
      </c>
    </row>
    <row r="175" customFormat="1" s="1">
      <c r="A175" s="234" t="n"/>
      <c r="B175" s="231" t="inlineStr">
        <is>
          <t>SKU-AD42A3A6</t>
        </is>
      </c>
      <c r="C175" s="231" t="inlineStr">
        <is>
          <t>是</t>
        </is>
      </c>
      <c r="D175" s="231" t="n">
        <v>10</v>
      </c>
      <c r="E175" s="231" t="inlineStr"/>
      <c r="F175" s="231" t="inlineStr">
        <is>
          <t>是</t>
        </is>
      </c>
      <c r="G175" s="231" t="inlineStr"/>
      <c r="H175" s="231" t="inlineStr"/>
      <c r="I175" s="231" t="inlineStr">
        <is>
          <t>是</t>
        </is>
      </c>
      <c r="J175" s="27" t="inlineStr"/>
      <c r="K175" s="27" t="inlineStr"/>
      <c r="L175" s="231" t="n">
        <v>100</v>
      </c>
      <c r="M175" s="33" t="inlineStr">
        <is>
          <t>Product-1A22EAD1</t>
        </is>
      </c>
      <c r="N175" s="231" t="n">
        <v>1</v>
      </c>
      <c r="O175" s="181">
        <f>SUM(P175:AB175)</f>
        <v/>
      </c>
      <c r="P175" s="182">
        <f>ROUND(#REF!+#REF!+#REF!+预安排!F181+#REF!+'6月'!P175,5)</f>
        <v/>
      </c>
      <c r="Q175" s="182">
        <f>ROUND(#REF!+#REF!+#REF!+预安排!#REF!+#REF!+'6月'!Q175,5)</f>
        <v/>
      </c>
      <c r="R175" s="182">
        <f>ROUND(#REF!+#REF!+#REF!+预安排!G181+#REF!+'6月'!R175,5)</f>
        <v/>
      </c>
      <c r="S175" s="182">
        <f>ROUND(#REF!+#REF!+#REF!+预安排!#REF!+#REF!+'6月'!S175,5)</f>
        <v/>
      </c>
      <c r="T175" s="182">
        <f>ROUND(#REF!+#REF!+#REF!+预安排!#REF!+#REF!+'6月'!T175,5)</f>
        <v/>
      </c>
      <c r="U175" s="182">
        <f>ROUND(#REF!+#REF!+#REF!+预安排!O181+#REF!+'6月'!U175,5)</f>
        <v/>
      </c>
      <c r="V175" s="182">
        <f>ROUND(#REF!+#REF!+#REF!+预安排!P181+#REF!+'6月'!V175,5)</f>
        <v/>
      </c>
      <c r="W175" s="182">
        <f>ROUND(#REF!+#REF!+#REF!+预安排!Q181+#REF!+'6月'!W175,5)</f>
        <v/>
      </c>
      <c r="X175" s="182">
        <f>ROUND(#REF!+#REF!+#REF!+预安排!R181+#REF!+'6月'!X175,5)</f>
        <v/>
      </c>
      <c r="Y175" s="182">
        <f>ROUND(#REF!+#REF!+#REF!+预安排!S181+#REF!+'6月'!Y175,5)</f>
        <v/>
      </c>
      <c r="Z175" s="182">
        <f>ROUND(#REF!+#REF!+#REF!+预安排!#REF!+#REF!+'6月'!Z175,5)</f>
        <v/>
      </c>
      <c r="AA175" s="182">
        <f>ROUND(#REF!+#REF!+#REF!+预安排!#REF!+#REF!+'6月'!AA175,5)</f>
        <v/>
      </c>
      <c r="AB175" s="182">
        <f>ROUND(#REF!+#REF!+#REF!+预安排!#REF!+#REF!+'6月'!AB175,5)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193">
        <f>计划!O175-O175</f>
        <v/>
      </c>
      <c r="AH175" s="193">
        <f>ROUND(AG175/$AH$1,2)</f>
        <v/>
      </c>
    </row>
    <row r="176" customFormat="1" s="1">
      <c r="A176" s="234" t="n"/>
      <c r="B176" s="231" t="inlineStr">
        <is>
          <t>SKU-E1FD63A2</t>
        </is>
      </c>
      <c r="C176" s="231" t="inlineStr">
        <is>
          <t>是</t>
        </is>
      </c>
      <c r="D176" s="231" t="n">
        <v>10</v>
      </c>
      <c r="E176" s="231" t="inlineStr"/>
      <c r="F176" s="231" t="inlineStr">
        <is>
          <t>是</t>
        </is>
      </c>
      <c r="G176" s="231" t="inlineStr"/>
      <c r="H176" s="231" t="inlineStr"/>
      <c r="I176" s="231" t="inlineStr">
        <is>
          <t>是</t>
        </is>
      </c>
      <c r="J176" s="27" t="inlineStr"/>
      <c r="K176" s="27" t="inlineStr"/>
      <c r="L176" s="231" t="n">
        <v>100</v>
      </c>
      <c r="M176" s="19" t="inlineStr">
        <is>
          <t>Product-56A72B94</t>
        </is>
      </c>
      <c r="N176" s="231" t="n">
        <v>1</v>
      </c>
      <c r="O176" s="181">
        <f>SUM(P176:AB176)</f>
        <v/>
      </c>
      <c r="P176" s="182">
        <f>ROUND(#REF!+#REF!+#REF!+预安排!F182+#REF!+'6月'!P176,5)</f>
        <v/>
      </c>
      <c r="Q176" s="182">
        <f>ROUND(#REF!+#REF!+#REF!+预安排!#REF!+#REF!+'6月'!Q176,5)</f>
        <v/>
      </c>
      <c r="R176" s="182">
        <f>ROUND(#REF!+#REF!+#REF!+预安排!G182+#REF!+'6月'!R176,5)</f>
        <v/>
      </c>
      <c r="S176" s="182">
        <f>ROUND(#REF!+#REF!+#REF!+预安排!#REF!+#REF!+'6月'!S176,5)</f>
        <v/>
      </c>
      <c r="T176" s="182">
        <f>ROUND(#REF!+#REF!+#REF!+预安排!#REF!+#REF!+'6月'!T176,5)</f>
        <v/>
      </c>
      <c r="U176" s="182">
        <f>ROUND(#REF!+#REF!+#REF!+预安排!O182+#REF!+'6月'!U176,5)</f>
        <v/>
      </c>
      <c r="V176" s="182">
        <f>ROUND(#REF!+#REF!+#REF!+预安排!P182+#REF!+'6月'!V176,5)</f>
        <v/>
      </c>
      <c r="W176" s="182">
        <f>ROUND(#REF!+#REF!+#REF!+预安排!Q182+#REF!+'6月'!W176,5)</f>
        <v/>
      </c>
      <c r="X176" s="182">
        <f>ROUND(#REF!+#REF!+#REF!+预安排!R182+#REF!+'6月'!X176,5)</f>
        <v/>
      </c>
      <c r="Y176" s="182">
        <f>ROUND(#REF!+#REF!+#REF!+预安排!S182+#REF!+'6月'!Y176,5)</f>
        <v/>
      </c>
      <c r="Z176" s="182">
        <f>ROUND(#REF!+#REF!+#REF!+预安排!#REF!+#REF!+'6月'!Z176,5)</f>
        <v/>
      </c>
      <c r="AA176" s="182">
        <f>ROUND(#REF!+#REF!+#REF!+预安排!#REF!+#REF!+'6月'!AA176,5)</f>
        <v/>
      </c>
      <c r="AB176" s="182">
        <f>ROUND(#REF!+#REF!+#REF!+预安排!#REF!+#REF!+'6月'!AB176,5)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193">
        <f>计划!O176-O176</f>
        <v/>
      </c>
      <c r="AH176" s="193">
        <f>ROUND(AG176/$AH$1,2)</f>
        <v/>
      </c>
    </row>
    <row r="177" customFormat="1" s="1">
      <c r="A177" s="234" t="n"/>
      <c r="B177" s="231" t="inlineStr">
        <is>
          <t>SKU-AE256B22</t>
        </is>
      </c>
      <c r="C177" s="231" t="inlineStr">
        <is>
          <t>是</t>
        </is>
      </c>
      <c r="D177" s="231" t="n">
        <v>5</v>
      </c>
      <c r="E177" s="231" t="inlineStr">
        <is>
          <t>是</t>
        </is>
      </c>
      <c r="F177" s="231" t="inlineStr"/>
      <c r="G177" s="231" t="inlineStr"/>
      <c r="H177" s="231" t="inlineStr"/>
      <c r="I177" s="231" t="inlineStr">
        <is>
          <t>是</t>
        </is>
      </c>
      <c r="J177" s="27" t="inlineStr"/>
      <c r="K177" s="27" t="inlineStr"/>
      <c r="L177" s="231" t="n">
        <v>100</v>
      </c>
      <c r="M177" s="19" t="inlineStr">
        <is>
          <t>Product-7D4E9E50</t>
        </is>
      </c>
      <c r="N177" s="231" t="n">
        <v>1</v>
      </c>
      <c r="O177" s="181">
        <f>SUM(P177:AB177)</f>
        <v/>
      </c>
      <c r="P177" s="182">
        <f>ROUND(#REF!+#REF!+#REF!+预安排!F183+#REF!+'6月'!P177,5)</f>
        <v/>
      </c>
      <c r="Q177" s="182">
        <f>ROUND(#REF!+#REF!+#REF!+预安排!#REF!+#REF!+'6月'!Q177,5)</f>
        <v/>
      </c>
      <c r="R177" s="182">
        <f>ROUND(#REF!+#REF!+#REF!+预安排!G183+#REF!+'6月'!R177,5)</f>
        <v/>
      </c>
      <c r="S177" s="182">
        <f>ROUND(#REF!+#REF!+#REF!+预安排!#REF!+#REF!+'6月'!S177,5)</f>
        <v/>
      </c>
      <c r="T177" s="182">
        <f>ROUND(#REF!+#REF!+#REF!+预安排!#REF!+#REF!+'6月'!T177,5)</f>
        <v/>
      </c>
      <c r="U177" s="182">
        <f>ROUND(#REF!+#REF!+#REF!+预安排!O183+#REF!+'6月'!U177,5)</f>
        <v/>
      </c>
      <c r="V177" s="182">
        <f>ROUND(#REF!+#REF!+#REF!+预安排!P183+#REF!+'6月'!V177,5)</f>
        <v/>
      </c>
      <c r="W177" s="182">
        <f>ROUND(#REF!+#REF!+#REF!+预安排!Q183+#REF!+'6月'!W177,5)</f>
        <v/>
      </c>
      <c r="X177" s="182">
        <f>ROUND(#REF!+#REF!+#REF!+预安排!R183+#REF!+'6月'!X177,5)</f>
        <v/>
      </c>
      <c r="Y177" s="182">
        <f>ROUND(#REF!+#REF!+#REF!+预安排!S183+#REF!+'6月'!Y177,5)</f>
        <v/>
      </c>
      <c r="Z177" s="182">
        <f>ROUND(#REF!+#REF!+#REF!+预安排!#REF!+#REF!+'6月'!Z177,5)</f>
        <v/>
      </c>
      <c r="AA177" s="182">
        <f>ROUND(#REF!+#REF!+#REF!+预安排!#REF!+#REF!+'6月'!AA177,5)</f>
        <v/>
      </c>
      <c r="AB177" s="182">
        <f>ROUND(#REF!+#REF!+#REF!+预安排!#REF!+#REF!+'6月'!AB177,5)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193">
        <f>计划!O177-O177</f>
        <v/>
      </c>
      <c r="AH177" s="193">
        <f>ROUND(AG177/$AH$1,2)</f>
        <v/>
      </c>
    </row>
    <row r="178" customFormat="1" s="1">
      <c r="A178" s="234" t="n"/>
      <c r="B178" s="231" t="inlineStr">
        <is>
          <t>SKU-4824EA3C</t>
        </is>
      </c>
      <c r="C178" s="231" t="inlineStr">
        <is>
          <t>是</t>
        </is>
      </c>
      <c r="D178" s="231" t="n">
        <v>7</v>
      </c>
      <c r="E178" s="231" t="inlineStr">
        <is>
          <t>是</t>
        </is>
      </c>
      <c r="F178" s="231" t="inlineStr"/>
      <c r="G178" s="231" t="inlineStr"/>
      <c r="H178" s="231" t="inlineStr"/>
      <c r="I178" s="231" t="inlineStr">
        <is>
          <t>是</t>
        </is>
      </c>
      <c r="J178" s="27" t="inlineStr"/>
      <c r="K178" s="27" t="inlineStr"/>
      <c r="L178" s="231" t="n">
        <v>100</v>
      </c>
      <c r="M178" s="45" t="inlineStr">
        <is>
          <t>Product-45B4B1EB</t>
        </is>
      </c>
      <c r="N178" s="231" t="n">
        <v>1</v>
      </c>
      <c r="O178" s="181">
        <f>SUM(P178:AB178)</f>
        <v/>
      </c>
      <c r="P178" s="182">
        <f>ROUND(#REF!+#REF!+#REF!+预安排!F184+#REF!+'6月'!P178,5)</f>
        <v/>
      </c>
      <c r="Q178" s="182">
        <f>ROUND(#REF!+#REF!+#REF!+预安排!#REF!+#REF!+'6月'!Q178,5)</f>
        <v/>
      </c>
      <c r="R178" s="182">
        <f>ROUND(#REF!+#REF!+#REF!+预安排!G184+#REF!+'6月'!R178,5)</f>
        <v/>
      </c>
      <c r="S178" s="182">
        <f>ROUND(#REF!+#REF!+#REF!+预安排!#REF!+#REF!+'6月'!S178,5)</f>
        <v/>
      </c>
      <c r="T178" s="182">
        <f>ROUND(#REF!+#REF!+#REF!+预安排!#REF!+#REF!+'6月'!T178,5)</f>
        <v/>
      </c>
      <c r="U178" s="182">
        <f>ROUND(#REF!+#REF!+#REF!+预安排!O184+#REF!+'6月'!U178,5)</f>
        <v/>
      </c>
      <c r="V178" s="182">
        <f>ROUND(#REF!+#REF!+#REF!+预安排!P184+#REF!+'6月'!V178,5)</f>
        <v/>
      </c>
      <c r="W178" s="182">
        <f>ROUND(#REF!+#REF!+#REF!+预安排!Q184+#REF!+'6月'!W178,5)</f>
        <v/>
      </c>
      <c r="X178" s="182">
        <f>ROUND(#REF!+#REF!+#REF!+预安排!R184+#REF!+'6月'!X178,5)</f>
        <v/>
      </c>
      <c r="Y178" s="182">
        <f>ROUND(#REF!+#REF!+#REF!+预安排!S184+#REF!+'6月'!Y178,5)</f>
        <v/>
      </c>
      <c r="Z178" s="182">
        <f>ROUND(#REF!+#REF!+#REF!+预安排!#REF!+#REF!+'6月'!Z178,5)</f>
        <v/>
      </c>
      <c r="AA178" s="182">
        <f>ROUND(#REF!+#REF!+#REF!+预安排!#REF!+#REF!+'6月'!AA178,5)</f>
        <v/>
      </c>
      <c r="AB178" s="182">
        <f>ROUND(#REF!+#REF!+#REF!+预安排!#REF!+#REF!+'6月'!AB178,5)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193">
        <f>计划!O178-O178</f>
        <v/>
      </c>
      <c r="AH178" s="193">
        <f>ROUND(AG178/$AH$1,2)</f>
        <v/>
      </c>
    </row>
    <row r="179" customFormat="1" s="1">
      <c r="A179" s="235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196">
        <f>计划!O179-O179</f>
        <v/>
      </c>
      <c r="AH179" s="196">
        <f>ROUND(AG179/$AH$1,2)</f>
        <v/>
      </c>
    </row>
    <row r="180" customFormat="1" s="1">
      <c r="A180" s="25" t="inlineStr">
        <is>
          <t>湖北</t>
        </is>
      </c>
      <c r="B180" s="231" t="inlineStr">
        <is>
          <t>SKU-5C2451E8</t>
        </is>
      </c>
      <c r="C180" s="231" t="inlineStr">
        <is>
          <t>是</t>
        </is>
      </c>
      <c r="D180" s="231" t="n">
        <v>8</v>
      </c>
      <c r="E180" s="231" t="inlineStr">
        <is>
          <t>是</t>
        </is>
      </c>
      <c r="F180" s="231" t="inlineStr"/>
      <c r="G180" s="231" t="inlineStr"/>
      <c r="H180" s="231" t="inlineStr"/>
      <c r="I180" s="231" t="inlineStr">
        <is>
          <t>是</t>
        </is>
      </c>
      <c r="J180" s="27" t="inlineStr"/>
      <c r="K180" s="27" t="inlineStr"/>
      <c r="L180" s="231" t="n">
        <v>100</v>
      </c>
      <c r="M180" s="44" t="inlineStr">
        <is>
          <t>Product-094CF930</t>
        </is>
      </c>
      <c r="N180" s="231" t="n">
        <v>3</v>
      </c>
      <c r="O180" s="181">
        <f>SUM(P180:AB180)</f>
        <v/>
      </c>
      <c r="P180" s="182">
        <f>ROUND(#REF!+#REF!+#REF!+预安排!F187+#REF!+'6月'!P180,5)</f>
        <v/>
      </c>
      <c r="Q180" s="182">
        <f>ROUND(#REF!+#REF!+#REF!+预安排!#REF!+#REF!+'6月'!Q180,5)</f>
        <v/>
      </c>
      <c r="R180" s="182">
        <f>ROUND(#REF!+#REF!+#REF!+预安排!G187+#REF!+'6月'!R180,5)</f>
        <v/>
      </c>
      <c r="S180" s="182">
        <f>ROUND(#REF!+#REF!+#REF!+预安排!#REF!+#REF!+'6月'!S180,5)</f>
        <v/>
      </c>
      <c r="T180" s="182">
        <f>ROUND(#REF!+#REF!+#REF!+预安排!#REF!+#REF!+'6月'!T180,5)</f>
        <v/>
      </c>
      <c r="U180" s="182">
        <f>ROUND(#REF!+#REF!+#REF!+预安排!O187+#REF!+'6月'!U180,5)</f>
        <v/>
      </c>
      <c r="V180" s="182">
        <f>ROUND(#REF!+#REF!+#REF!+预安排!P187+#REF!+'6月'!V180,5)</f>
        <v/>
      </c>
      <c r="W180" s="182">
        <f>ROUND(#REF!+#REF!+#REF!+预安排!Q187+#REF!+'6月'!W180,5)</f>
        <v/>
      </c>
      <c r="X180" s="182">
        <f>ROUND(#REF!+#REF!+#REF!+预安排!R187+#REF!+'6月'!X180,5)</f>
        <v/>
      </c>
      <c r="Y180" s="182">
        <f>ROUND(#REF!+#REF!+#REF!+预安排!S187+#REF!+'6月'!Y180,5)</f>
        <v/>
      </c>
      <c r="Z180" s="182">
        <f>ROUND(#REF!+#REF!+#REF!+预安排!#REF!+#REF!+'6月'!Z180,5)</f>
        <v/>
      </c>
      <c r="AA180" s="182">
        <f>ROUND(#REF!+#REF!+#REF!+预安排!#REF!+#REF!+'6月'!AA180,5)</f>
        <v/>
      </c>
      <c r="AB180" s="182">
        <f>ROUND(#REF!+#REF!+#REF!+预安排!#REF!+#REF!+'6月'!AB180,5)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193">
        <f>计划!O180-O180</f>
        <v/>
      </c>
      <c r="AH180" s="193">
        <f>ROUND(AG180/$AH$1,2)</f>
        <v/>
      </c>
    </row>
    <row r="181" customFormat="1" s="1">
      <c r="A181" s="234" t="n"/>
      <c r="B181" s="231" t="inlineStr">
        <is>
          <t>SKU-8456C17F</t>
        </is>
      </c>
      <c r="C181" s="231" t="inlineStr">
        <is>
          <t>是</t>
        </is>
      </c>
      <c r="D181" s="231" t="n">
        <v>11</v>
      </c>
      <c r="E181" s="231" t="inlineStr"/>
      <c r="F181" s="231" t="inlineStr"/>
      <c r="G181" s="231" t="inlineStr"/>
      <c r="H181" s="231" t="inlineStr"/>
      <c r="I181" s="231" t="inlineStr"/>
      <c r="J181" s="27" t="inlineStr">
        <is>
          <t>共</t>
        </is>
      </c>
      <c r="K181" s="27" t="inlineStr"/>
      <c r="L181" s="231" t="n">
        <v>100</v>
      </c>
      <c r="M181" s="19" t="inlineStr">
        <is>
          <t>Product-C5A74F5E</t>
        </is>
      </c>
      <c r="N181" s="231" t="n">
        <v>1</v>
      </c>
      <c r="O181" s="181">
        <f>SUM(P181:AB181)</f>
        <v/>
      </c>
      <c r="P181" s="182">
        <f>ROUND(#REF!+#REF!+#REF!+预安排!F188+#REF!+'6月'!P181,5)</f>
        <v/>
      </c>
      <c r="Q181" s="182">
        <f>ROUND(#REF!+#REF!+#REF!+预安排!#REF!+#REF!+'6月'!Q181,5)</f>
        <v/>
      </c>
      <c r="R181" s="182">
        <f>ROUND(#REF!+#REF!+#REF!+预安排!G188+#REF!+'6月'!R181,5)</f>
        <v/>
      </c>
      <c r="S181" s="182">
        <f>ROUND(#REF!+#REF!+#REF!+预安排!#REF!+#REF!+'6月'!S181,5)</f>
        <v/>
      </c>
      <c r="T181" s="182">
        <f>ROUND(#REF!+#REF!+#REF!+预安排!#REF!+#REF!+'6月'!T181,5)</f>
        <v/>
      </c>
      <c r="U181" s="182">
        <f>ROUND(#REF!+#REF!+#REF!+预安排!O188+#REF!+'6月'!U181,5)</f>
        <v/>
      </c>
      <c r="V181" s="182">
        <f>ROUND(#REF!+#REF!+#REF!+预安排!P188+#REF!+'6月'!V181,5)</f>
        <v/>
      </c>
      <c r="W181" s="182">
        <f>ROUND(#REF!+#REF!+#REF!+预安排!Q188+#REF!+'6月'!W181,5)</f>
        <v/>
      </c>
      <c r="X181" s="182">
        <f>ROUND(#REF!+#REF!+#REF!+预安排!R188+#REF!+'6月'!X181,5)</f>
        <v/>
      </c>
      <c r="Y181" s="182">
        <f>ROUND(#REF!+#REF!+#REF!+预安排!S188+#REF!+'6月'!Y181,5)</f>
        <v/>
      </c>
      <c r="Z181" s="182">
        <f>ROUND(#REF!+#REF!+#REF!+预安排!#REF!+#REF!+'6月'!Z181,5)</f>
        <v/>
      </c>
      <c r="AA181" s="182">
        <f>ROUND(#REF!+#REF!+#REF!+预安排!#REF!+#REF!+'6月'!AA181,5)</f>
        <v/>
      </c>
      <c r="AB181" s="182">
        <f>ROUND(#REF!+#REF!+#REF!+预安排!#REF!+#REF!+'6月'!AB181,5)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193">
        <f>计划!O181-O181</f>
        <v/>
      </c>
      <c r="AH181" s="193">
        <f>ROUND(AG181/$AH$1,2)</f>
        <v/>
      </c>
    </row>
    <row r="182" customFormat="1" s="1">
      <c r="A182" s="234" t="n"/>
      <c r="B182" s="231" t="inlineStr">
        <is>
          <t>SKU-51089BE2</t>
        </is>
      </c>
      <c r="C182" s="231" t="inlineStr">
        <is>
          <t>是</t>
        </is>
      </c>
      <c r="D182" s="231" t="n">
        <v>8</v>
      </c>
      <c r="E182" s="231" t="inlineStr"/>
      <c r="F182" s="231" t="inlineStr"/>
      <c r="G182" s="231" t="inlineStr"/>
      <c r="H182" s="231" t="inlineStr"/>
      <c r="I182" s="231" t="inlineStr"/>
      <c r="J182" s="27" t="inlineStr"/>
      <c r="K182" s="27" t="inlineStr"/>
      <c r="L182" s="231" t="n">
        <v>100</v>
      </c>
      <c r="M182" s="19" t="inlineStr">
        <is>
          <t>Product-0FD5ABF4</t>
        </is>
      </c>
      <c r="N182" s="231" t="n">
        <v>2</v>
      </c>
      <c r="O182" s="181">
        <f>SUM(P182:AB182)</f>
        <v/>
      </c>
      <c r="P182" s="182">
        <f>ROUND(#REF!+#REF!+#REF!+预安排!F189+#REF!+'6月'!P182,5)</f>
        <v/>
      </c>
      <c r="Q182" s="182">
        <f>ROUND(#REF!+#REF!+#REF!+预安排!#REF!+#REF!+'6月'!Q182,5)</f>
        <v/>
      </c>
      <c r="R182" s="182">
        <f>ROUND(#REF!+#REF!+#REF!+预安排!G189+#REF!+'6月'!R182,5)</f>
        <v/>
      </c>
      <c r="S182" s="182">
        <f>ROUND(#REF!+#REF!+#REF!+预安排!#REF!+#REF!+'6月'!S182,5)</f>
        <v/>
      </c>
      <c r="T182" s="182">
        <f>ROUND(#REF!+#REF!+#REF!+预安排!#REF!+#REF!+'6月'!T182,5)</f>
        <v/>
      </c>
      <c r="U182" s="182">
        <f>ROUND(#REF!+#REF!+#REF!+预安排!O189+#REF!+'6月'!U182,5)</f>
        <v/>
      </c>
      <c r="V182" s="182">
        <f>ROUND(#REF!+#REF!+#REF!+预安排!P189+#REF!+'6月'!V182,5)</f>
        <v/>
      </c>
      <c r="W182" s="182">
        <f>ROUND(#REF!+#REF!+#REF!+预安排!Q189+#REF!+'6月'!W182,5)</f>
        <v/>
      </c>
      <c r="X182" s="182">
        <f>ROUND(#REF!+#REF!+#REF!+预安排!R189+#REF!+'6月'!X182,5)</f>
        <v/>
      </c>
      <c r="Y182" s="182">
        <f>ROUND(#REF!+#REF!+#REF!+预安排!S189+#REF!+'6月'!Y182,5)</f>
        <v/>
      </c>
      <c r="Z182" s="182">
        <f>ROUND(#REF!+#REF!+#REF!+预安排!#REF!+#REF!+'6月'!Z182,5)</f>
        <v/>
      </c>
      <c r="AA182" s="182">
        <f>ROUND(#REF!+#REF!+#REF!+预安排!#REF!+#REF!+'6月'!AA182,5)</f>
        <v/>
      </c>
      <c r="AB182" s="182">
        <f>ROUND(#REF!+#REF!+#REF!+预安排!#REF!+#REF!+'6月'!AB182,5)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193">
        <f>计划!O182-O182</f>
        <v/>
      </c>
      <c r="AH182" s="193">
        <f>ROUND(AG182/$AH$1,2)</f>
        <v/>
      </c>
    </row>
    <row r="183" customFormat="1" s="1">
      <c r="A183" s="234" t="n"/>
      <c r="B183" s="231" t="inlineStr">
        <is>
          <t>SKU-FFE04C4D</t>
        </is>
      </c>
      <c r="C183" s="231" t="inlineStr">
        <is>
          <t>是</t>
        </is>
      </c>
      <c r="D183" s="231" t="n">
        <v>8</v>
      </c>
      <c r="E183" s="231" t="inlineStr"/>
      <c r="F183" s="231" t="inlineStr"/>
      <c r="G183" s="231" t="inlineStr"/>
      <c r="H183" s="231" t="inlineStr"/>
      <c r="I183" s="231" t="inlineStr"/>
      <c r="J183" s="27" t="inlineStr"/>
      <c r="K183" s="27" t="inlineStr"/>
      <c r="L183" s="231" t="n">
        <v>100</v>
      </c>
      <c r="M183" s="19" t="inlineStr">
        <is>
          <t>Product-B83DCFA4</t>
        </is>
      </c>
      <c r="N183" s="231" t="n">
        <v>1</v>
      </c>
      <c r="O183" s="181">
        <f>SUM(P183:AB183)</f>
        <v/>
      </c>
      <c r="P183" s="182">
        <f>ROUND(#REF!+#REF!+#REF!+预安排!F190+#REF!+'6月'!P183,5)</f>
        <v/>
      </c>
      <c r="Q183" s="182">
        <f>ROUND(#REF!+#REF!+#REF!+预安排!#REF!+#REF!+'6月'!Q183,5)</f>
        <v/>
      </c>
      <c r="R183" s="182">
        <f>ROUND(#REF!+#REF!+#REF!+预安排!G190+#REF!+'6月'!R183,5)</f>
        <v/>
      </c>
      <c r="S183" s="182">
        <f>ROUND(#REF!+#REF!+#REF!+预安排!#REF!+#REF!+'6月'!S183,5)</f>
        <v/>
      </c>
      <c r="T183" s="182">
        <f>ROUND(#REF!+#REF!+#REF!+预安排!#REF!+#REF!+'6月'!T183,5)</f>
        <v/>
      </c>
      <c r="U183" s="182">
        <f>ROUND(#REF!+#REF!+#REF!+预安排!O190+#REF!+'6月'!U183,5)</f>
        <v/>
      </c>
      <c r="V183" s="182">
        <f>ROUND(#REF!+#REF!+#REF!+预安排!P190+#REF!+'6月'!V183,5)</f>
        <v/>
      </c>
      <c r="W183" s="182">
        <f>ROUND(#REF!+#REF!+#REF!+预安排!Q190+#REF!+'6月'!W183,5)</f>
        <v/>
      </c>
      <c r="X183" s="182">
        <f>ROUND(#REF!+#REF!+#REF!+预安排!R190+#REF!+'6月'!X183,5)</f>
        <v/>
      </c>
      <c r="Y183" s="182">
        <f>ROUND(#REF!+#REF!+#REF!+预安排!S190+#REF!+'6月'!Y183,5)</f>
        <v/>
      </c>
      <c r="Z183" s="182">
        <f>ROUND(#REF!+#REF!+#REF!+预安排!#REF!+#REF!+'6月'!Z183,5)</f>
        <v/>
      </c>
      <c r="AA183" s="182">
        <f>ROUND(#REF!+#REF!+#REF!+预安排!#REF!+#REF!+'6月'!AA183,5)</f>
        <v/>
      </c>
      <c r="AB183" s="182">
        <f>ROUND(#REF!+#REF!+#REF!+预安排!#REF!+#REF!+'6月'!AB183,5)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193">
        <f>计划!O183-O183</f>
        <v/>
      </c>
      <c r="AH183" s="193">
        <f>ROUND(AG183/$AH$1,2)</f>
        <v/>
      </c>
    </row>
    <row r="184" customFormat="1" s="1">
      <c r="A184" s="234" t="n"/>
      <c r="B184" s="231" t="inlineStr">
        <is>
          <t>SKU-97F868AB</t>
        </is>
      </c>
      <c r="C184" s="231" t="inlineStr">
        <is>
          <t>是</t>
        </is>
      </c>
      <c r="D184" s="231" t="n">
        <v>8</v>
      </c>
      <c r="E184" s="231" t="inlineStr">
        <is>
          <t>是</t>
        </is>
      </c>
      <c r="F184" s="231" t="inlineStr"/>
      <c r="G184" s="231" t="inlineStr"/>
      <c r="H184" s="231" t="inlineStr"/>
      <c r="I184" s="231" t="inlineStr">
        <is>
          <t>是</t>
        </is>
      </c>
      <c r="J184" s="27" t="inlineStr"/>
      <c r="K184" s="27" t="inlineStr"/>
      <c r="L184" s="231" t="n">
        <v>100</v>
      </c>
      <c r="M184" s="19" t="inlineStr">
        <is>
          <t>Product-C62E3340</t>
        </is>
      </c>
      <c r="N184" s="231" t="n">
        <v>2</v>
      </c>
      <c r="O184" s="181">
        <f>SUM(P184:AB184)</f>
        <v/>
      </c>
      <c r="P184" s="182">
        <f>ROUND(#REF!+#REF!+#REF!+预安排!F191+#REF!+'6月'!P184,5)</f>
        <v/>
      </c>
      <c r="Q184" s="182">
        <f>ROUND(#REF!+#REF!+#REF!+预安排!#REF!+#REF!+'6月'!Q184,5)</f>
        <v/>
      </c>
      <c r="R184" s="182">
        <f>ROUND(#REF!+#REF!+#REF!+预安排!G191+#REF!+'6月'!R184,5)</f>
        <v/>
      </c>
      <c r="S184" s="182">
        <f>ROUND(#REF!+#REF!+#REF!+预安排!#REF!+#REF!+'6月'!S184,5)</f>
        <v/>
      </c>
      <c r="T184" s="182">
        <f>ROUND(#REF!+#REF!+#REF!+预安排!#REF!+#REF!+'6月'!T184,5)</f>
        <v/>
      </c>
      <c r="U184" s="182">
        <f>ROUND(#REF!+#REF!+#REF!+预安排!O191+#REF!+'6月'!U184,5)</f>
        <v/>
      </c>
      <c r="V184" s="182">
        <f>ROUND(#REF!+#REF!+#REF!+预安排!P191+#REF!+'6月'!V184,5)</f>
        <v/>
      </c>
      <c r="W184" s="182">
        <f>ROUND(#REF!+#REF!+#REF!+预安排!Q191+#REF!+'6月'!W184,5)</f>
        <v/>
      </c>
      <c r="X184" s="182">
        <f>ROUND(#REF!+#REF!+#REF!+预安排!R191+#REF!+'6月'!X184,5)</f>
        <v/>
      </c>
      <c r="Y184" s="182">
        <f>ROUND(#REF!+#REF!+#REF!+预安排!S191+#REF!+'6月'!Y184,5)</f>
        <v/>
      </c>
      <c r="Z184" s="182">
        <f>ROUND(#REF!+#REF!+#REF!+预安排!#REF!+#REF!+'6月'!Z184,5)</f>
        <v/>
      </c>
      <c r="AA184" s="182">
        <f>ROUND(#REF!+#REF!+#REF!+预安排!#REF!+#REF!+'6月'!AA184,5)</f>
        <v/>
      </c>
      <c r="AB184" s="182">
        <f>ROUND(#REF!+#REF!+#REF!+预安排!#REF!+#REF!+'6月'!AB184,5)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193">
        <f>计划!O184-O184</f>
        <v/>
      </c>
      <c r="AH184" s="193">
        <f>ROUND(AG184/$AH$1,2)</f>
        <v/>
      </c>
    </row>
    <row r="185" customFormat="1" s="1">
      <c r="A185" s="234" t="n"/>
      <c r="B185" s="231" t="inlineStr">
        <is>
          <t>SKU-8D644BC3</t>
        </is>
      </c>
      <c r="C185" s="231" t="inlineStr">
        <is>
          <t>是</t>
        </is>
      </c>
      <c r="D185" s="231" t="n">
        <v>10</v>
      </c>
      <c r="E185" s="231" t="inlineStr"/>
      <c r="F185" s="231" t="inlineStr"/>
      <c r="G185" s="231" t="inlineStr"/>
      <c r="H185" s="231" t="inlineStr">
        <is>
          <t>是</t>
        </is>
      </c>
      <c r="I185" s="231" t="inlineStr">
        <is>
          <t>是</t>
        </is>
      </c>
      <c r="J185" s="27" t="inlineStr">
        <is>
          <t>共</t>
        </is>
      </c>
      <c r="K185" s="27" t="inlineStr"/>
      <c r="L185" s="231" t="n">
        <v>100</v>
      </c>
      <c r="M185" s="19" t="inlineStr">
        <is>
          <t>Product-DE90CB9B</t>
        </is>
      </c>
      <c r="N185" s="231" t="n">
        <v>1</v>
      </c>
      <c r="O185" s="181">
        <f>SUM(P185:AB185)</f>
        <v/>
      </c>
      <c r="P185" s="182">
        <f>ROUND(#REF!+#REF!+#REF!+预安排!F192+#REF!+'6月'!P185,5)</f>
        <v/>
      </c>
      <c r="Q185" s="182">
        <f>ROUND(#REF!+#REF!+#REF!+预安排!#REF!+#REF!+'6月'!Q185,5)</f>
        <v/>
      </c>
      <c r="R185" s="182">
        <f>ROUND(#REF!+#REF!+#REF!+预安排!G192+#REF!+'6月'!R185,5)</f>
        <v/>
      </c>
      <c r="S185" s="182">
        <f>ROUND(#REF!+#REF!+#REF!+预安排!#REF!+#REF!+'6月'!S185,5)</f>
        <v/>
      </c>
      <c r="T185" s="182">
        <f>ROUND(#REF!+#REF!+#REF!+预安排!#REF!+#REF!+'6月'!T185,5)</f>
        <v/>
      </c>
      <c r="U185" s="182">
        <f>ROUND(#REF!+#REF!+#REF!+预安排!O192+#REF!+'6月'!U185,5)</f>
        <v/>
      </c>
      <c r="V185" s="182">
        <f>ROUND(#REF!+#REF!+#REF!+预安排!P192+#REF!+'6月'!V185,5)</f>
        <v/>
      </c>
      <c r="W185" s="182">
        <f>ROUND(#REF!+#REF!+#REF!+预安排!Q192+#REF!+'6月'!W185,5)</f>
        <v/>
      </c>
      <c r="X185" s="182">
        <f>ROUND(#REF!+#REF!+#REF!+预安排!R192+#REF!+'6月'!X185,5)</f>
        <v/>
      </c>
      <c r="Y185" s="182">
        <f>ROUND(#REF!+#REF!+#REF!+预安排!S192+#REF!+'6月'!Y185,5)</f>
        <v/>
      </c>
      <c r="Z185" s="182">
        <f>ROUND(#REF!+#REF!+#REF!+预安排!#REF!+#REF!+'6月'!Z185,5)</f>
        <v/>
      </c>
      <c r="AA185" s="182">
        <f>ROUND(#REF!+#REF!+#REF!+预安排!#REF!+#REF!+'6月'!AA185,5)</f>
        <v/>
      </c>
      <c r="AB185" s="182">
        <f>ROUND(#REF!+#REF!+#REF!+预安排!#REF!+#REF!+'6月'!AB185,5)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193">
        <f>计划!O185-O185</f>
        <v/>
      </c>
      <c r="AH185" s="193">
        <f>ROUND(AG185/$AH$1,2)</f>
        <v/>
      </c>
    </row>
    <row r="186" customFormat="1" s="1">
      <c r="A186" s="234" t="n"/>
      <c r="B186" s="231" t="inlineStr">
        <is>
          <t>SKU-51C17194</t>
        </is>
      </c>
      <c r="C186" s="231" t="inlineStr">
        <is>
          <t>是</t>
        </is>
      </c>
      <c r="D186" s="231" t="n">
        <v>10</v>
      </c>
      <c r="E186" s="231" t="inlineStr"/>
      <c r="F186" s="231" t="inlineStr"/>
      <c r="G186" s="231" t="inlineStr"/>
      <c r="H186" s="231" t="inlineStr"/>
      <c r="I186" s="231" t="inlineStr"/>
      <c r="J186" s="27" t="inlineStr"/>
      <c r="K186" s="27" t="inlineStr"/>
      <c r="L186" s="231" t="n">
        <v>100</v>
      </c>
      <c r="M186" s="43" t="inlineStr">
        <is>
          <t>Product-7D9B1112</t>
        </is>
      </c>
      <c r="N186" s="231" t="n">
        <v>2</v>
      </c>
      <c r="O186" s="181">
        <f>SUM(P186:AB186)</f>
        <v/>
      </c>
      <c r="P186" s="182">
        <f>ROUND(#REF!+#REF!+#REF!+预安排!F193+#REF!+'6月'!P186,5)</f>
        <v/>
      </c>
      <c r="Q186" s="182">
        <f>ROUND(#REF!+#REF!+#REF!+预安排!#REF!+#REF!+'6月'!Q186,5)</f>
        <v/>
      </c>
      <c r="R186" s="182">
        <f>ROUND(#REF!+#REF!+#REF!+预安排!G193+#REF!+'6月'!R186,5)</f>
        <v/>
      </c>
      <c r="S186" s="182">
        <f>ROUND(#REF!+#REF!+#REF!+预安排!#REF!+#REF!+'6月'!S186,5)</f>
        <v/>
      </c>
      <c r="T186" s="182">
        <f>ROUND(#REF!+#REF!+#REF!+预安排!#REF!+#REF!+'6月'!T186,5)</f>
        <v/>
      </c>
      <c r="U186" s="182">
        <f>ROUND(#REF!+#REF!+#REF!+预安排!O193+#REF!+'6月'!U186,5)</f>
        <v/>
      </c>
      <c r="V186" s="182">
        <f>ROUND(#REF!+#REF!+#REF!+预安排!P193+#REF!+'6月'!V186,5)</f>
        <v/>
      </c>
      <c r="W186" s="182">
        <f>ROUND(#REF!+#REF!+#REF!+预安排!Q193+#REF!+'6月'!W186,5)</f>
        <v/>
      </c>
      <c r="X186" s="182">
        <f>ROUND(#REF!+#REF!+#REF!+预安排!R193+#REF!+'6月'!X186,5)</f>
        <v/>
      </c>
      <c r="Y186" s="182">
        <f>ROUND(#REF!+#REF!+#REF!+预安排!S193+#REF!+'6月'!Y186,5)</f>
        <v/>
      </c>
      <c r="Z186" s="182">
        <f>ROUND(#REF!+#REF!+#REF!+预安排!#REF!+#REF!+'6月'!Z186,5)</f>
        <v/>
      </c>
      <c r="AA186" s="182">
        <f>ROUND(#REF!+#REF!+#REF!+预安排!#REF!+#REF!+'6月'!AA186,5)</f>
        <v/>
      </c>
      <c r="AB186" s="182">
        <f>ROUND(#REF!+#REF!+#REF!+预安排!#REF!+#REF!+'6月'!AB186,5)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193">
        <f>计划!O186-O186</f>
        <v/>
      </c>
      <c r="AH186" s="193">
        <f>ROUND(AG186/$AH$1,2)</f>
        <v/>
      </c>
    </row>
    <row r="187" customFormat="1" s="1">
      <c r="A187" s="234" t="n"/>
      <c r="B187" s="231" t="inlineStr">
        <is>
          <t>SKU-318D1B8B</t>
        </is>
      </c>
      <c r="C187" s="231" t="inlineStr">
        <is>
          <t>是</t>
        </is>
      </c>
      <c r="D187" s="231" t="n">
        <v>8</v>
      </c>
      <c r="E187" s="231" t="inlineStr">
        <is>
          <t>是</t>
        </is>
      </c>
      <c r="F187" s="231" t="inlineStr"/>
      <c r="G187" s="231" t="inlineStr"/>
      <c r="H187" s="231" t="inlineStr">
        <is>
          <t>是</t>
        </is>
      </c>
      <c r="I187" s="231" t="inlineStr">
        <is>
          <t>是</t>
        </is>
      </c>
      <c r="J187" s="27" t="inlineStr">
        <is>
          <t>共</t>
        </is>
      </c>
      <c r="K187" s="27" t="inlineStr"/>
      <c r="L187" s="231" t="n">
        <v>100</v>
      </c>
      <c r="M187" s="19" t="inlineStr">
        <is>
          <t>Product-C93E013F</t>
        </is>
      </c>
      <c r="N187" s="231" t="n">
        <v>1</v>
      </c>
      <c r="O187" s="181">
        <f>SUM(P187:AB187)</f>
        <v/>
      </c>
      <c r="P187" s="182">
        <f>ROUND(#REF!+#REF!+#REF!+预安排!F194+#REF!+'6月'!P187,5)</f>
        <v/>
      </c>
      <c r="Q187" s="182">
        <f>ROUND(#REF!+#REF!+#REF!+预安排!#REF!+#REF!+'6月'!Q187,5)</f>
        <v/>
      </c>
      <c r="R187" s="182">
        <f>ROUND(#REF!+#REF!+#REF!+预安排!G194+#REF!+'6月'!R187,5)</f>
        <v/>
      </c>
      <c r="S187" s="182">
        <f>ROUND(#REF!+#REF!+#REF!+预安排!#REF!+#REF!+'6月'!S187,5)</f>
        <v/>
      </c>
      <c r="T187" s="182">
        <f>ROUND(#REF!+#REF!+#REF!+预安排!#REF!+#REF!+'6月'!T187,5)</f>
        <v/>
      </c>
      <c r="U187" s="182">
        <f>ROUND(#REF!+#REF!+#REF!+预安排!O194+#REF!+'6月'!U187,5)</f>
        <v/>
      </c>
      <c r="V187" s="182">
        <f>ROUND(#REF!+#REF!+#REF!+预安排!P194+#REF!+'6月'!V187,5)</f>
        <v/>
      </c>
      <c r="W187" s="182">
        <f>ROUND(#REF!+#REF!+#REF!+预安排!Q194+#REF!+'6月'!W187,5)</f>
        <v/>
      </c>
      <c r="X187" s="182">
        <f>ROUND(#REF!+#REF!+#REF!+预安排!R194+#REF!+'6月'!X187,5)</f>
        <v/>
      </c>
      <c r="Y187" s="182">
        <f>ROUND(#REF!+#REF!+#REF!+预安排!S194+#REF!+'6月'!Y187,5)</f>
        <v/>
      </c>
      <c r="Z187" s="182">
        <f>ROUND(#REF!+#REF!+#REF!+预安排!#REF!+#REF!+'6月'!Z187,5)</f>
        <v/>
      </c>
      <c r="AA187" s="182">
        <f>ROUND(#REF!+#REF!+#REF!+预安排!#REF!+#REF!+'6月'!AA187,5)</f>
        <v/>
      </c>
      <c r="AB187" s="182">
        <f>ROUND(#REF!+#REF!+#REF!+预安排!#REF!+#REF!+'6月'!AB187,5)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193">
        <f>计划!O187-O187</f>
        <v/>
      </c>
      <c r="AH187" s="193">
        <f>ROUND(AG187/$AH$1,2)</f>
        <v/>
      </c>
    </row>
    <row r="188" customFormat="1" s="1">
      <c r="A188" s="234" t="n"/>
      <c r="B188" s="231" t="inlineStr">
        <is>
          <t>SKU-A744A038</t>
        </is>
      </c>
      <c r="C188" s="231" t="inlineStr">
        <is>
          <t>是</t>
        </is>
      </c>
      <c r="D188" s="231" t="n">
        <v>8</v>
      </c>
      <c r="E188" s="231" t="inlineStr">
        <is>
          <t>是</t>
        </is>
      </c>
      <c r="F188" s="231" t="inlineStr"/>
      <c r="G188" s="231" t="inlineStr"/>
      <c r="H188" s="231" t="inlineStr">
        <is>
          <t>是</t>
        </is>
      </c>
      <c r="I188" s="231" t="inlineStr">
        <is>
          <t>是</t>
        </is>
      </c>
      <c r="J188" s="27" t="inlineStr">
        <is>
          <t>共</t>
        </is>
      </c>
      <c r="K188" s="27" t="inlineStr"/>
      <c r="L188" s="231" t="n">
        <v>100</v>
      </c>
      <c r="M188" s="19" t="inlineStr">
        <is>
          <t>Product-DDF99E26</t>
        </is>
      </c>
      <c r="N188" s="231" t="n">
        <v>1</v>
      </c>
      <c r="O188" s="181">
        <f>SUM(P188:AB188)</f>
        <v/>
      </c>
      <c r="P188" s="182">
        <f>ROUND(#REF!+#REF!+#REF!+预安排!F195+#REF!+'6月'!P188,5)</f>
        <v/>
      </c>
      <c r="Q188" s="182">
        <f>ROUND(#REF!+#REF!+#REF!+预安排!#REF!+#REF!+'6月'!Q188,5)</f>
        <v/>
      </c>
      <c r="R188" s="182">
        <f>ROUND(#REF!+#REF!+#REF!+预安排!G195+#REF!+'6月'!R188,5)</f>
        <v/>
      </c>
      <c r="S188" s="182">
        <f>ROUND(#REF!+#REF!+#REF!+预安排!#REF!+#REF!+'6月'!S188,5)</f>
        <v/>
      </c>
      <c r="T188" s="182">
        <f>ROUND(#REF!+#REF!+#REF!+预安排!#REF!+#REF!+'6月'!T188,5)</f>
        <v/>
      </c>
      <c r="U188" s="182">
        <f>ROUND(#REF!+#REF!+#REF!+预安排!O195+#REF!+'6月'!U188,5)</f>
        <v/>
      </c>
      <c r="V188" s="182">
        <f>ROUND(#REF!+#REF!+#REF!+预安排!P195+#REF!+'6月'!V188,5)</f>
        <v/>
      </c>
      <c r="W188" s="182">
        <f>ROUND(#REF!+#REF!+#REF!+预安排!Q195+#REF!+'6月'!W188,5)</f>
        <v/>
      </c>
      <c r="X188" s="182">
        <f>ROUND(#REF!+#REF!+#REF!+预安排!R195+#REF!+'6月'!X188,5)</f>
        <v/>
      </c>
      <c r="Y188" s="182">
        <f>ROUND(#REF!+#REF!+#REF!+预安排!S195+#REF!+'6月'!Y188,5)</f>
        <v/>
      </c>
      <c r="Z188" s="182">
        <f>ROUND(#REF!+#REF!+#REF!+预安排!#REF!+#REF!+'6月'!Z188,5)</f>
        <v/>
      </c>
      <c r="AA188" s="182">
        <f>ROUND(#REF!+#REF!+#REF!+预安排!#REF!+#REF!+'6月'!AA188,5)</f>
        <v/>
      </c>
      <c r="AB188" s="182">
        <f>ROUND(#REF!+#REF!+#REF!+预安排!#REF!+#REF!+'6月'!AB188,5)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193">
        <f>计划!O188-O188</f>
        <v/>
      </c>
      <c r="AH188" s="193">
        <f>ROUND(AG188/$AH$1,2)</f>
        <v/>
      </c>
    </row>
    <row r="189" customFormat="1" s="1">
      <c r="A189" s="234" t="n"/>
      <c r="B189" s="231" t="inlineStr">
        <is>
          <t>SKU-56C78667</t>
        </is>
      </c>
      <c r="C189" s="231" t="inlineStr">
        <is>
          <t>是</t>
        </is>
      </c>
      <c r="D189" s="231" t="n">
        <v>10</v>
      </c>
      <c r="E189" s="231" t="inlineStr"/>
      <c r="F189" s="231" t="inlineStr">
        <is>
          <t>是</t>
        </is>
      </c>
      <c r="G189" s="231" t="inlineStr"/>
      <c r="H189" s="231" t="inlineStr">
        <is>
          <t>是</t>
        </is>
      </c>
      <c r="I189" s="231" t="inlineStr">
        <is>
          <t>是</t>
        </is>
      </c>
      <c r="J189" s="27" t="inlineStr"/>
      <c r="K189" s="27" t="inlineStr"/>
      <c r="L189" s="231" t="n">
        <v>100</v>
      </c>
      <c r="M189" s="19" t="inlineStr">
        <is>
          <t>Product-B81DC6F4</t>
        </is>
      </c>
      <c r="N189" s="231" t="n">
        <v>1</v>
      </c>
      <c r="O189" s="181">
        <f>SUM(P189:AB189)</f>
        <v/>
      </c>
      <c r="P189" s="182">
        <f>ROUND(#REF!+#REF!+#REF!+预安排!F196+#REF!+'6月'!P189,5)</f>
        <v/>
      </c>
      <c r="Q189" s="182">
        <f>ROUND(#REF!+#REF!+#REF!+预安排!#REF!+#REF!+'6月'!Q189,5)</f>
        <v/>
      </c>
      <c r="R189" s="182">
        <f>ROUND(#REF!+#REF!+#REF!+预安排!G196+#REF!+'6月'!R189,5)</f>
        <v/>
      </c>
      <c r="S189" s="182">
        <f>ROUND(#REF!+#REF!+#REF!+预安排!#REF!+#REF!+'6月'!S189,5)</f>
        <v/>
      </c>
      <c r="T189" s="182">
        <f>ROUND(#REF!+#REF!+#REF!+预安排!#REF!+#REF!+'6月'!T189,5)</f>
        <v/>
      </c>
      <c r="U189" s="182">
        <f>ROUND(#REF!+#REF!+#REF!+预安排!O196+#REF!+'6月'!U189,5)</f>
        <v/>
      </c>
      <c r="V189" s="182">
        <f>ROUND(#REF!+#REF!+#REF!+预安排!P196+#REF!+'6月'!V189,5)</f>
        <v/>
      </c>
      <c r="W189" s="182">
        <f>ROUND(#REF!+#REF!+#REF!+预安排!Q196+#REF!+'6月'!W189,5)</f>
        <v/>
      </c>
      <c r="X189" s="182">
        <f>ROUND(#REF!+#REF!+#REF!+预安排!R196+#REF!+'6月'!X189,5)</f>
        <v/>
      </c>
      <c r="Y189" s="182">
        <f>ROUND(#REF!+#REF!+#REF!+预安排!S196+#REF!+'6月'!Y189,5)</f>
        <v/>
      </c>
      <c r="Z189" s="182">
        <f>ROUND(#REF!+#REF!+#REF!+预安排!#REF!+#REF!+'6月'!Z189,5)</f>
        <v/>
      </c>
      <c r="AA189" s="182">
        <f>ROUND(#REF!+#REF!+#REF!+预安排!#REF!+#REF!+'6月'!AA189,5)</f>
        <v/>
      </c>
      <c r="AB189" s="182">
        <f>ROUND(#REF!+#REF!+#REF!+预安排!#REF!+#REF!+'6月'!AB189,5)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193">
        <f>计划!O189-O189</f>
        <v/>
      </c>
      <c r="AH189" s="193">
        <f>ROUND(AG189/$AH$1,2)</f>
        <v/>
      </c>
    </row>
    <row r="190" customFormat="1" s="1">
      <c r="A190" s="234" t="n"/>
      <c r="B190" s="231" t="inlineStr">
        <is>
          <t>SKU-20ABB28F</t>
        </is>
      </c>
      <c r="C190" s="231" t="inlineStr">
        <is>
          <t>是</t>
        </is>
      </c>
      <c r="D190" s="231" t="n">
        <v>8</v>
      </c>
      <c r="E190" s="231" t="inlineStr"/>
      <c r="F190" s="231" t="inlineStr">
        <is>
          <t>是</t>
        </is>
      </c>
      <c r="G190" s="231" t="inlineStr"/>
      <c r="H190" s="231" t="inlineStr"/>
      <c r="I190" s="231" t="inlineStr">
        <is>
          <t>是</t>
        </is>
      </c>
      <c r="J190" s="27" t="inlineStr"/>
      <c r="K190" s="27" t="inlineStr"/>
      <c r="L190" s="231" t="n">
        <v>100</v>
      </c>
      <c r="M190" s="19" t="inlineStr">
        <is>
          <t>Product-0B2EAF74</t>
        </is>
      </c>
      <c r="N190" s="231" t="n">
        <v>1</v>
      </c>
      <c r="O190" s="181">
        <f>SUM(P190:AB190)</f>
        <v/>
      </c>
      <c r="P190" s="182">
        <f>ROUND(#REF!+#REF!+#REF!+预安排!F197+#REF!+'6月'!P190,5)</f>
        <v/>
      </c>
      <c r="Q190" s="182">
        <f>ROUND(#REF!+#REF!+#REF!+预安排!#REF!+#REF!+'6月'!Q190,5)</f>
        <v/>
      </c>
      <c r="R190" s="182">
        <f>ROUND(#REF!+#REF!+#REF!+预安排!G197+#REF!+'6月'!R190,5)</f>
        <v/>
      </c>
      <c r="S190" s="182">
        <f>ROUND(#REF!+#REF!+#REF!+预安排!#REF!+#REF!+'6月'!S190,5)</f>
        <v/>
      </c>
      <c r="T190" s="182">
        <f>ROUND(#REF!+#REF!+#REF!+预安排!#REF!+#REF!+'6月'!T190,5)</f>
        <v/>
      </c>
      <c r="U190" s="182">
        <f>ROUND(#REF!+#REF!+#REF!+预安排!O197+#REF!+'6月'!U190,5)</f>
        <v/>
      </c>
      <c r="V190" s="182">
        <f>ROUND(#REF!+#REF!+#REF!+预安排!P197+#REF!+'6月'!V190,5)</f>
        <v/>
      </c>
      <c r="W190" s="182">
        <f>ROUND(#REF!+#REF!+#REF!+预安排!Q197+#REF!+'6月'!W190,5)</f>
        <v/>
      </c>
      <c r="X190" s="182">
        <f>ROUND(#REF!+#REF!+#REF!+预安排!R197+#REF!+'6月'!X190,5)</f>
        <v/>
      </c>
      <c r="Y190" s="182">
        <f>ROUND(#REF!+#REF!+#REF!+预安排!S197+#REF!+'6月'!Y190,5)</f>
        <v/>
      </c>
      <c r="Z190" s="182">
        <f>ROUND(#REF!+#REF!+#REF!+预安排!#REF!+#REF!+'6月'!Z190,5)</f>
        <v/>
      </c>
      <c r="AA190" s="182">
        <f>ROUND(#REF!+#REF!+#REF!+预安排!#REF!+#REF!+'6月'!AA190,5)</f>
        <v/>
      </c>
      <c r="AB190" s="182">
        <f>ROUND(#REF!+#REF!+#REF!+预安排!#REF!+#REF!+'6月'!AB190,5)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193">
        <f>计划!O190-O190</f>
        <v/>
      </c>
      <c r="AH190" s="193">
        <f>ROUND(AG190/$AH$1,2)</f>
        <v/>
      </c>
    </row>
    <row r="191" customFormat="1" s="1">
      <c r="A191" s="234" t="n"/>
      <c r="B191" s="231" t="inlineStr">
        <is>
          <t>SKU-19F38467</t>
        </is>
      </c>
      <c r="C191" s="231" t="inlineStr">
        <is>
          <t>是</t>
        </is>
      </c>
      <c r="D191" s="231" t="n">
        <v>10</v>
      </c>
      <c r="E191" s="231" t="inlineStr"/>
      <c r="F191" s="231" t="inlineStr"/>
      <c r="G191" s="231" t="inlineStr"/>
      <c r="H191" s="231" t="inlineStr"/>
      <c r="I191" s="231" t="inlineStr"/>
      <c r="J191" s="27" t="inlineStr">
        <is>
          <t>共</t>
        </is>
      </c>
      <c r="K191" s="27" t="inlineStr"/>
      <c r="L191" s="231" t="n">
        <v>100</v>
      </c>
      <c r="M191" s="19" t="inlineStr">
        <is>
          <t>Product-9435255B</t>
        </is>
      </c>
      <c r="N191" s="231" t="n">
        <v>1</v>
      </c>
      <c r="O191" s="181">
        <f>SUM(P191:AB191)</f>
        <v/>
      </c>
      <c r="P191" s="182">
        <f>ROUND(#REF!+#REF!+#REF!+预安排!F198+#REF!+'6月'!P191,5)</f>
        <v/>
      </c>
      <c r="Q191" s="182">
        <f>ROUND(#REF!+#REF!+#REF!+预安排!#REF!+#REF!+'6月'!Q191,5)</f>
        <v/>
      </c>
      <c r="R191" s="182">
        <f>ROUND(#REF!+#REF!+#REF!+预安排!G198+#REF!+'6月'!R191,5)</f>
        <v/>
      </c>
      <c r="S191" s="182">
        <f>ROUND(#REF!+#REF!+#REF!+预安排!#REF!+#REF!+'6月'!S191,5)</f>
        <v/>
      </c>
      <c r="T191" s="182">
        <f>ROUND(#REF!+#REF!+#REF!+预安排!#REF!+#REF!+'6月'!T191,5)</f>
        <v/>
      </c>
      <c r="U191" s="182">
        <f>ROUND(#REF!+#REF!+#REF!+预安排!O198+#REF!+'6月'!U191,5)</f>
        <v/>
      </c>
      <c r="V191" s="182">
        <f>ROUND(#REF!+#REF!+#REF!+预安排!P198+#REF!+'6月'!V191,5)</f>
        <v/>
      </c>
      <c r="W191" s="182">
        <f>ROUND(#REF!+#REF!+#REF!+预安排!Q198+#REF!+'6月'!W191,5)</f>
        <v/>
      </c>
      <c r="X191" s="182">
        <f>ROUND(#REF!+#REF!+#REF!+预安排!R198+#REF!+'6月'!X191,5)</f>
        <v/>
      </c>
      <c r="Y191" s="182">
        <f>ROUND(#REF!+#REF!+#REF!+预安排!S198+#REF!+'6月'!Y191,5)</f>
        <v/>
      </c>
      <c r="Z191" s="182">
        <f>ROUND(#REF!+#REF!+#REF!+预安排!#REF!+#REF!+'6月'!Z191,5)</f>
        <v/>
      </c>
      <c r="AA191" s="182">
        <f>ROUND(#REF!+#REF!+#REF!+预安排!#REF!+#REF!+'6月'!AA191,5)</f>
        <v/>
      </c>
      <c r="AB191" s="182">
        <f>ROUND(#REF!+#REF!+#REF!+预安排!#REF!+#REF!+'6月'!AB191,5)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193">
        <f>计划!O191-O191</f>
        <v/>
      </c>
      <c r="AH191" s="193">
        <f>ROUND(AG191/$AH$1,2)</f>
        <v/>
      </c>
    </row>
    <row r="192" customFormat="1" s="1">
      <c r="A192" s="234" t="n"/>
      <c r="B192" s="231" t="inlineStr">
        <is>
          <t>SKU-07EAC1B8</t>
        </is>
      </c>
      <c r="C192" s="231" t="inlineStr">
        <is>
          <t>是</t>
        </is>
      </c>
      <c r="D192" s="231" t="n">
        <v>10</v>
      </c>
      <c r="E192" s="231" t="inlineStr"/>
      <c r="F192" s="231" t="inlineStr"/>
      <c r="G192" s="231" t="inlineStr"/>
      <c r="H192" s="231" t="inlineStr">
        <is>
          <t>是</t>
        </is>
      </c>
      <c r="I192" s="231" t="inlineStr">
        <is>
          <t>是</t>
        </is>
      </c>
      <c r="J192" s="27" t="inlineStr">
        <is>
          <t>共</t>
        </is>
      </c>
      <c r="K192" s="27" t="inlineStr"/>
      <c r="L192" s="231" t="n">
        <v>100</v>
      </c>
      <c r="M192" s="19" t="inlineStr">
        <is>
          <t>Product-E14FEADC</t>
        </is>
      </c>
      <c r="N192" s="231" t="n">
        <v>1</v>
      </c>
      <c r="O192" s="181">
        <f>SUM(P192:AB192)</f>
        <v/>
      </c>
      <c r="P192" s="182">
        <f>ROUND(#REF!+#REF!+#REF!+预安排!F199+#REF!+'6月'!P192,5)</f>
        <v/>
      </c>
      <c r="Q192" s="182">
        <f>ROUND(#REF!+#REF!+#REF!+预安排!#REF!+#REF!+'6月'!Q192,5)</f>
        <v/>
      </c>
      <c r="R192" s="182">
        <f>ROUND(#REF!+#REF!+#REF!+预安排!G199+#REF!+'6月'!R192,5)</f>
        <v/>
      </c>
      <c r="S192" s="182">
        <f>ROUND(#REF!+#REF!+#REF!+预安排!#REF!+#REF!+'6月'!S192,5)</f>
        <v/>
      </c>
      <c r="T192" s="182">
        <f>ROUND(#REF!+#REF!+#REF!+预安排!#REF!+#REF!+'6月'!T192,5)</f>
        <v/>
      </c>
      <c r="U192" s="182">
        <f>ROUND(#REF!+#REF!+#REF!+预安排!O199+#REF!+'6月'!U192,5)</f>
        <v/>
      </c>
      <c r="V192" s="182">
        <f>ROUND(#REF!+#REF!+#REF!+预安排!P199+#REF!+'6月'!V192,5)</f>
        <v/>
      </c>
      <c r="W192" s="182">
        <f>ROUND(#REF!+#REF!+#REF!+预安排!Q199+#REF!+'6月'!W192,5)</f>
        <v/>
      </c>
      <c r="X192" s="182">
        <f>ROUND(#REF!+#REF!+#REF!+预安排!R199+#REF!+'6月'!X192,5)</f>
        <v/>
      </c>
      <c r="Y192" s="182">
        <f>ROUND(#REF!+#REF!+#REF!+预安排!S199+#REF!+'6月'!Y192,5)</f>
        <v/>
      </c>
      <c r="Z192" s="182">
        <f>ROUND(#REF!+#REF!+#REF!+预安排!#REF!+#REF!+'6月'!Z192,5)</f>
        <v/>
      </c>
      <c r="AA192" s="182">
        <f>ROUND(#REF!+#REF!+#REF!+预安排!#REF!+#REF!+'6月'!AA192,5)</f>
        <v/>
      </c>
      <c r="AB192" s="182">
        <f>ROUND(#REF!+#REF!+#REF!+预安排!#REF!+#REF!+'6月'!AB192,5)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193">
        <f>计划!O192-O192</f>
        <v/>
      </c>
      <c r="AH192" s="193">
        <f>ROUND(AG192/$AH$1,2)</f>
        <v/>
      </c>
    </row>
    <row r="193" customFormat="1" s="1">
      <c r="A193" s="234" t="n"/>
      <c r="B193" s="231" t="inlineStr">
        <is>
          <t>SKU-35C24552</t>
        </is>
      </c>
      <c r="C193" s="231" t="inlineStr">
        <is>
          <t>是</t>
        </is>
      </c>
      <c r="D193" s="231" t="n">
        <v>8</v>
      </c>
      <c r="E193" s="231" t="inlineStr"/>
      <c r="F193" s="231" t="inlineStr">
        <is>
          <t>是</t>
        </is>
      </c>
      <c r="G193" s="231" t="inlineStr"/>
      <c r="H193" s="231" t="inlineStr"/>
      <c r="I193" s="231" t="inlineStr">
        <is>
          <t>是</t>
        </is>
      </c>
      <c r="J193" s="27" t="inlineStr"/>
      <c r="K193" s="27" t="inlineStr"/>
      <c r="L193" s="231" t="n">
        <v>100</v>
      </c>
      <c r="M193" s="19" t="inlineStr">
        <is>
          <t>Product-37D16B86</t>
        </is>
      </c>
      <c r="N193" s="231" t="n">
        <v>1</v>
      </c>
      <c r="O193" s="181">
        <f>SUM(P193:AB193)</f>
        <v/>
      </c>
      <c r="P193" s="182">
        <f>ROUND(#REF!+#REF!+#REF!+预安排!F200+#REF!+'6月'!P193,5)</f>
        <v/>
      </c>
      <c r="Q193" s="182">
        <f>ROUND(#REF!+#REF!+#REF!+预安排!#REF!+#REF!+'6月'!Q193,5)</f>
        <v/>
      </c>
      <c r="R193" s="182">
        <f>ROUND(#REF!+#REF!+#REF!+预安排!G200+#REF!+'6月'!R193,5)</f>
        <v/>
      </c>
      <c r="S193" s="182">
        <f>ROUND(#REF!+#REF!+#REF!+预安排!#REF!+#REF!+'6月'!S193,5)</f>
        <v/>
      </c>
      <c r="T193" s="182">
        <f>ROUND(#REF!+#REF!+#REF!+预安排!#REF!+#REF!+'6月'!T193,5)</f>
        <v/>
      </c>
      <c r="U193" s="182">
        <f>ROUND(#REF!+#REF!+#REF!+预安排!O200+#REF!+'6月'!U193,5)</f>
        <v/>
      </c>
      <c r="V193" s="182">
        <f>ROUND(#REF!+#REF!+#REF!+预安排!P200+#REF!+'6月'!V193,5)</f>
        <v/>
      </c>
      <c r="W193" s="182">
        <f>ROUND(#REF!+#REF!+#REF!+预安排!Q200+#REF!+'6月'!W193,5)</f>
        <v/>
      </c>
      <c r="X193" s="182">
        <f>ROUND(#REF!+#REF!+#REF!+预安排!R200+#REF!+'6月'!X193,5)</f>
        <v/>
      </c>
      <c r="Y193" s="182">
        <f>ROUND(#REF!+#REF!+#REF!+预安排!S200+#REF!+'6月'!Y193,5)</f>
        <v/>
      </c>
      <c r="Z193" s="182">
        <f>ROUND(#REF!+#REF!+#REF!+预安排!#REF!+#REF!+'6月'!Z193,5)</f>
        <v/>
      </c>
      <c r="AA193" s="182">
        <f>ROUND(#REF!+#REF!+#REF!+预安排!#REF!+#REF!+'6月'!AA193,5)</f>
        <v/>
      </c>
      <c r="AB193" s="182">
        <f>ROUND(#REF!+#REF!+#REF!+预安排!#REF!+#REF!+'6月'!AB193,5)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193">
        <f>计划!O193-O193</f>
        <v/>
      </c>
      <c r="AH193" s="193">
        <f>ROUND(AG193/$AH$1,2)</f>
        <v/>
      </c>
    </row>
    <row r="194" customFormat="1" s="1">
      <c r="A194" s="234" t="n"/>
      <c r="B194" s="231" t="inlineStr">
        <is>
          <t>SKU-2E4B7F7A</t>
        </is>
      </c>
      <c r="C194" s="231" t="inlineStr">
        <is>
          <t>是</t>
        </is>
      </c>
      <c r="D194" s="231" t="n">
        <v>8</v>
      </c>
      <c r="E194" s="231" t="inlineStr"/>
      <c r="F194" s="231" t="inlineStr">
        <is>
          <t>是</t>
        </is>
      </c>
      <c r="G194" s="231" t="inlineStr"/>
      <c r="H194" s="231" t="inlineStr"/>
      <c r="I194" s="231" t="inlineStr">
        <is>
          <t>是</t>
        </is>
      </c>
      <c r="J194" s="27" t="inlineStr"/>
      <c r="K194" s="27" t="inlineStr"/>
      <c r="L194" s="231" t="n">
        <v>100</v>
      </c>
      <c r="M194" s="19" t="inlineStr">
        <is>
          <t>Product-114C3CE1</t>
        </is>
      </c>
      <c r="N194" s="231" t="n">
        <v>1</v>
      </c>
      <c r="O194" s="181">
        <f>SUM(P194:AB194)</f>
        <v/>
      </c>
      <c r="P194" s="182">
        <f>ROUND(#REF!+#REF!+#REF!+预安排!F201+#REF!+'6月'!P194,5)</f>
        <v/>
      </c>
      <c r="Q194" s="182">
        <f>ROUND(#REF!+#REF!+#REF!+预安排!#REF!+#REF!+'6月'!Q194,5)</f>
        <v/>
      </c>
      <c r="R194" s="182">
        <f>ROUND(#REF!+#REF!+#REF!+预安排!G201+#REF!+'6月'!R194,5)</f>
        <v/>
      </c>
      <c r="S194" s="182">
        <f>ROUND(#REF!+#REF!+#REF!+预安排!#REF!+#REF!+'6月'!S194,5)</f>
        <v/>
      </c>
      <c r="T194" s="182">
        <f>ROUND(#REF!+#REF!+#REF!+预安排!#REF!+#REF!+'6月'!T194,5)</f>
        <v/>
      </c>
      <c r="U194" s="182">
        <f>ROUND(#REF!+#REF!+#REF!+预安排!O201+#REF!+'6月'!U194,5)</f>
        <v/>
      </c>
      <c r="V194" s="182">
        <f>ROUND(#REF!+#REF!+#REF!+预安排!P201+#REF!+'6月'!V194,5)</f>
        <v/>
      </c>
      <c r="W194" s="182">
        <f>ROUND(#REF!+#REF!+#REF!+预安排!Q201+#REF!+'6月'!W194,5)</f>
        <v/>
      </c>
      <c r="X194" s="182">
        <f>ROUND(#REF!+#REF!+#REF!+预安排!R201+#REF!+'6月'!X194,5)</f>
        <v/>
      </c>
      <c r="Y194" s="182">
        <f>ROUND(#REF!+#REF!+#REF!+预安排!S201+#REF!+'6月'!Y194,5)</f>
        <v/>
      </c>
      <c r="Z194" s="182">
        <f>ROUND(#REF!+#REF!+#REF!+预安排!#REF!+#REF!+'6月'!Z194,5)</f>
        <v/>
      </c>
      <c r="AA194" s="182">
        <f>ROUND(#REF!+#REF!+#REF!+预安排!#REF!+#REF!+'6月'!AA194,5)</f>
        <v/>
      </c>
      <c r="AB194" s="182">
        <f>ROUND(#REF!+#REF!+#REF!+预安排!#REF!+#REF!+'6月'!AB194,5)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193">
        <f>计划!O194-O194</f>
        <v/>
      </c>
      <c r="AH194" s="193">
        <f>ROUND(AG194/$AH$1,2)</f>
        <v/>
      </c>
    </row>
    <row r="195" customFormat="1" s="1">
      <c r="A195" s="234" t="n"/>
      <c r="B195" s="231" t="inlineStr">
        <is>
          <t>SKU-C36EE9D8</t>
        </is>
      </c>
      <c r="C195" s="231" t="inlineStr">
        <is>
          <t>是</t>
        </is>
      </c>
      <c r="D195" s="231" t="n">
        <v>9</v>
      </c>
      <c r="E195" s="231" t="inlineStr"/>
      <c r="F195" s="231" t="inlineStr">
        <is>
          <t>是</t>
        </is>
      </c>
      <c r="G195" s="231" t="inlineStr"/>
      <c r="H195" s="231" t="inlineStr"/>
      <c r="I195" s="231" t="inlineStr">
        <is>
          <t>是</t>
        </is>
      </c>
      <c r="J195" s="27" t="inlineStr"/>
      <c r="K195" s="27" t="inlineStr"/>
      <c r="L195" s="231" t="n">
        <v>100</v>
      </c>
      <c r="M195" s="19" t="inlineStr">
        <is>
          <t>Product-63311DDA</t>
        </is>
      </c>
      <c r="N195" s="231" t="n">
        <v>1</v>
      </c>
      <c r="O195" s="181">
        <f>SUM(P195:AB195)</f>
        <v/>
      </c>
      <c r="P195" s="182">
        <f>ROUND(#REF!+#REF!+#REF!+预安排!F202+#REF!+'6月'!P195,5)</f>
        <v/>
      </c>
      <c r="Q195" s="182">
        <f>ROUND(#REF!+#REF!+#REF!+预安排!#REF!+#REF!+'6月'!Q195,5)</f>
        <v/>
      </c>
      <c r="R195" s="182">
        <f>ROUND(#REF!+#REF!+#REF!+预安排!G202+#REF!+'6月'!R195,5)</f>
        <v/>
      </c>
      <c r="S195" s="182">
        <f>ROUND(#REF!+#REF!+#REF!+预安排!#REF!+#REF!+'6月'!S195,5)</f>
        <v/>
      </c>
      <c r="T195" s="182">
        <f>ROUND(#REF!+#REF!+#REF!+预安排!#REF!+#REF!+'6月'!T195,5)</f>
        <v/>
      </c>
      <c r="U195" s="182">
        <f>ROUND(#REF!+#REF!+#REF!+预安排!O202+#REF!+'6月'!U195,5)</f>
        <v/>
      </c>
      <c r="V195" s="182">
        <f>ROUND(#REF!+#REF!+#REF!+预安排!P202+#REF!+'6月'!V195,5)</f>
        <v/>
      </c>
      <c r="W195" s="182">
        <f>ROUND(#REF!+#REF!+#REF!+预安排!Q202+#REF!+'6月'!W195,5)</f>
        <v/>
      </c>
      <c r="X195" s="182">
        <f>ROUND(#REF!+#REF!+#REF!+预安排!R202+#REF!+'6月'!X195,5)</f>
        <v/>
      </c>
      <c r="Y195" s="182">
        <f>ROUND(#REF!+#REF!+#REF!+预安排!S202+#REF!+'6月'!Y195,5)</f>
        <v/>
      </c>
      <c r="Z195" s="182">
        <f>ROUND(#REF!+#REF!+#REF!+预安排!#REF!+#REF!+'6月'!Z195,5)</f>
        <v/>
      </c>
      <c r="AA195" s="182">
        <f>ROUND(#REF!+#REF!+#REF!+预安排!#REF!+#REF!+'6月'!AA195,5)</f>
        <v/>
      </c>
      <c r="AB195" s="182">
        <f>ROUND(#REF!+#REF!+#REF!+预安排!#REF!+#REF!+'6月'!AB195,5)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193">
        <f>计划!O195-O195</f>
        <v/>
      </c>
      <c r="AH195" s="193">
        <f>ROUND(AG195/$AH$1,2)</f>
        <v/>
      </c>
    </row>
    <row r="196" customFormat="1" s="1">
      <c r="A196" s="234" t="n"/>
      <c r="B196" s="231" t="inlineStr">
        <is>
          <t>SKU-0235E86E</t>
        </is>
      </c>
      <c r="C196" s="231" t="inlineStr">
        <is>
          <t>是</t>
        </is>
      </c>
      <c r="D196" s="231" t="n">
        <v>8</v>
      </c>
      <c r="E196" s="231" t="inlineStr">
        <is>
          <t>是</t>
        </is>
      </c>
      <c r="F196" s="231" t="inlineStr"/>
      <c r="G196" s="231" t="inlineStr"/>
      <c r="H196" s="231" t="inlineStr"/>
      <c r="I196" s="231" t="inlineStr">
        <is>
          <t>是</t>
        </is>
      </c>
      <c r="J196" s="27" t="inlineStr"/>
      <c r="K196" s="27" t="inlineStr"/>
      <c r="L196" s="231" t="n">
        <v>100</v>
      </c>
      <c r="M196" s="45" t="inlineStr">
        <is>
          <t>Product-985CF026</t>
        </is>
      </c>
      <c r="N196" s="231" t="n">
        <v>1</v>
      </c>
      <c r="O196" s="181">
        <f>SUM(P196:AB196)</f>
        <v/>
      </c>
      <c r="P196" s="182">
        <f>ROUND(#REF!+#REF!+#REF!+预安排!F203+#REF!+'6月'!P196,5)</f>
        <v/>
      </c>
      <c r="Q196" s="182">
        <f>ROUND(#REF!+#REF!+#REF!+预安排!#REF!+#REF!+'6月'!Q196,5)</f>
        <v/>
      </c>
      <c r="R196" s="182">
        <f>ROUND(#REF!+#REF!+#REF!+预安排!G203+#REF!+'6月'!R196,5)</f>
        <v/>
      </c>
      <c r="S196" s="182">
        <f>ROUND(#REF!+#REF!+#REF!+预安排!#REF!+#REF!+'6月'!S196,5)</f>
        <v/>
      </c>
      <c r="T196" s="182">
        <f>ROUND(#REF!+#REF!+#REF!+预安排!#REF!+#REF!+'6月'!T196,5)</f>
        <v/>
      </c>
      <c r="U196" s="182">
        <f>ROUND(#REF!+#REF!+#REF!+预安排!O203+#REF!+'6月'!U196,5)</f>
        <v/>
      </c>
      <c r="V196" s="182">
        <f>ROUND(#REF!+#REF!+#REF!+预安排!P203+#REF!+'6月'!V196,5)</f>
        <v/>
      </c>
      <c r="W196" s="182">
        <f>ROUND(#REF!+#REF!+#REF!+预安排!Q203+#REF!+'6月'!W196,5)</f>
        <v/>
      </c>
      <c r="X196" s="182">
        <f>ROUND(#REF!+#REF!+#REF!+预安排!R203+#REF!+'6月'!X196,5)</f>
        <v/>
      </c>
      <c r="Y196" s="182">
        <f>ROUND(#REF!+#REF!+#REF!+预安排!S203+#REF!+'6月'!Y196,5)</f>
        <v/>
      </c>
      <c r="Z196" s="182">
        <f>ROUND(#REF!+#REF!+#REF!+预安排!#REF!+#REF!+'6月'!Z196,5)</f>
        <v/>
      </c>
      <c r="AA196" s="182">
        <f>ROUND(#REF!+#REF!+#REF!+预安排!#REF!+#REF!+'6月'!AA196,5)</f>
        <v/>
      </c>
      <c r="AB196" s="182">
        <f>ROUND(#REF!+#REF!+#REF!+预安排!#REF!+#REF!+'6月'!AB196,5)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193">
        <f>计划!O196-O196</f>
        <v/>
      </c>
      <c r="AH196" s="193">
        <f>ROUND(AG196/$AH$1,2)</f>
        <v/>
      </c>
    </row>
    <row r="197" customFormat="1" s="1">
      <c r="A197" s="235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196">
        <f>计划!O197-O197</f>
        <v/>
      </c>
      <c r="AH197" s="196">
        <f>ROUND(AG197/$AH$1,2)</f>
        <v/>
      </c>
    </row>
    <row r="198" customFormat="1" s="1">
      <c r="A198" s="25" t="inlineStr">
        <is>
          <t>湖南</t>
        </is>
      </c>
      <c r="B198" s="231" t="inlineStr">
        <is>
          <t>SKU-90D85FFD</t>
        </is>
      </c>
      <c r="C198" s="231" t="inlineStr">
        <is>
          <t>是</t>
        </is>
      </c>
      <c r="D198" s="231" t="n">
        <v>10</v>
      </c>
      <c r="E198" s="231" t="inlineStr"/>
      <c r="F198" s="231" t="inlineStr"/>
      <c r="G198" s="231" t="inlineStr"/>
      <c r="H198" s="231" t="inlineStr"/>
      <c r="I198" s="231" t="inlineStr"/>
      <c r="J198" s="27" t="inlineStr"/>
      <c r="K198" s="27" t="inlineStr"/>
      <c r="L198" s="231" t="n">
        <v>100</v>
      </c>
      <c r="M198" s="44" t="inlineStr">
        <is>
          <t>Product-8495CF82</t>
        </is>
      </c>
      <c r="N198" s="231" t="n">
        <v>3</v>
      </c>
      <c r="O198" s="181">
        <f>SUM(P198:AB198)</f>
        <v/>
      </c>
      <c r="P198" s="182">
        <f>ROUND(#REF!+#REF!+#REF!+预安排!F206+#REF!+'6月'!P198,5)</f>
        <v/>
      </c>
      <c r="Q198" s="182">
        <f>ROUND(#REF!+#REF!+#REF!+预安排!#REF!+#REF!+'6月'!Q198,5)</f>
        <v/>
      </c>
      <c r="R198" s="182">
        <f>ROUND(#REF!+#REF!+#REF!+预安排!G206+#REF!+'6月'!R198,5)</f>
        <v/>
      </c>
      <c r="S198" s="182">
        <f>ROUND(#REF!+#REF!+#REF!+预安排!#REF!+#REF!+'6月'!S198,5)</f>
        <v/>
      </c>
      <c r="T198" s="182">
        <f>ROUND(#REF!+#REF!+#REF!+预安排!#REF!+#REF!+'6月'!T198,5)</f>
        <v/>
      </c>
      <c r="U198" s="182">
        <f>ROUND(#REF!+#REF!+#REF!+预安排!O206+#REF!+'6月'!U198,5)</f>
        <v/>
      </c>
      <c r="V198" s="182">
        <f>ROUND(#REF!+#REF!+#REF!+预安排!P206+#REF!+'6月'!V198,5)</f>
        <v/>
      </c>
      <c r="W198" s="182">
        <f>ROUND(#REF!+#REF!+#REF!+预安排!Q206+#REF!+'6月'!W198,5)</f>
        <v/>
      </c>
      <c r="X198" s="182">
        <f>ROUND(#REF!+#REF!+#REF!+预安排!R206+#REF!+'6月'!X198,5)</f>
        <v/>
      </c>
      <c r="Y198" s="182">
        <f>ROUND(#REF!+#REF!+#REF!+预安排!S206+#REF!+'6月'!Y198,5)</f>
        <v/>
      </c>
      <c r="Z198" s="182">
        <f>ROUND(#REF!+#REF!+#REF!+预安排!#REF!+#REF!+'6月'!Z198,5)</f>
        <v/>
      </c>
      <c r="AA198" s="182">
        <f>ROUND(#REF!+#REF!+#REF!+预安排!#REF!+#REF!+'6月'!AA198,5)</f>
        <v/>
      </c>
      <c r="AB198" s="182">
        <f>ROUND(#REF!+#REF!+#REF!+预安排!#REF!+#REF!+'6月'!AB198,5)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193">
        <f>计划!O198-O198</f>
        <v/>
      </c>
      <c r="AH198" s="193">
        <f>ROUND(AG198/$AH$1,2)</f>
        <v/>
      </c>
    </row>
    <row r="199" customFormat="1" s="1">
      <c r="A199" s="234" t="n"/>
      <c r="B199" s="231" t="inlineStr">
        <is>
          <t>SKU-0CA1EAE0</t>
        </is>
      </c>
      <c r="C199" s="231" t="inlineStr">
        <is>
          <t>是</t>
        </is>
      </c>
      <c r="D199" s="231" t="n">
        <v>10</v>
      </c>
      <c r="E199" s="231" t="inlineStr"/>
      <c r="F199" s="231" t="inlineStr"/>
      <c r="G199" s="231" t="inlineStr"/>
      <c r="H199" s="231" t="inlineStr"/>
      <c r="I199" s="231" t="inlineStr"/>
      <c r="J199" s="27" t="inlineStr"/>
      <c r="K199" s="27" t="inlineStr"/>
      <c r="L199" s="231" t="n">
        <v>100</v>
      </c>
      <c r="M199" s="19" t="inlineStr">
        <is>
          <t>Product-3E742E78</t>
        </is>
      </c>
      <c r="N199" s="231" t="n">
        <v>3</v>
      </c>
      <c r="O199" s="181">
        <f>SUM(P199:AB199)</f>
        <v/>
      </c>
      <c r="P199" s="182">
        <f>ROUND(#REF!+#REF!+#REF!+预安排!F207+#REF!+'6月'!P199,5)</f>
        <v/>
      </c>
      <c r="Q199" s="182">
        <f>ROUND(#REF!+#REF!+#REF!+预安排!#REF!+#REF!+'6月'!Q199,5)</f>
        <v/>
      </c>
      <c r="R199" s="182">
        <f>ROUND(#REF!+#REF!+#REF!+预安排!G207+#REF!+'6月'!R199,5)</f>
        <v/>
      </c>
      <c r="S199" s="182">
        <f>ROUND(#REF!+#REF!+#REF!+预安排!#REF!+#REF!+'6月'!S199,5)</f>
        <v/>
      </c>
      <c r="T199" s="182">
        <f>ROUND(#REF!+#REF!+#REF!+预安排!#REF!+#REF!+'6月'!T199,5)</f>
        <v/>
      </c>
      <c r="U199" s="182">
        <f>ROUND(#REF!+#REF!+#REF!+预安排!O207+#REF!+'6月'!U199,5)</f>
        <v/>
      </c>
      <c r="V199" s="182">
        <f>ROUND(#REF!+#REF!+#REF!+预安排!P207+#REF!+'6月'!V199,5)</f>
        <v/>
      </c>
      <c r="W199" s="182">
        <f>ROUND(#REF!+#REF!+#REF!+预安排!Q207+#REF!+'6月'!W199,5)</f>
        <v/>
      </c>
      <c r="X199" s="182">
        <f>ROUND(#REF!+#REF!+#REF!+预安排!R207+#REF!+'6月'!X199,5)</f>
        <v/>
      </c>
      <c r="Y199" s="182">
        <f>ROUND(#REF!+#REF!+#REF!+预安排!S207+#REF!+'6月'!Y199,5)</f>
        <v/>
      </c>
      <c r="Z199" s="182">
        <f>ROUND(#REF!+#REF!+#REF!+预安排!#REF!+#REF!+'6月'!Z199,5)</f>
        <v/>
      </c>
      <c r="AA199" s="182">
        <f>ROUND(#REF!+#REF!+#REF!+预安排!#REF!+#REF!+'6月'!AA199,5)</f>
        <v/>
      </c>
      <c r="AB199" s="182">
        <f>ROUND(#REF!+#REF!+#REF!+预安排!#REF!+#REF!+'6月'!AB199,5)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193">
        <f>计划!O199-O199</f>
        <v/>
      </c>
      <c r="AH199" s="193">
        <f>ROUND(AG199/$AH$1,2)</f>
        <v/>
      </c>
    </row>
    <row r="200" customFormat="1" s="1">
      <c r="A200" s="234" t="n"/>
      <c r="B200" s="231" t="inlineStr">
        <is>
          <t>SKU-1A13518F</t>
        </is>
      </c>
      <c r="C200" s="231" t="inlineStr">
        <is>
          <t>是</t>
        </is>
      </c>
      <c r="D200" s="231" t="n">
        <v>8</v>
      </c>
      <c r="E200" s="231" t="inlineStr"/>
      <c r="F200" s="231" t="inlineStr">
        <is>
          <t>是</t>
        </is>
      </c>
      <c r="G200" s="231" t="inlineStr"/>
      <c r="H200" s="231" t="inlineStr"/>
      <c r="I200" s="231" t="inlineStr">
        <is>
          <t>是</t>
        </is>
      </c>
      <c r="J200" s="27" t="inlineStr"/>
      <c r="K200" s="27" t="inlineStr"/>
      <c r="L200" s="231" t="n">
        <v>100</v>
      </c>
      <c r="M200" s="19" t="inlineStr">
        <is>
          <t>Product-8FB93E92</t>
        </is>
      </c>
      <c r="N200" s="231" t="n">
        <v>1</v>
      </c>
      <c r="O200" s="181">
        <f>SUM(P200:AB200)</f>
        <v/>
      </c>
      <c r="P200" s="182">
        <f>ROUND(#REF!+#REF!+#REF!+预安排!F208+#REF!+'6月'!P200,5)</f>
        <v/>
      </c>
      <c r="Q200" s="182">
        <f>ROUND(#REF!+#REF!+#REF!+预安排!#REF!+#REF!+'6月'!Q200,5)</f>
        <v/>
      </c>
      <c r="R200" s="182">
        <f>ROUND(#REF!+#REF!+#REF!+预安排!G208+#REF!+'6月'!R200,5)</f>
        <v/>
      </c>
      <c r="S200" s="182">
        <f>ROUND(#REF!+#REF!+#REF!+预安排!#REF!+#REF!+'6月'!S200,5)</f>
        <v/>
      </c>
      <c r="T200" s="182">
        <f>ROUND(#REF!+#REF!+#REF!+预安排!#REF!+#REF!+'6月'!T200,5)</f>
        <v/>
      </c>
      <c r="U200" s="182">
        <f>ROUND(#REF!+#REF!+#REF!+预安排!O208+#REF!+'6月'!U200,5)</f>
        <v/>
      </c>
      <c r="V200" s="182">
        <f>ROUND(#REF!+#REF!+#REF!+预安排!P208+#REF!+'6月'!V200,5)</f>
        <v/>
      </c>
      <c r="W200" s="182">
        <f>ROUND(#REF!+#REF!+#REF!+预安排!Q208+#REF!+'6月'!W200,5)</f>
        <v/>
      </c>
      <c r="X200" s="182">
        <f>ROUND(#REF!+#REF!+#REF!+预安排!R208+#REF!+'6月'!X200,5)</f>
        <v/>
      </c>
      <c r="Y200" s="182">
        <f>ROUND(#REF!+#REF!+#REF!+预安排!S208+#REF!+'6月'!Y200,5)</f>
        <v/>
      </c>
      <c r="Z200" s="182">
        <f>ROUND(#REF!+#REF!+#REF!+预安排!#REF!+#REF!+'6月'!Z200,5)</f>
        <v/>
      </c>
      <c r="AA200" s="182">
        <f>ROUND(#REF!+#REF!+#REF!+预安排!#REF!+#REF!+'6月'!AA200,5)</f>
        <v/>
      </c>
      <c r="AB200" s="182">
        <f>ROUND(#REF!+#REF!+#REF!+预安排!#REF!+#REF!+'6月'!AB200,5)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193">
        <f>计划!O200-O200</f>
        <v/>
      </c>
      <c r="AH200" s="193">
        <f>ROUND(AG200/$AH$1,2)</f>
        <v/>
      </c>
    </row>
    <row r="201" customFormat="1" s="1">
      <c r="A201" s="234" t="n"/>
      <c r="B201" s="231" t="inlineStr">
        <is>
          <t>SKU-ED5BD0B6</t>
        </is>
      </c>
      <c r="C201" s="231" t="inlineStr">
        <is>
          <t>是</t>
        </is>
      </c>
      <c r="D201" s="231" t="n">
        <v>11</v>
      </c>
      <c r="E201" s="231" t="inlineStr"/>
      <c r="F201" s="231" t="inlineStr"/>
      <c r="G201" s="231" t="inlineStr"/>
      <c r="H201" s="231" t="inlineStr"/>
      <c r="I201" s="231" t="inlineStr"/>
      <c r="J201" s="27" t="inlineStr">
        <is>
          <t>共</t>
        </is>
      </c>
      <c r="K201" s="27" t="inlineStr"/>
      <c r="L201" s="231" t="n">
        <v>100</v>
      </c>
      <c r="M201" s="19" t="inlineStr">
        <is>
          <t>Product-37500256</t>
        </is>
      </c>
      <c r="N201" s="231" t="n">
        <v>1</v>
      </c>
      <c r="O201" s="181">
        <f>SUM(P201:AB201)</f>
        <v/>
      </c>
      <c r="P201" s="182">
        <f>ROUND(#REF!+#REF!+#REF!+预安排!F209+#REF!+'6月'!P201,5)</f>
        <v/>
      </c>
      <c r="Q201" s="182">
        <f>ROUND(#REF!+#REF!+#REF!+预安排!#REF!+#REF!+'6月'!Q201,5)</f>
        <v/>
      </c>
      <c r="R201" s="182">
        <f>ROUND(#REF!+#REF!+#REF!+预安排!G209+#REF!+'6月'!R201,5)</f>
        <v/>
      </c>
      <c r="S201" s="182">
        <f>ROUND(#REF!+#REF!+#REF!+预安排!#REF!+#REF!+'6月'!S201,5)</f>
        <v/>
      </c>
      <c r="T201" s="182">
        <f>ROUND(#REF!+#REF!+#REF!+预安排!#REF!+#REF!+'6月'!T201,5)</f>
        <v/>
      </c>
      <c r="U201" s="182">
        <f>ROUND(#REF!+#REF!+#REF!+预安排!O209+#REF!+'6月'!U201,5)</f>
        <v/>
      </c>
      <c r="V201" s="182">
        <f>ROUND(#REF!+#REF!+#REF!+预安排!P209+#REF!+'6月'!V201,5)</f>
        <v/>
      </c>
      <c r="W201" s="182">
        <f>ROUND(#REF!+#REF!+#REF!+预安排!Q209+#REF!+'6月'!W201,5)</f>
        <v/>
      </c>
      <c r="X201" s="182">
        <f>ROUND(#REF!+#REF!+#REF!+预安排!R209+#REF!+'6月'!X201,5)</f>
        <v/>
      </c>
      <c r="Y201" s="182">
        <f>ROUND(#REF!+#REF!+#REF!+预安排!S209+#REF!+'6月'!Y201,5)</f>
        <v/>
      </c>
      <c r="Z201" s="182">
        <f>ROUND(#REF!+#REF!+#REF!+预安排!#REF!+#REF!+'6月'!Z201,5)</f>
        <v/>
      </c>
      <c r="AA201" s="182">
        <f>ROUND(#REF!+#REF!+#REF!+预安排!#REF!+#REF!+'6月'!AA201,5)</f>
        <v/>
      </c>
      <c r="AB201" s="182">
        <f>ROUND(#REF!+#REF!+#REF!+预安排!#REF!+#REF!+'6月'!AB201,5)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193">
        <f>计划!O201-O201</f>
        <v/>
      </c>
      <c r="AH201" s="193">
        <f>ROUND(AG201/$AH$1,2)</f>
        <v/>
      </c>
    </row>
    <row r="202" customFormat="1" s="1">
      <c r="A202" s="234" t="n"/>
      <c r="B202" s="231" t="inlineStr">
        <is>
          <t>SKU-CC550B39</t>
        </is>
      </c>
      <c r="C202" s="231" t="inlineStr">
        <is>
          <t>是</t>
        </is>
      </c>
      <c r="D202" s="231" t="n">
        <v>8</v>
      </c>
      <c r="E202" s="231" t="inlineStr">
        <is>
          <t>是</t>
        </is>
      </c>
      <c r="F202" s="231" t="inlineStr"/>
      <c r="G202" s="231" t="inlineStr"/>
      <c r="H202" s="231" t="inlineStr"/>
      <c r="I202" s="231" t="inlineStr">
        <is>
          <t>是</t>
        </is>
      </c>
      <c r="J202" s="27" t="inlineStr"/>
      <c r="K202" s="27" t="inlineStr"/>
      <c r="L202" s="231" t="n">
        <v>100</v>
      </c>
      <c r="M202" s="19" t="inlineStr">
        <is>
          <t>Product-A79881AA</t>
        </is>
      </c>
      <c r="N202" s="231" t="n">
        <v>2</v>
      </c>
      <c r="O202" s="181">
        <f>SUM(P202:AB202)</f>
        <v/>
      </c>
      <c r="P202" s="182">
        <f>ROUND(#REF!+#REF!+#REF!+预安排!F210+#REF!+'6月'!P202,5)</f>
        <v/>
      </c>
      <c r="Q202" s="182">
        <f>ROUND(#REF!+#REF!+#REF!+预安排!#REF!+#REF!+'6月'!Q202,5)</f>
        <v/>
      </c>
      <c r="R202" s="182">
        <f>ROUND(#REF!+#REF!+#REF!+预安排!G210+#REF!+'6月'!R202,5)</f>
        <v/>
      </c>
      <c r="S202" s="182">
        <f>ROUND(#REF!+#REF!+#REF!+预安排!#REF!+#REF!+'6月'!S202,5)</f>
        <v/>
      </c>
      <c r="T202" s="182">
        <f>ROUND(#REF!+#REF!+#REF!+预安排!#REF!+#REF!+'6月'!T202,5)</f>
        <v/>
      </c>
      <c r="U202" s="182">
        <f>ROUND(#REF!+#REF!+#REF!+预安排!O210+#REF!+'6月'!U202,5)</f>
        <v/>
      </c>
      <c r="V202" s="182">
        <f>ROUND(#REF!+#REF!+#REF!+预安排!P210+#REF!+'6月'!V202,5)</f>
        <v/>
      </c>
      <c r="W202" s="182">
        <f>ROUND(#REF!+#REF!+#REF!+预安排!Q210+#REF!+'6月'!W202,5)</f>
        <v/>
      </c>
      <c r="X202" s="182">
        <f>ROUND(#REF!+#REF!+#REF!+预安排!R210+#REF!+'6月'!X202,5)</f>
        <v/>
      </c>
      <c r="Y202" s="182">
        <f>ROUND(#REF!+#REF!+#REF!+预安排!S210+#REF!+'6月'!Y202,5)</f>
        <v/>
      </c>
      <c r="Z202" s="182">
        <f>ROUND(#REF!+#REF!+#REF!+预安排!#REF!+#REF!+'6月'!Z202,5)</f>
        <v/>
      </c>
      <c r="AA202" s="182">
        <f>ROUND(#REF!+#REF!+#REF!+预安排!#REF!+#REF!+'6月'!AA202,5)</f>
        <v/>
      </c>
      <c r="AB202" s="182">
        <f>ROUND(#REF!+#REF!+#REF!+预安排!#REF!+#REF!+'6月'!AB202,5)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193">
        <f>计划!O202-O202</f>
        <v/>
      </c>
      <c r="AH202" s="193">
        <f>ROUND(AG202/$AH$1,2)</f>
        <v/>
      </c>
    </row>
    <row r="203" customFormat="1" s="1">
      <c r="A203" s="234" t="n"/>
      <c r="B203" s="231" t="inlineStr">
        <is>
          <t>SKU-B8E6833E</t>
        </is>
      </c>
      <c r="C203" s="231" t="inlineStr">
        <is>
          <t>是</t>
        </is>
      </c>
      <c r="D203" s="231" t="n">
        <v>7</v>
      </c>
      <c r="E203" s="231" t="inlineStr">
        <is>
          <t>是</t>
        </is>
      </c>
      <c r="F203" s="231" t="inlineStr"/>
      <c r="G203" s="231" t="inlineStr"/>
      <c r="H203" s="231" t="inlineStr"/>
      <c r="I203" s="231" t="inlineStr">
        <is>
          <t>是</t>
        </is>
      </c>
      <c r="J203" s="27" t="inlineStr">
        <is>
          <t>共</t>
        </is>
      </c>
      <c r="K203" s="27" t="inlineStr"/>
      <c r="L203" s="231" t="n">
        <v>100</v>
      </c>
      <c r="M203" s="19" t="inlineStr">
        <is>
          <t>Product-54830959</t>
        </is>
      </c>
      <c r="N203" s="231" t="n">
        <v>1</v>
      </c>
      <c r="O203" s="181">
        <f>SUM(P203:AB203)</f>
        <v/>
      </c>
      <c r="P203" s="182">
        <f>ROUND(#REF!+#REF!+#REF!+预安排!F211+#REF!+'6月'!P203,5)</f>
        <v/>
      </c>
      <c r="Q203" s="182">
        <f>ROUND(#REF!+#REF!+#REF!+预安排!#REF!+#REF!+'6月'!Q203,5)</f>
        <v/>
      </c>
      <c r="R203" s="182">
        <f>ROUND(#REF!+#REF!+#REF!+预安排!G211+#REF!+'6月'!R203,5)</f>
        <v/>
      </c>
      <c r="S203" s="182">
        <f>ROUND(#REF!+#REF!+#REF!+预安排!#REF!+#REF!+'6月'!S203,5)</f>
        <v/>
      </c>
      <c r="T203" s="182">
        <f>ROUND(#REF!+#REF!+#REF!+预安排!#REF!+#REF!+'6月'!T203,5)</f>
        <v/>
      </c>
      <c r="U203" s="182">
        <f>ROUND(#REF!+#REF!+#REF!+预安排!O211+#REF!+'6月'!U203,5)</f>
        <v/>
      </c>
      <c r="V203" s="182">
        <f>ROUND(#REF!+#REF!+#REF!+预安排!P211+#REF!+'6月'!V203,5)</f>
        <v/>
      </c>
      <c r="W203" s="182">
        <f>ROUND(#REF!+#REF!+#REF!+预安排!Q211+#REF!+'6月'!W203,5)</f>
        <v/>
      </c>
      <c r="X203" s="182">
        <f>ROUND(#REF!+#REF!+#REF!+预安排!R211+#REF!+'6月'!X203,5)</f>
        <v/>
      </c>
      <c r="Y203" s="182">
        <f>ROUND(#REF!+#REF!+#REF!+预安排!S211+#REF!+'6月'!Y203,5)</f>
        <v/>
      </c>
      <c r="Z203" s="182">
        <f>ROUND(#REF!+#REF!+#REF!+预安排!#REF!+#REF!+'6月'!Z203,5)</f>
        <v/>
      </c>
      <c r="AA203" s="182">
        <f>ROUND(#REF!+#REF!+#REF!+预安排!#REF!+#REF!+'6月'!AA203,5)</f>
        <v/>
      </c>
      <c r="AB203" s="182">
        <f>ROUND(#REF!+#REF!+#REF!+预安排!#REF!+#REF!+'6月'!AB203,5)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193">
        <f>计划!O203-O203</f>
        <v/>
      </c>
      <c r="AH203" s="193">
        <f>ROUND(AG203/$AH$1,2)</f>
        <v/>
      </c>
    </row>
    <row r="204" customFormat="1" s="1">
      <c r="A204" s="234" t="n"/>
      <c r="B204" s="231" t="inlineStr">
        <is>
          <t>SKU-BDBE5AF3</t>
        </is>
      </c>
      <c r="C204" s="231" t="inlineStr">
        <is>
          <t>是</t>
        </is>
      </c>
      <c r="D204" s="231" t="n">
        <v>10</v>
      </c>
      <c r="E204" s="231" t="inlineStr"/>
      <c r="F204" s="231" t="inlineStr"/>
      <c r="G204" s="231" t="inlineStr"/>
      <c r="H204" s="231" t="inlineStr"/>
      <c r="I204" s="231" t="inlineStr"/>
      <c r="J204" s="27" t="inlineStr">
        <is>
          <t>共</t>
        </is>
      </c>
      <c r="K204" s="27" t="inlineStr"/>
      <c r="L204" s="231" t="n">
        <v>100</v>
      </c>
      <c r="M204" s="19" t="inlineStr">
        <is>
          <t>Product-D0D1552E</t>
        </is>
      </c>
      <c r="N204" s="231" t="n">
        <v>1</v>
      </c>
      <c r="O204" s="181">
        <f>SUM(P204:AB204)</f>
        <v/>
      </c>
      <c r="P204" s="182">
        <f>ROUND(#REF!+#REF!+#REF!+预安排!F212+#REF!+'6月'!P204,5)</f>
        <v/>
      </c>
      <c r="Q204" s="182">
        <f>ROUND(#REF!+#REF!+#REF!+预安排!#REF!+#REF!+'6月'!Q204,5)</f>
        <v/>
      </c>
      <c r="R204" s="182">
        <f>ROUND(#REF!+#REF!+#REF!+预安排!G212+#REF!+'6月'!R204,5)</f>
        <v/>
      </c>
      <c r="S204" s="182">
        <f>ROUND(#REF!+#REF!+#REF!+预安排!#REF!+#REF!+'6月'!S204,5)</f>
        <v/>
      </c>
      <c r="T204" s="182">
        <f>ROUND(#REF!+#REF!+#REF!+预安排!#REF!+#REF!+'6月'!T204,5)</f>
        <v/>
      </c>
      <c r="U204" s="182">
        <f>ROUND(#REF!+#REF!+#REF!+预安排!O212+#REF!+'6月'!U204,5)</f>
        <v/>
      </c>
      <c r="V204" s="182">
        <f>ROUND(#REF!+#REF!+#REF!+预安排!P212+#REF!+'6月'!V204,5)</f>
        <v/>
      </c>
      <c r="W204" s="182">
        <f>ROUND(#REF!+#REF!+#REF!+预安排!Q212+#REF!+'6月'!W204,5)</f>
        <v/>
      </c>
      <c r="X204" s="182">
        <f>ROUND(#REF!+#REF!+#REF!+预安排!R212+#REF!+'6月'!X204,5)</f>
        <v/>
      </c>
      <c r="Y204" s="182">
        <f>ROUND(#REF!+#REF!+#REF!+预安排!S212+#REF!+'6月'!Y204,5)</f>
        <v/>
      </c>
      <c r="Z204" s="182">
        <f>ROUND(#REF!+#REF!+#REF!+预安排!#REF!+#REF!+'6月'!Z204,5)</f>
        <v/>
      </c>
      <c r="AA204" s="182">
        <f>ROUND(#REF!+#REF!+#REF!+预安排!#REF!+#REF!+'6月'!AA204,5)</f>
        <v/>
      </c>
      <c r="AB204" s="182">
        <f>ROUND(#REF!+#REF!+#REF!+预安排!#REF!+#REF!+'6月'!AB204,5)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193">
        <f>计划!O204-O204</f>
        <v/>
      </c>
      <c r="AH204" s="193">
        <f>ROUND(AG204/$AH$1,2)</f>
        <v/>
      </c>
    </row>
    <row r="205" customFormat="1" s="1">
      <c r="A205" s="234" t="n"/>
      <c r="B205" s="231" t="inlineStr">
        <is>
          <t>SKU-79826401</t>
        </is>
      </c>
      <c r="C205" s="231" t="inlineStr">
        <is>
          <t>是</t>
        </is>
      </c>
      <c r="D205" s="231" t="n">
        <v>8</v>
      </c>
      <c r="E205" s="231" t="inlineStr"/>
      <c r="F205" s="231" t="inlineStr"/>
      <c r="G205" s="231" t="inlineStr"/>
      <c r="H205" s="231" t="inlineStr"/>
      <c r="I205" s="231" t="inlineStr"/>
      <c r="J205" s="27" t="inlineStr"/>
      <c r="K205" s="27" t="inlineStr"/>
      <c r="L205" s="231" t="n">
        <v>100</v>
      </c>
      <c r="M205" s="19" t="inlineStr">
        <is>
          <t>Product-452F733D</t>
        </is>
      </c>
      <c r="N205" s="231" t="n">
        <v>3</v>
      </c>
      <c r="O205" s="181">
        <f>SUM(P205:AB205)</f>
        <v/>
      </c>
      <c r="P205" s="182">
        <f>ROUND(#REF!+#REF!+#REF!+预安排!F213+#REF!+'6月'!P205,5)</f>
        <v/>
      </c>
      <c r="Q205" s="182">
        <f>ROUND(#REF!+#REF!+#REF!+预安排!#REF!+#REF!+'6月'!Q205,5)</f>
        <v/>
      </c>
      <c r="R205" s="182">
        <f>ROUND(#REF!+#REF!+#REF!+预安排!G213+#REF!+'6月'!R205,5)</f>
        <v/>
      </c>
      <c r="S205" s="182">
        <f>ROUND(#REF!+#REF!+#REF!+预安排!#REF!+#REF!+'6月'!S205,5)</f>
        <v/>
      </c>
      <c r="T205" s="182">
        <f>ROUND(#REF!+#REF!+#REF!+预安排!#REF!+#REF!+'6月'!T205,5)</f>
        <v/>
      </c>
      <c r="U205" s="182">
        <f>ROUND(#REF!+#REF!+#REF!+预安排!O213+#REF!+'6月'!U205,5)</f>
        <v/>
      </c>
      <c r="V205" s="182">
        <f>ROUND(#REF!+#REF!+#REF!+预安排!P213+#REF!+'6月'!V205,5)</f>
        <v/>
      </c>
      <c r="W205" s="182">
        <f>ROUND(#REF!+#REF!+#REF!+预安排!Q213+#REF!+'6月'!W205,5)</f>
        <v/>
      </c>
      <c r="X205" s="182">
        <f>ROUND(#REF!+#REF!+#REF!+预安排!R213+#REF!+'6月'!X205,5)</f>
        <v/>
      </c>
      <c r="Y205" s="182">
        <f>ROUND(#REF!+#REF!+#REF!+预安排!S213+#REF!+'6月'!Y205,5)</f>
        <v/>
      </c>
      <c r="Z205" s="182">
        <f>ROUND(#REF!+#REF!+#REF!+预安排!#REF!+#REF!+'6月'!Z205,5)</f>
        <v/>
      </c>
      <c r="AA205" s="182">
        <f>ROUND(#REF!+#REF!+#REF!+预安排!#REF!+#REF!+'6月'!AA205,5)</f>
        <v/>
      </c>
      <c r="AB205" s="182">
        <f>ROUND(#REF!+#REF!+#REF!+预安排!#REF!+#REF!+'6月'!AB205,5)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193">
        <f>计划!O205-O205</f>
        <v/>
      </c>
      <c r="AH205" s="193">
        <f>ROUND(AG205/$AH$1,2)</f>
        <v/>
      </c>
    </row>
    <row r="206" customFormat="1" s="1">
      <c r="A206" s="234" t="n"/>
      <c r="B206" s="231" t="inlineStr">
        <is>
          <t>SKU-DB6C02A0</t>
        </is>
      </c>
      <c r="C206" s="231" t="inlineStr">
        <is>
          <t>是</t>
        </is>
      </c>
      <c r="D206" s="231" t="n">
        <v>10</v>
      </c>
      <c r="E206" s="231" t="inlineStr"/>
      <c r="F206" s="231" t="inlineStr"/>
      <c r="G206" s="231" t="inlineStr"/>
      <c r="H206" s="231" t="inlineStr"/>
      <c r="I206" s="231" t="inlineStr"/>
      <c r="J206" s="27" t="inlineStr"/>
      <c r="K206" s="27" t="inlineStr"/>
      <c r="L206" s="231" t="n">
        <v>100</v>
      </c>
      <c r="M206" s="19" t="inlineStr">
        <is>
          <t>Product-18DC03C1</t>
        </is>
      </c>
      <c r="N206" s="231" t="n">
        <v>2</v>
      </c>
      <c r="O206" s="181">
        <f>SUM(P206:AB206)</f>
        <v/>
      </c>
      <c r="P206" s="182">
        <f>ROUND(#REF!+#REF!+#REF!+预安排!F214+#REF!+'6月'!P206,5)</f>
        <v/>
      </c>
      <c r="Q206" s="182">
        <f>ROUND(#REF!+#REF!+#REF!+预安排!#REF!+#REF!+'6月'!Q206,5)</f>
        <v/>
      </c>
      <c r="R206" s="182">
        <f>ROUND(#REF!+#REF!+#REF!+预安排!G214+#REF!+'6月'!R206,5)</f>
        <v/>
      </c>
      <c r="S206" s="182">
        <f>ROUND(#REF!+#REF!+#REF!+预安排!#REF!+#REF!+'6月'!S206,5)</f>
        <v/>
      </c>
      <c r="T206" s="182">
        <f>ROUND(#REF!+#REF!+#REF!+预安排!#REF!+#REF!+'6月'!T206,5)</f>
        <v/>
      </c>
      <c r="U206" s="182">
        <f>ROUND(#REF!+#REF!+#REF!+预安排!O214+#REF!+'6月'!U206,5)</f>
        <v/>
      </c>
      <c r="V206" s="182">
        <f>ROUND(#REF!+#REF!+#REF!+预安排!P214+#REF!+'6月'!V206,5)</f>
        <v/>
      </c>
      <c r="W206" s="182">
        <f>ROUND(#REF!+#REF!+#REF!+预安排!Q214+#REF!+'6月'!W206,5)</f>
        <v/>
      </c>
      <c r="X206" s="182">
        <f>ROUND(#REF!+#REF!+#REF!+预安排!R214+#REF!+'6月'!X206,5)</f>
        <v/>
      </c>
      <c r="Y206" s="182">
        <f>ROUND(#REF!+#REF!+#REF!+预安排!S214+#REF!+'6月'!Y206,5)</f>
        <v/>
      </c>
      <c r="Z206" s="182">
        <f>ROUND(#REF!+#REF!+#REF!+预安排!#REF!+#REF!+'6月'!Z206,5)</f>
        <v/>
      </c>
      <c r="AA206" s="182">
        <f>ROUND(#REF!+#REF!+#REF!+预安排!#REF!+#REF!+'6月'!AA206,5)</f>
        <v/>
      </c>
      <c r="AB206" s="182">
        <f>ROUND(#REF!+#REF!+#REF!+预安排!#REF!+#REF!+'6月'!AB206,5)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193">
        <f>计划!O206-O206</f>
        <v/>
      </c>
      <c r="AH206" s="193">
        <f>ROUND(AG206/$AH$1,2)</f>
        <v/>
      </c>
    </row>
    <row r="207" customFormat="1" s="1">
      <c r="A207" s="234" t="n"/>
      <c r="B207" s="231" t="inlineStr">
        <is>
          <t>SKU-E14497CA</t>
        </is>
      </c>
      <c r="C207" s="231" t="inlineStr">
        <is>
          <t>是</t>
        </is>
      </c>
      <c r="D207" s="231" t="n">
        <v>11</v>
      </c>
      <c r="E207" s="231" t="inlineStr"/>
      <c r="F207" s="231" t="inlineStr"/>
      <c r="G207" s="231" t="inlineStr"/>
      <c r="H207" s="231" t="inlineStr"/>
      <c r="I207" s="231" t="inlineStr"/>
      <c r="J207" s="27" t="inlineStr">
        <is>
          <t>共</t>
        </is>
      </c>
      <c r="K207" s="27" t="inlineStr"/>
      <c r="L207" s="231" t="n">
        <v>100</v>
      </c>
      <c r="M207" s="19" t="inlineStr">
        <is>
          <t>Product-AC3C224F</t>
        </is>
      </c>
      <c r="N207" s="231" t="n">
        <v>1</v>
      </c>
      <c r="O207" s="181">
        <f>SUM(P207:AB207)</f>
        <v/>
      </c>
      <c r="P207" s="182">
        <f>ROUND(#REF!+#REF!+#REF!+预安排!F215+#REF!+'6月'!P207,5)</f>
        <v/>
      </c>
      <c r="Q207" s="182">
        <f>ROUND(#REF!+#REF!+#REF!+预安排!#REF!+#REF!+'6月'!Q207,5)</f>
        <v/>
      </c>
      <c r="R207" s="182">
        <f>ROUND(#REF!+#REF!+#REF!+预安排!G215+#REF!+'6月'!R207,5)</f>
        <v/>
      </c>
      <c r="S207" s="182">
        <f>ROUND(#REF!+#REF!+#REF!+预安排!#REF!+#REF!+'6月'!S207,5)</f>
        <v/>
      </c>
      <c r="T207" s="182">
        <f>ROUND(#REF!+#REF!+#REF!+预安排!#REF!+#REF!+'6月'!T207,5)</f>
        <v/>
      </c>
      <c r="U207" s="182">
        <f>ROUND(#REF!+#REF!+#REF!+预安排!O215+#REF!+'6月'!U207,5)</f>
        <v/>
      </c>
      <c r="V207" s="182">
        <f>ROUND(#REF!+#REF!+#REF!+预安排!P215+#REF!+'6月'!V207,5)</f>
        <v/>
      </c>
      <c r="W207" s="182">
        <f>ROUND(#REF!+#REF!+#REF!+预安排!Q215+#REF!+'6月'!W207,5)</f>
        <v/>
      </c>
      <c r="X207" s="182">
        <f>ROUND(#REF!+#REF!+#REF!+预安排!R215+#REF!+'6月'!X207,5)</f>
        <v/>
      </c>
      <c r="Y207" s="182">
        <f>ROUND(#REF!+#REF!+#REF!+预安排!S215+#REF!+'6月'!Y207,5)</f>
        <v/>
      </c>
      <c r="Z207" s="182">
        <f>ROUND(#REF!+#REF!+#REF!+预安排!#REF!+#REF!+'6月'!Z207,5)</f>
        <v/>
      </c>
      <c r="AA207" s="182">
        <f>ROUND(#REF!+#REF!+#REF!+预安排!#REF!+#REF!+'6月'!AA207,5)</f>
        <v/>
      </c>
      <c r="AB207" s="182">
        <f>ROUND(#REF!+#REF!+#REF!+预安排!#REF!+#REF!+'6月'!AB207,5)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193">
        <f>计划!O207-O207</f>
        <v/>
      </c>
      <c r="AH207" s="193">
        <f>ROUND(AG207/$AH$1,2)</f>
        <v/>
      </c>
    </row>
    <row r="208" customFormat="1" s="1">
      <c r="A208" s="234" t="n"/>
      <c r="B208" s="231" t="inlineStr">
        <is>
          <t>SKU-6CCA830B</t>
        </is>
      </c>
      <c r="C208" s="231" t="inlineStr">
        <is>
          <t>是</t>
        </is>
      </c>
      <c r="D208" s="231" t="n">
        <v>10</v>
      </c>
      <c r="E208" s="231" t="inlineStr"/>
      <c r="F208" s="231" t="inlineStr"/>
      <c r="G208" s="231" t="inlineStr"/>
      <c r="H208" s="231" t="inlineStr"/>
      <c r="I208" s="231" t="inlineStr"/>
      <c r="J208" s="27" t="inlineStr"/>
      <c r="K208" s="27" t="inlineStr"/>
      <c r="L208" s="231" t="n">
        <v>100</v>
      </c>
      <c r="M208" s="44" t="inlineStr">
        <is>
          <t>Product-CA7C0C7F</t>
        </is>
      </c>
      <c r="N208" s="231" t="n">
        <v>1</v>
      </c>
      <c r="O208" s="181">
        <f>SUM(P208:AB208)</f>
        <v/>
      </c>
      <c r="P208" s="182">
        <f>ROUND(#REF!+#REF!+#REF!+预安排!F216+#REF!+'6月'!P208,5)</f>
        <v/>
      </c>
      <c r="Q208" s="182">
        <f>ROUND(#REF!+#REF!+#REF!+预安排!#REF!+#REF!+'6月'!Q208,5)</f>
        <v/>
      </c>
      <c r="R208" s="182">
        <f>ROUND(#REF!+#REF!+#REF!+预安排!G216+#REF!+'6月'!R208,5)</f>
        <v/>
      </c>
      <c r="S208" s="182">
        <f>ROUND(#REF!+#REF!+#REF!+预安排!#REF!+#REF!+'6月'!S208,5)</f>
        <v/>
      </c>
      <c r="T208" s="182">
        <f>ROUND(#REF!+#REF!+#REF!+预安排!#REF!+#REF!+'6月'!T208,5)</f>
        <v/>
      </c>
      <c r="U208" s="182">
        <f>ROUND(#REF!+#REF!+#REF!+预安排!O216+#REF!+'6月'!U208,5)</f>
        <v/>
      </c>
      <c r="V208" s="182">
        <f>ROUND(#REF!+#REF!+#REF!+预安排!P216+#REF!+'6月'!V208,5)</f>
        <v/>
      </c>
      <c r="W208" s="182">
        <f>ROUND(#REF!+#REF!+#REF!+预安排!Q216+#REF!+'6月'!W208,5)</f>
        <v/>
      </c>
      <c r="X208" s="182">
        <f>ROUND(#REF!+#REF!+#REF!+预安排!R216+#REF!+'6月'!X208,5)</f>
        <v/>
      </c>
      <c r="Y208" s="182">
        <f>ROUND(#REF!+#REF!+#REF!+预安排!S216+#REF!+'6月'!Y208,5)</f>
        <v/>
      </c>
      <c r="Z208" s="182">
        <f>ROUND(#REF!+#REF!+#REF!+预安排!#REF!+#REF!+'6月'!Z208,5)</f>
        <v/>
      </c>
      <c r="AA208" s="182">
        <f>ROUND(#REF!+#REF!+#REF!+预安排!#REF!+#REF!+'6月'!AA208,5)</f>
        <v/>
      </c>
      <c r="AB208" s="182">
        <f>ROUND(#REF!+#REF!+#REF!+预安排!#REF!+#REF!+'6月'!AB208,5)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193">
        <f>计划!O208-O208</f>
        <v/>
      </c>
      <c r="AH208" s="193">
        <f>ROUND(AG208/$AH$1,2)</f>
        <v/>
      </c>
    </row>
    <row r="209" customFormat="1" s="1">
      <c r="A209" s="234" t="n"/>
      <c r="B209" s="231" t="inlineStr">
        <is>
          <t>SKU-E3215199</t>
        </is>
      </c>
      <c r="C209" s="231" t="inlineStr">
        <is>
          <t>是</t>
        </is>
      </c>
      <c r="D209" s="231" t="n">
        <v>8</v>
      </c>
      <c r="E209" s="231" t="inlineStr">
        <is>
          <t>是</t>
        </is>
      </c>
      <c r="F209" s="231" t="inlineStr"/>
      <c r="G209" s="231" t="inlineStr"/>
      <c r="H209" s="231" t="inlineStr">
        <is>
          <t>是</t>
        </is>
      </c>
      <c r="I209" s="231" t="inlineStr">
        <is>
          <t>是</t>
        </is>
      </c>
      <c r="J209" s="27" t="inlineStr"/>
      <c r="K209" s="27" t="inlineStr"/>
      <c r="L209" s="231" t="n">
        <v>100</v>
      </c>
      <c r="M209" s="19" t="inlineStr">
        <is>
          <t>Product-785E134D</t>
        </is>
      </c>
      <c r="N209" s="231" t="n">
        <v>1</v>
      </c>
      <c r="O209" s="181">
        <f>SUM(P209:AB209)</f>
        <v/>
      </c>
      <c r="P209" s="182">
        <f>ROUND(#REF!+#REF!+#REF!+预安排!F217+#REF!+'6月'!P209,5)</f>
        <v/>
      </c>
      <c r="Q209" s="182">
        <f>ROUND(#REF!+#REF!+#REF!+预安排!#REF!+#REF!+'6月'!Q209,5)</f>
        <v/>
      </c>
      <c r="R209" s="182">
        <f>ROUND(#REF!+#REF!+#REF!+预安排!G217+#REF!+'6月'!R209,5)</f>
        <v/>
      </c>
      <c r="S209" s="182">
        <f>ROUND(#REF!+#REF!+#REF!+预安排!#REF!+#REF!+'6月'!S209,5)</f>
        <v/>
      </c>
      <c r="T209" s="182">
        <f>ROUND(#REF!+#REF!+#REF!+预安排!#REF!+#REF!+'6月'!T209,5)</f>
        <v/>
      </c>
      <c r="U209" s="182">
        <f>ROUND(#REF!+#REF!+#REF!+预安排!O217+#REF!+'6月'!U209,5)</f>
        <v/>
      </c>
      <c r="V209" s="182">
        <f>ROUND(#REF!+#REF!+#REF!+预安排!P217+#REF!+'6月'!V209,5)</f>
        <v/>
      </c>
      <c r="W209" s="182">
        <f>ROUND(#REF!+#REF!+#REF!+预安排!Q217+#REF!+'6月'!W209,5)</f>
        <v/>
      </c>
      <c r="X209" s="182">
        <f>ROUND(#REF!+#REF!+#REF!+预安排!R217+#REF!+'6月'!X209,5)</f>
        <v/>
      </c>
      <c r="Y209" s="182">
        <f>ROUND(#REF!+#REF!+#REF!+预安排!S217+#REF!+'6月'!Y209,5)</f>
        <v/>
      </c>
      <c r="Z209" s="182">
        <f>ROUND(#REF!+#REF!+#REF!+预安排!#REF!+#REF!+'6月'!Z209,5)</f>
        <v/>
      </c>
      <c r="AA209" s="182">
        <f>ROUND(#REF!+#REF!+#REF!+预安排!#REF!+#REF!+'6月'!AA209,5)</f>
        <v/>
      </c>
      <c r="AB209" s="182">
        <f>ROUND(#REF!+#REF!+#REF!+预安排!#REF!+#REF!+'6月'!AB209,5)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193">
        <f>计划!O209-O209</f>
        <v/>
      </c>
      <c r="AH209" s="193">
        <f>ROUND(AG209/$AH$1,2)</f>
        <v/>
      </c>
    </row>
    <row r="210" customFormat="1" s="1">
      <c r="A210" s="234" t="n"/>
      <c r="B210" s="231" t="inlineStr">
        <is>
          <t>SKU-68F79613</t>
        </is>
      </c>
      <c r="C210" s="231" t="inlineStr">
        <is>
          <t>是</t>
        </is>
      </c>
      <c r="D210" s="231" t="n">
        <v>10</v>
      </c>
      <c r="E210" s="231" t="inlineStr"/>
      <c r="F210" s="231" t="inlineStr">
        <is>
          <t>是</t>
        </is>
      </c>
      <c r="G210" s="231" t="inlineStr"/>
      <c r="H210" s="231" t="inlineStr"/>
      <c r="I210" s="231" t="inlineStr">
        <is>
          <t>是</t>
        </is>
      </c>
      <c r="J210" s="27" t="inlineStr">
        <is>
          <t>共</t>
        </is>
      </c>
      <c r="K210" s="27" t="inlineStr"/>
      <c r="L210" s="231" t="n">
        <v>100</v>
      </c>
      <c r="M210" s="19" t="inlineStr">
        <is>
          <t>Product-4107E6DB</t>
        </is>
      </c>
      <c r="N210" s="231" t="n">
        <v>1</v>
      </c>
      <c r="O210" s="181">
        <f>SUM(P210:AB210)</f>
        <v/>
      </c>
      <c r="P210" s="182">
        <f>ROUND(#REF!+#REF!+#REF!+预安排!F218+#REF!+'6月'!P210,5)</f>
        <v/>
      </c>
      <c r="Q210" s="182">
        <f>ROUND(#REF!+#REF!+#REF!+预安排!#REF!+#REF!+'6月'!Q210,5)</f>
        <v/>
      </c>
      <c r="R210" s="182">
        <f>ROUND(#REF!+#REF!+#REF!+预安排!G218+#REF!+'6月'!R210,5)</f>
        <v/>
      </c>
      <c r="S210" s="182">
        <f>ROUND(#REF!+#REF!+#REF!+预安排!#REF!+#REF!+'6月'!S210,5)</f>
        <v/>
      </c>
      <c r="T210" s="182">
        <f>ROUND(#REF!+#REF!+#REF!+预安排!#REF!+#REF!+'6月'!T210,5)</f>
        <v/>
      </c>
      <c r="U210" s="182">
        <f>ROUND(#REF!+#REF!+#REF!+预安排!O218+#REF!+'6月'!U210,5)</f>
        <v/>
      </c>
      <c r="V210" s="182">
        <f>ROUND(#REF!+#REF!+#REF!+预安排!P218+#REF!+'6月'!V210,5)</f>
        <v/>
      </c>
      <c r="W210" s="182">
        <f>ROUND(#REF!+#REF!+#REF!+预安排!Q218+#REF!+'6月'!W210,5)</f>
        <v/>
      </c>
      <c r="X210" s="182">
        <f>ROUND(#REF!+#REF!+#REF!+预安排!R218+#REF!+'6月'!X210,5)</f>
        <v/>
      </c>
      <c r="Y210" s="182">
        <f>ROUND(#REF!+#REF!+#REF!+预安排!S218+#REF!+'6月'!Y210,5)</f>
        <v/>
      </c>
      <c r="Z210" s="182">
        <f>ROUND(#REF!+#REF!+#REF!+预安排!#REF!+#REF!+'6月'!Z210,5)</f>
        <v/>
      </c>
      <c r="AA210" s="182">
        <f>ROUND(#REF!+#REF!+#REF!+预安排!#REF!+#REF!+'6月'!AA210,5)</f>
        <v/>
      </c>
      <c r="AB210" s="182">
        <f>ROUND(#REF!+#REF!+#REF!+预安排!#REF!+#REF!+'6月'!AB210,5)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193">
        <f>计划!O210-O210</f>
        <v/>
      </c>
      <c r="AH210" s="193">
        <f>ROUND(AG210/$AH$1,2)</f>
        <v/>
      </c>
    </row>
    <row r="211" customFormat="1" s="1">
      <c r="A211" s="234" t="n"/>
      <c r="B211" s="231" t="inlineStr">
        <is>
          <t>SKU-6E0FD480</t>
        </is>
      </c>
      <c r="C211" s="231" t="inlineStr">
        <is>
          <t>是</t>
        </is>
      </c>
      <c r="D211" s="231" t="n">
        <v>10</v>
      </c>
      <c r="E211" s="231" t="inlineStr"/>
      <c r="F211" s="231" t="inlineStr"/>
      <c r="G211" s="231" t="inlineStr"/>
      <c r="H211" s="231" t="inlineStr"/>
      <c r="I211" s="231" t="inlineStr"/>
      <c r="J211" s="27" t="inlineStr"/>
      <c r="K211" s="27" t="inlineStr"/>
      <c r="L211" s="231" t="n">
        <v>100</v>
      </c>
      <c r="M211" s="43" t="inlineStr">
        <is>
          <t>Product-0D40CFCC</t>
        </is>
      </c>
      <c r="N211" s="231" t="n">
        <v>1</v>
      </c>
      <c r="O211" s="181">
        <f>SUM(P211:AB211)</f>
        <v/>
      </c>
      <c r="P211" s="182">
        <f>ROUND(#REF!+#REF!+#REF!+预安排!F219+#REF!+'6月'!P211,5)</f>
        <v/>
      </c>
      <c r="Q211" s="182">
        <f>ROUND(#REF!+#REF!+#REF!+预安排!#REF!+#REF!+'6月'!Q211,5)</f>
        <v/>
      </c>
      <c r="R211" s="182">
        <f>ROUND(#REF!+#REF!+#REF!+预安排!G219+#REF!+'6月'!R211,5)</f>
        <v/>
      </c>
      <c r="S211" s="182">
        <f>ROUND(#REF!+#REF!+#REF!+预安排!#REF!+#REF!+'6月'!S211,5)</f>
        <v/>
      </c>
      <c r="T211" s="182">
        <f>ROUND(#REF!+#REF!+#REF!+预安排!#REF!+#REF!+'6月'!T211,5)</f>
        <v/>
      </c>
      <c r="U211" s="182">
        <f>ROUND(#REF!+#REF!+#REF!+预安排!O219+#REF!+'6月'!U211,5)</f>
        <v/>
      </c>
      <c r="V211" s="182">
        <f>ROUND(#REF!+#REF!+#REF!+预安排!P219+#REF!+'6月'!V211,5)</f>
        <v/>
      </c>
      <c r="W211" s="182">
        <f>ROUND(#REF!+#REF!+#REF!+预安排!Q219+#REF!+'6月'!W211,5)</f>
        <v/>
      </c>
      <c r="X211" s="182">
        <f>ROUND(#REF!+#REF!+#REF!+预安排!R219+#REF!+'6月'!X211,5)</f>
        <v/>
      </c>
      <c r="Y211" s="182">
        <f>ROUND(#REF!+#REF!+#REF!+预安排!S219+#REF!+'6月'!Y211,5)</f>
        <v/>
      </c>
      <c r="Z211" s="182">
        <f>ROUND(#REF!+#REF!+#REF!+预安排!#REF!+#REF!+'6月'!Z211,5)</f>
        <v/>
      </c>
      <c r="AA211" s="182">
        <f>ROUND(#REF!+#REF!+#REF!+预安排!#REF!+#REF!+'6月'!AA211,5)</f>
        <v/>
      </c>
      <c r="AB211" s="182">
        <f>ROUND(#REF!+#REF!+#REF!+预安排!#REF!+#REF!+'6月'!AB211,5)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193">
        <f>计划!O211-O211</f>
        <v/>
      </c>
      <c r="AH211" s="193">
        <f>ROUND(AG211/$AH$1,2)</f>
        <v/>
      </c>
    </row>
    <row r="212" customFormat="1" s="1">
      <c r="A212" s="234" t="n"/>
      <c r="B212" s="231" t="inlineStr">
        <is>
          <t>SKU-72F9B4C9</t>
        </is>
      </c>
      <c r="C212" s="231" t="inlineStr">
        <is>
          <t>是</t>
        </is>
      </c>
      <c r="D212" s="231" t="n">
        <v>5</v>
      </c>
      <c r="E212" s="231" t="inlineStr">
        <is>
          <t>是</t>
        </is>
      </c>
      <c r="F212" s="231" t="inlineStr"/>
      <c r="G212" s="231" t="inlineStr"/>
      <c r="H212" s="231" t="inlineStr"/>
      <c r="I212" s="231" t="inlineStr">
        <is>
          <t>是</t>
        </is>
      </c>
      <c r="J212" s="27" t="inlineStr"/>
      <c r="K212" s="27" t="inlineStr"/>
      <c r="L212" s="231" t="n">
        <v>100</v>
      </c>
      <c r="M212" s="45" t="inlineStr">
        <is>
          <t>Product-3E6ACFC9</t>
        </is>
      </c>
      <c r="N212" s="231" t="n">
        <v>1</v>
      </c>
      <c r="O212" s="181">
        <f>SUM(P212:AB212)</f>
        <v/>
      </c>
      <c r="P212" s="182">
        <f>ROUND(#REF!+#REF!+#REF!+预安排!F220+#REF!+'6月'!P212,5)</f>
        <v/>
      </c>
      <c r="Q212" s="182">
        <f>ROUND(#REF!+#REF!+#REF!+预安排!#REF!+#REF!+'6月'!Q212,5)</f>
        <v/>
      </c>
      <c r="R212" s="182">
        <f>ROUND(#REF!+#REF!+#REF!+预安排!G220+#REF!+'6月'!R212,5)</f>
        <v/>
      </c>
      <c r="S212" s="182">
        <f>ROUND(#REF!+#REF!+#REF!+预安排!#REF!+#REF!+'6月'!S212,5)</f>
        <v/>
      </c>
      <c r="T212" s="182">
        <f>ROUND(#REF!+#REF!+#REF!+预安排!#REF!+#REF!+'6月'!T212,5)</f>
        <v/>
      </c>
      <c r="U212" s="182">
        <f>ROUND(#REF!+#REF!+#REF!+预安排!O220+#REF!+'6月'!U212,5)</f>
        <v/>
      </c>
      <c r="V212" s="182">
        <f>ROUND(#REF!+#REF!+#REF!+预安排!P220+#REF!+'6月'!V212,5)</f>
        <v/>
      </c>
      <c r="W212" s="182">
        <f>ROUND(#REF!+#REF!+#REF!+预安排!Q220+#REF!+'6月'!W212,5)</f>
        <v/>
      </c>
      <c r="X212" s="182">
        <f>ROUND(#REF!+#REF!+#REF!+预安排!R220+#REF!+'6月'!X212,5)</f>
        <v/>
      </c>
      <c r="Y212" s="182">
        <f>ROUND(#REF!+#REF!+#REF!+预安排!S220+#REF!+'6月'!Y212,5)</f>
        <v/>
      </c>
      <c r="Z212" s="182">
        <f>ROUND(#REF!+#REF!+#REF!+预安排!#REF!+#REF!+'6月'!Z212,5)</f>
        <v/>
      </c>
      <c r="AA212" s="182">
        <f>ROUND(#REF!+#REF!+#REF!+预安排!#REF!+#REF!+'6月'!AA212,5)</f>
        <v/>
      </c>
      <c r="AB212" s="182">
        <f>ROUND(#REF!+#REF!+#REF!+预安排!#REF!+#REF!+'6月'!AB212,5)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193">
        <f>计划!O212-O212</f>
        <v/>
      </c>
      <c r="AH212" s="193">
        <f>ROUND(AG212/$AH$1,2)</f>
        <v/>
      </c>
    </row>
    <row r="213" customFormat="1" s="1">
      <c r="A213" s="234" t="n"/>
      <c r="B213" s="231" t="inlineStr">
        <is>
          <t>SKU-1F2C7CE6</t>
        </is>
      </c>
      <c r="C213" s="231" t="inlineStr">
        <is>
          <t>是</t>
        </is>
      </c>
      <c r="D213" s="231" t="n">
        <v>5</v>
      </c>
      <c r="E213" s="231" t="inlineStr">
        <is>
          <t>是</t>
        </is>
      </c>
      <c r="F213" s="231" t="inlineStr"/>
      <c r="G213" s="231" t="inlineStr"/>
      <c r="H213" s="231" t="inlineStr"/>
      <c r="I213" s="231" t="inlineStr">
        <is>
          <t>是</t>
        </is>
      </c>
      <c r="J213" s="27" t="inlineStr"/>
      <c r="K213" s="27" t="inlineStr"/>
      <c r="L213" s="231" t="n">
        <v>100</v>
      </c>
      <c r="M213" s="45" t="inlineStr">
        <is>
          <t>Product-54D1E3E5</t>
        </is>
      </c>
      <c r="N213" s="231" t="n">
        <v>1</v>
      </c>
      <c r="O213" s="181">
        <f>SUM(P213:AB213)</f>
        <v/>
      </c>
      <c r="P213" s="182">
        <f>ROUND(#REF!+#REF!+#REF!+预安排!F221+#REF!+'6月'!P213,5)</f>
        <v/>
      </c>
      <c r="Q213" s="182">
        <f>ROUND(#REF!+#REF!+#REF!+预安排!#REF!+#REF!+'6月'!Q213,5)</f>
        <v/>
      </c>
      <c r="R213" s="182">
        <f>ROUND(#REF!+#REF!+#REF!+预安排!G221+#REF!+'6月'!R213,5)</f>
        <v/>
      </c>
      <c r="S213" s="182">
        <f>ROUND(#REF!+#REF!+#REF!+预安排!#REF!+#REF!+'6月'!S213,5)</f>
        <v/>
      </c>
      <c r="T213" s="182">
        <f>ROUND(#REF!+#REF!+#REF!+预安排!#REF!+#REF!+'6月'!T213,5)</f>
        <v/>
      </c>
      <c r="U213" s="182">
        <f>ROUND(#REF!+#REF!+#REF!+预安排!O221+#REF!+'6月'!U213,5)</f>
        <v/>
      </c>
      <c r="V213" s="182">
        <f>ROUND(#REF!+#REF!+#REF!+预安排!P221+#REF!+'6月'!V213,5)</f>
        <v/>
      </c>
      <c r="W213" s="182">
        <f>ROUND(#REF!+#REF!+#REF!+预安排!Q221+#REF!+'6月'!W213,5)</f>
        <v/>
      </c>
      <c r="X213" s="182">
        <f>ROUND(#REF!+#REF!+#REF!+预安排!R221+#REF!+'6月'!X213,5)</f>
        <v/>
      </c>
      <c r="Y213" s="182">
        <f>ROUND(#REF!+#REF!+#REF!+预安排!S221+#REF!+'6月'!Y213,5)</f>
        <v/>
      </c>
      <c r="Z213" s="182">
        <f>ROUND(#REF!+#REF!+#REF!+预安排!#REF!+#REF!+'6月'!Z213,5)</f>
        <v/>
      </c>
      <c r="AA213" s="182">
        <f>ROUND(#REF!+#REF!+#REF!+预安排!#REF!+#REF!+'6月'!AA213,5)</f>
        <v/>
      </c>
      <c r="AB213" s="182">
        <f>ROUND(#REF!+#REF!+#REF!+预安排!#REF!+#REF!+'6月'!AB213,5)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193">
        <f>计划!O213-O213</f>
        <v/>
      </c>
      <c r="AH213" s="193">
        <f>ROUND(AG213/$AH$1,2)</f>
        <v/>
      </c>
    </row>
    <row r="214" customFormat="1" s="1">
      <c r="A214" s="234" t="n"/>
      <c r="B214" s="231" t="inlineStr">
        <is>
          <t>SKU-BA48AA06</t>
        </is>
      </c>
      <c r="C214" s="231" t="inlineStr">
        <is>
          <t>是</t>
        </is>
      </c>
      <c r="D214" s="231" t="n">
        <v>8</v>
      </c>
      <c r="E214" s="231" t="inlineStr"/>
      <c r="F214" s="231" t="inlineStr"/>
      <c r="G214" s="231" t="inlineStr"/>
      <c r="H214" s="231" t="inlineStr"/>
      <c r="I214" s="231" t="inlineStr"/>
      <c r="J214" s="27" t="inlineStr"/>
      <c r="K214" s="27" t="inlineStr"/>
      <c r="L214" s="231" t="n">
        <v>100</v>
      </c>
      <c r="M214" s="45" t="inlineStr">
        <is>
          <t>Product-51A3BAAC</t>
        </is>
      </c>
      <c r="N214" s="231" t="n">
        <v>1</v>
      </c>
      <c r="O214" s="181">
        <f>SUM(P214:AB214)</f>
        <v/>
      </c>
      <c r="P214" s="182">
        <f>ROUND(#REF!+#REF!+#REF!+预安排!F222+#REF!+'6月'!P214,5)</f>
        <v/>
      </c>
      <c r="Q214" s="182">
        <f>ROUND(#REF!+#REF!+#REF!+预安排!#REF!+#REF!+'6月'!Q214,5)</f>
        <v/>
      </c>
      <c r="R214" s="182">
        <f>ROUND(#REF!+#REF!+#REF!+预安排!G222+#REF!+'6月'!R214,5)</f>
        <v/>
      </c>
      <c r="S214" s="182">
        <f>ROUND(#REF!+#REF!+#REF!+预安排!#REF!+#REF!+'6月'!S214,5)</f>
        <v/>
      </c>
      <c r="T214" s="182">
        <f>ROUND(#REF!+#REF!+#REF!+预安排!#REF!+#REF!+'6月'!T214,5)</f>
        <v/>
      </c>
      <c r="U214" s="182">
        <f>ROUND(#REF!+#REF!+#REF!+预安排!O222+#REF!+'6月'!U214,5)</f>
        <v/>
      </c>
      <c r="V214" s="182">
        <f>ROUND(#REF!+#REF!+#REF!+预安排!P222+#REF!+'6月'!V214,5)</f>
        <v/>
      </c>
      <c r="W214" s="182">
        <f>ROUND(#REF!+#REF!+#REF!+预安排!Q222+#REF!+'6月'!W214,5)</f>
        <v/>
      </c>
      <c r="X214" s="182">
        <f>ROUND(#REF!+#REF!+#REF!+预安排!R222+#REF!+'6月'!X214,5)</f>
        <v/>
      </c>
      <c r="Y214" s="182">
        <f>ROUND(#REF!+#REF!+#REF!+预安排!S222+#REF!+'6月'!Y214,5)</f>
        <v/>
      </c>
      <c r="Z214" s="182">
        <f>ROUND(#REF!+#REF!+#REF!+预安排!#REF!+#REF!+'6月'!Z214,5)</f>
        <v/>
      </c>
      <c r="AA214" s="182">
        <f>ROUND(#REF!+#REF!+#REF!+预安排!#REF!+#REF!+'6月'!AA214,5)</f>
        <v/>
      </c>
      <c r="AB214" s="182">
        <f>ROUND(#REF!+#REF!+#REF!+预安排!#REF!+#REF!+'6月'!AB214,5)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193">
        <f>计划!O214-O214</f>
        <v/>
      </c>
      <c r="AH214" s="193">
        <f>ROUND(AG214/$AH$1,2)</f>
        <v/>
      </c>
    </row>
    <row r="215" customFormat="1" s="1">
      <c r="A215" s="235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196">
        <f>计划!O215-O215</f>
        <v/>
      </c>
      <c r="AH215" s="196">
        <f>ROUND(AG215/$AH$1,2)</f>
        <v/>
      </c>
    </row>
    <row r="216" customFormat="1" s="1">
      <c r="A216" s="25" t="inlineStr">
        <is>
          <t>广东</t>
        </is>
      </c>
      <c r="B216" s="231" t="inlineStr">
        <is>
          <t>SKU-CD13E71E</t>
        </is>
      </c>
      <c r="C216" s="231" t="inlineStr">
        <is>
          <t>是</t>
        </is>
      </c>
      <c r="D216" s="231" t="n">
        <v>10</v>
      </c>
      <c r="E216" s="231" t="inlineStr"/>
      <c r="F216" s="231" t="inlineStr"/>
      <c r="G216" s="231" t="inlineStr"/>
      <c r="H216" s="231" t="inlineStr"/>
      <c r="I216" s="231" t="inlineStr"/>
      <c r="J216" s="27" t="inlineStr">
        <is>
          <t>共</t>
        </is>
      </c>
      <c r="K216" s="27" t="inlineStr"/>
      <c r="L216" s="231" t="n">
        <v>100</v>
      </c>
      <c r="M216" s="19" t="inlineStr">
        <is>
          <t>Product-EA59DDCC</t>
        </is>
      </c>
      <c r="N216" s="231" t="n">
        <v>2</v>
      </c>
      <c r="O216" s="181">
        <f>SUM(P216:AB216)</f>
        <v/>
      </c>
      <c r="P216" s="182">
        <f>ROUND(#REF!+#REF!+#REF!+预安排!F224+#REF!+'6月'!P216,5)</f>
        <v/>
      </c>
      <c r="Q216" s="182">
        <f>ROUND(#REF!+#REF!+#REF!+预安排!#REF!+#REF!+'6月'!Q216,5)</f>
        <v/>
      </c>
      <c r="R216" s="182">
        <f>ROUND(#REF!+#REF!+#REF!+预安排!G224+#REF!+'6月'!R216,5)</f>
        <v/>
      </c>
      <c r="S216" s="182">
        <f>ROUND(#REF!+#REF!+#REF!+预安排!#REF!+#REF!+'6月'!S216,5)</f>
        <v/>
      </c>
      <c r="T216" s="182">
        <f>ROUND(#REF!+#REF!+#REF!+预安排!#REF!+#REF!+'6月'!T216,5)</f>
        <v/>
      </c>
      <c r="U216" s="182">
        <f>ROUND(#REF!+#REF!+#REF!+预安排!O224+#REF!+'6月'!U216,5)</f>
        <v/>
      </c>
      <c r="V216" s="182">
        <f>ROUND(#REF!+#REF!+#REF!+预安排!P224+#REF!+'6月'!V216,5)</f>
        <v/>
      </c>
      <c r="W216" s="182">
        <f>ROUND(#REF!+#REF!+#REF!+预安排!Q224+#REF!+'6月'!W216,5)</f>
        <v/>
      </c>
      <c r="X216" s="182">
        <f>ROUND(#REF!+#REF!+#REF!+预安排!R224+#REF!+'6月'!X216,5)</f>
        <v/>
      </c>
      <c r="Y216" s="182">
        <f>ROUND(#REF!+#REF!+#REF!+预安排!S224+#REF!+'6月'!Y216,5)</f>
        <v/>
      </c>
      <c r="Z216" s="182">
        <f>ROUND(#REF!+#REF!+#REF!+预安排!#REF!+#REF!+'6月'!Z216,5)</f>
        <v/>
      </c>
      <c r="AA216" s="182">
        <f>ROUND(#REF!+#REF!+#REF!+预安排!#REF!+#REF!+'6月'!AA216,5)</f>
        <v/>
      </c>
      <c r="AB216" s="182">
        <f>ROUND(#REF!+#REF!+#REF!+预安排!#REF!+#REF!+'6月'!AB216,5)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193">
        <f>计划!O216-O216</f>
        <v/>
      </c>
      <c r="AH216" s="193">
        <f>ROUND(AG216/$AH$1,2)</f>
        <v/>
      </c>
    </row>
    <row r="217" customFormat="1" s="1">
      <c r="A217" s="234" t="n"/>
      <c r="B217" s="231" t="inlineStr">
        <is>
          <t>SKU-682BAA5A</t>
        </is>
      </c>
      <c r="C217" s="231" t="inlineStr">
        <is>
          <t>是</t>
        </is>
      </c>
      <c r="D217" s="231" t="n">
        <v>10</v>
      </c>
      <c r="E217" s="231" t="inlineStr"/>
      <c r="F217" s="231" t="inlineStr"/>
      <c r="G217" s="231" t="inlineStr"/>
      <c r="H217" s="231" t="inlineStr"/>
      <c r="I217" s="231" t="inlineStr"/>
      <c r="J217" s="27" t="inlineStr"/>
      <c r="K217" s="27" t="inlineStr"/>
      <c r="L217" s="231" t="n">
        <v>100</v>
      </c>
      <c r="M217" s="19" t="inlineStr">
        <is>
          <t>Product-7E3AF14A</t>
        </is>
      </c>
      <c r="N217" s="231" t="n">
        <v>2</v>
      </c>
      <c r="O217" s="181">
        <f>SUM(P217:AB217)</f>
        <v/>
      </c>
      <c r="P217" s="182">
        <f>ROUND(#REF!+#REF!+#REF!+预安排!F225+#REF!+'6月'!P217,5)</f>
        <v/>
      </c>
      <c r="Q217" s="182">
        <f>ROUND(#REF!+#REF!+#REF!+预安排!#REF!+#REF!+'6月'!Q217,5)</f>
        <v/>
      </c>
      <c r="R217" s="182">
        <f>ROUND(#REF!+#REF!+#REF!+预安排!G225+#REF!+'6月'!R217,5)</f>
        <v/>
      </c>
      <c r="S217" s="182">
        <f>ROUND(#REF!+#REF!+#REF!+预安排!#REF!+#REF!+'6月'!S217,5)</f>
        <v/>
      </c>
      <c r="T217" s="182">
        <f>ROUND(#REF!+#REF!+#REF!+预安排!#REF!+#REF!+'6月'!T217,5)</f>
        <v/>
      </c>
      <c r="U217" s="182">
        <f>ROUND(#REF!+#REF!+#REF!+预安排!O225+#REF!+'6月'!U217,5)</f>
        <v/>
      </c>
      <c r="V217" s="182">
        <f>ROUND(#REF!+#REF!+#REF!+预安排!P225+#REF!+'6月'!V217,5)</f>
        <v/>
      </c>
      <c r="W217" s="182">
        <f>ROUND(#REF!+#REF!+#REF!+预安排!Q225+#REF!+'6月'!W217,5)</f>
        <v/>
      </c>
      <c r="X217" s="182">
        <f>ROUND(#REF!+#REF!+#REF!+预安排!R225+#REF!+'6月'!X217,5)</f>
        <v/>
      </c>
      <c r="Y217" s="182">
        <f>ROUND(#REF!+#REF!+#REF!+预安排!S225+#REF!+'6月'!Y217,5)</f>
        <v/>
      </c>
      <c r="Z217" s="182">
        <f>ROUND(#REF!+#REF!+#REF!+预安排!#REF!+#REF!+'6月'!Z217,5)</f>
        <v/>
      </c>
      <c r="AA217" s="182">
        <f>ROUND(#REF!+#REF!+#REF!+预安排!#REF!+#REF!+'6月'!AA217,5)</f>
        <v/>
      </c>
      <c r="AB217" s="182">
        <f>ROUND(#REF!+#REF!+#REF!+预安排!#REF!+#REF!+'6月'!AB217,5)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193">
        <f>计划!O217-O217</f>
        <v/>
      </c>
      <c r="AH217" s="193">
        <f>ROUND(AG217/$AH$1,2)</f>
        <v/>
      </c>
    </row>
    <row r="218" customFormat="1" s="1">
      <c r="A218" s="234" t="n"/>
      <c r="B218" s="231" t="inlineStr">
        <is>
          <t>SKU-101252A9</t>
        </is>
      </c>
      <c r="C218" s="231" t="inlineStr">
        <is>
          <t>是</t>
        </is>
      </c>
      <c r="D218" s="231" t="n">
        <v>10</v>
      </c>
      <c r="E218" s="231" t="inlineStr"/>
      <c r="F218" s="231" t="inlineStr"/>
      <c r="G218" s="231" t="inlineStr"/>
      <c r="H218" s="231" t="inlineStr"/>
      <c r="I218" s="231" t="inlineStr"/>
      <c r="J218" s="27" t="inlineStr"/>
      <c r="K218" s="27" t="inlineStr"/>
      <c r="L218" s="231" t="n">
        <v>100</v>
      </c>
      <c r="M218" s="33" t="inlineStr">
        <is>
          <t>Product-7A8380EF</t>
        </is>
      </c>
      <c r="N218" s="231" t="n">
        <v>1</v>
      </c>
      <c r="O218" s="181">
        <f>SUM(P218:AB218)</f>
        <v/>
      </c>
      <c r="P218" s="182">
        <f>ROUND(#REF!+#REF!+#REF!+预安排!F226+#REF!+'6月'!P218,5)</f>
        <v/>
      </c>
      <c r="Q218" s="182">
        <f>ROUND(#REF!+#REF!+#REF!+预安排!#REF!+#REF!+'6月'!Q218,5)</f>
        <v/>
      </c>
      <c r="R218" s="182">
        <f>ROUND(#REF!+#REF!+#REF!+预安排!G226+#REF!+'6月'!R218,5)</f>
        <v/>
      </c>
      <c r="S218" s="182">
        <f>ROUND(#REF!+#REF!+#REF!+预安排!#REF!+#REF!+'6月'!S218,5)</f>
        <v/>
      </c>
      <c r="T218" s="182">
        <f>ROUND(#REF!+#REF!+#REF!+预安排!#REF!+#REF!+'6月'!T218,5)</f>
        <v/>
      </c>
      <c r="U218" s="182">
        <f>ROUND(#REF!+#REF!+#REF!+预安排!O226+#REF!+'6月'!U218,5)</f>
        <v/>
      </c>
      <c r="V218" s="182">
        <f>ROUND(#REF!+#REF!+#REF!+预安排!P226+#REF!+'6月'!V218,5)</f>
        <v/>
      </c>
      <c r="W218" s="182">
        <f>ROUND(#REF!+#REF!+#REF!+预安排!Q226+#REF!+'6月'!W218,5)</f>
        <v/>
      </c>
      <c r="X218" s="182">
        <f>ROUND(#REF!+#REF!+#REF!+预安排!R226+#REF!+'6月'!X218,5)</f>
        <v/>
      </c>
      <c r="Y218" s="182">
        <f>ROUND(#REF!+#REF!+#REF!+预安排!S226+#REF!+'6月'!Y218,5)</f>
        <v/>
      </c>
      <c r="Z218" s="182">
        <f>ROUND(#REF!+#REF!+#REF!+预安排!#REF!+#REF!+'6月'!Z218,5)</f>
        <v/>
      </c>
      <c r="AA218" s="182">
        <f>ROUND(#REF!+#REF!+#REF!+预安排!#REF!+#REF!+'6月'!AA218,5)</f>
        <v/>
      </c>
      <c r="AB218" s="182">
        <f>ROUND(#REF!+#REF!+#REF!+预安排!#REF!+#REF!+'6月'!AB218,5)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193">
        <f>计划!O218-O218</f>
        <v/>
      </c>
      <c r="AH218" s="193">
        <f>ROUND(AG218/$AH$1,2)</f>
        <v/>
      </c>
    </row>
    <row r="219" customFormat="1" s="1">
      <c r="A219" s="234" t="n"/>
      <c r="B219" s="231" t="inlineStr">
        <is>
          <t>SKU-77C0CC77</t>
        </is>
      </c>
      <c r="C219" s="231" t="inlineStr">
        <is>
          <t>是</t>
        </is>
      </c>
      <c r="D219" s="231" t="n">
        <v>6</v>
      </c>
      <c r="E219" s="231" t="inlineStr">
        <is>
          <t>是</t>
        </is>
      </c>
      <c r="F219" s="231" t="inlineStr"/>
      <c r="G219" s="231" t="inlineStr"/>
      <c r="H219" s="231" t="inlineStr"/>
      <c r="I219" s="231" t="inlineStr">
        <is>
          <t>是</t>
        </is>
      </c>
      <c r="J219" s="27" t="inlineStr"/>
      <c r="K219" s="27" t="inlineStr"/>
      <c r="L219" s="231" t="n">
        <v>100</v>
      </c>
      <c r="M219" s="19" t="inlineStr">
        <is>
          <t>Product-429E8612</t>
        </is>
      </c>
      <c r="N219" s="231" t="n">
        <v>1</v>
      </c>
      <c r="O219" s="181">
        <f>SUM(P219:AB219)</f>
        <v/>
      </c>
      <c r="P219" s="182">
        <f>ROUND(#REF!+#REF!+#REF!+预安排!F227+#REF!+'6月'!P219,5)</f>
        <v/>
      </c>
      <c r="Q219" s="182">
        <f>ROUND(#REF!+#REF!+#REF!+预安排!#REF!+#REF!+'6月'!Q219,5)</f>
        <v/>
      </c>
      <c r="R219" s="182">
        <f>ROUND(#REF!+#REF!+#REF!+预安排!G227+#REF!+'6月'!R219,5)</f>
        <v/>
      </c>
      <c r="S219" s="182">
        <f>ROUND(#REF!+#REF!+#REF!+预安排!#REF!+#REF!+'6月'!S219,5)</f>
        <v/>
      </c>
      <c r="T219" s="182">
        <f>ROUND(#REF!+#REF!+#REF!+预安排!#REF!+#REF!+'6月'!T219,5)</f>
        <v/>
      </c>
      <c r="U219" s="182">
        <f>ROUND(#REF!+#REF!+#REF!+预安排!O227+#REF!+'6月'!U219,5)</f>
        <v/>
      </c>
      <c r="V219" s="182">
        <f>ROUND(#REF!+#REF!+#REF!+预安排!P227+#REF!+'6月'!V219,5)</f>
        <v/>
      </c>
      <c r="W219" s="182">
        <f>ROUND(#REF!+#REF!+#REF!+预安排!Q227+#REF!+'6月'!W219,5)</f>
        <v/>
      </c>
      <c r="X219" s="182">
        <f>ROUND(#REF!+#REF!+#REF!+预安排!R227+#REF!+'6月'!X219,5)</f>
        <v/>
      </c>
      <c r="Y219" s="182">
        <f>ROUND(#REF!+#REF!+#REF!+预安排!S227+#REF!+'6月'!Y219,5)</f>
        <v/>
      </c>
      <c r="Z219" s="182">
        <f>ROUND(#REF!+#REF!+#REF!+预安排!#REF!+#REF!+'6月'!Z219,5)</f>
        <v/>
      </c>
      <c r="AA219" s="182">
        <f>ROUND(#REF!+#REF!+#REF!+预安排!#REF!+#REF!+'6月'!AA219,5)</f>
        <v/>
      </c>
      <c r="AB219" s="182">
        <f>ROUND(#REF!+#REF!+#REF!+预安排!#REF!+#REF!+'6月'!AB219,5)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193">
        <f>计划!O219-O219</f>
        <v/>
      </c>
      <c r="AH219" s="193">
        <f>ROUND(AG219/$AH$1,2)</f>
        <v/>
      </c>
    </row>
    <row r="220" customFormat="1" s="1">
      <c r="A220" s="235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196">
        <f>计划!O220-O220</f>
        <v/>
      </c>
      <c r="AH220" s="196">
        <f>ROUND(AG220/$AH$1,2)</f>
        <v/>
      </c>
    </row>
    <row r="221" customFormat="1" s="1">
      <c r="A221" s="25" t="inlineStr">
        <is>
          <t>广西</t>
        </is>
      </c>
      <c r="B221" s="231" t="inlineStr">
        <is>
          <t>SKU-3BA438F1</t>
        </is>
      </c>
      <c r="C221" s="231" t="inlineStr">
        <is>
          <t>是</t>
        </is>
      </c>
      <c r="D221" s="231" t="n">
        <v>8</v>
      </c>
      <c r="E221" s="231" t="inlineStr">
        <is>
          <t>是</t>
        </is>
      </c>
      <c r="F221" s="231" t="inlineStr"/>
      <c r="G221" s="231" t="inlineStr"/>
      <c r="H221" s="231" t="inlineStr"/>
      <c r="I221" s="231" t="inlineStr">
        <is>
          <t>是</t>
        </is>
      </c>
      <c r="J221" s="27" t="inlineStr"/>
      <c r="K221" s="27" t="inlineStr"/>
      <c r="L221" s="231" t="n">
        <v>100</v>
      </c>
      <c r="M221" s="19" t="inlineStr">
        <is>
          <t>Product-775BB8DC</t>
        </is>
      </c>
      <c r="N221" s="231" t="n">
        <v>2</v>
      </c>
      <c r="O221" s="181">
        <f>SUM(P221:AB221)</f>
        <v/>
      </c>
      <c r="P221" s="182">
        <f>ROUND(#REF!+#REF!+#REF!+预安排!F229+#REF!+'6月'!P221,5)</f>
        <v/>
      </c>
      <c r="Q221" s="182">
        <f>ROUND(#REF!+#REF!+#REF!+预安排!#REF!+#REF!+'6月'!Q221,5)</f>
        <v/>
      </c>
      <c r="R221" s="182">
        <f>ROUND(#REF!+#REF!+#REF!+预安排!G229+#REF!+'6月'!R221,5)</f>
        <v/>
      </c>
      <c r="S221" s="182">
        <f>ROUND(#REF!+#REF!+#REF!+预安排!#REF!+#REF!+'6月'!S221,5)</f>
        <v/>
      </c>
      <c r="T221" s="182">
        <f>ROUND(#REF!+#REF!+#REF!+预安排!#REF!+#REF!+'6月'!T221,5)</f>
        <v/>
      </c>
      <c r="U221" s="182">
        <f>ROUND(#REF!+#REF!+#REF!+预安排!O229+#REF!+'6月'!U221,5)</f>
        <v/>
      </c>
      <c r="V221" s="182">
        <f>ROUND(#REF!+#REF!+#REF!+预安排!P229+#REF!+'6月'!V221,5)</f>
        <v/>
      </c>
      <c r="W221" s="182">
        <f>ROUND(#REF!+#REF!+#REF!+预安排!Q229+#REF!+'6月'!W221,5)</f>
        <v/>
      </c>
      <c r="X221" s="182">
        <f>ROUND(#REF!+#REF!+#REF!+预安排!R229+#REF!+'6月'!X221,5)</f>
        <v/>
      </c>
      <c r="Y221" s="182">
        <f>ROUND(#REF!+#REF!+#REF!+预安排!S229+#REF!+'6月'!Y221,5)</f>
        <v/>
      </c>
      <c r="Z221" s="182">
        <f>ROUND(#REF!+#REF!+#REF!+预安排!#REF!+#REF!+'6月'!Z221,5)</f>
        <v/>
      </c>
      <c r="AA221" s="182">
        <f>ROUND(#REF!+#REF!+#REF!+预安排!#REF!+#REF!+'6月'!AA221,5)</f>
        <v/>
      </c>
      <c r="AB221" s="182">
        <f>ROUND(#REF!+#REF!+#REF!+预安排!#REF!+#REF!+'6月'!AB221,5)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193">
        <f>计划!O221-O221</f>
        <v/>
      </c>
      <c r="AH221" s="193">
        <f>ROUND(AG221/$AH$1,2)</f>
        <v/>
      </c>
    </row>
    <row r="222" customFormat="1" s="1">
      <c r="A222" s="234" t="n"/>
      <c r="B222" s="231" t="inlineStr">
        <is>
          <t>SKU-D2E77FA5</t>
        </is>
      </c>
      <c r="C222" s="231" t="inlineStr">
        <is>
          <t>是</t>
        </is>
      </c>
      <c r="D222" s="231" t="n">
        <v>6</v>
      </c>
      <c r="E222" s="231" t="inlineStr">
        <is>
          <t>是</t>
        </is>
      </c>
      <c r="F222" s="231" t="inlineStr"/>
      <c r="G222" s="231" t="inlineStr"/>
      <c r="H222" s="231" t="inlineStr">
        <is>
          <t>是</t>
        </is>
      </c>
      <c r="I222" s="231" t="inlineStr">
        <is>
          <t>是</t>
        </is>
      </c>
      <c r="J222" s="27" t="inlineStr"/>
      <c r="K222" s="27" t="inlineStr"/>
      <c r="L222" s="231" t="n">
        <v>100</v>
      </c>
      <c r="M222" s="19" t="inlineStr">
        <is>
          <t>Product-A722DB58</t>
        </is>
      </c>
      <c r="N222" s="231" t="n">
        <v>1</v>
      </c>
      <c r="O222" s="181">
        <f>SUM(P222:AB222)</f>
        <v/>
      </c>
      <c r="P222" s="182">
        <f>ROUND(#REF!+#REF!+#REF!+预安排!F230+#REF!+'6月'!P222,5)</f>
        <v/>
      </c>
      <c r="Q222" s="182">
        <f>ROUND(#REF!+#REF!+#REF!+预安排!#REF!+#REF!+'6月'!Q222,5)</f>
        <v/>
      </c>
      <c r="R222" s="182">
        <f>ROUND(#REF!+#REF!+#REF!+预安排!G230+#REF!+'6月'!R222,5)</f>
        <v/>
      </c>
      <c r="S222" s="182">
        <f>ROUND(#REF!+#REF!+#REF!+预安排!#REF!+#REF!+'6月'!S222,5)</f>
        <v/>
      </c>
      <c r="T222" s="182">
        <f>ROUND(#REF!+#REF!+#REF!+预安排!#REF!+#REF!+'6月'!T222,5)</f>
        <v/>
      </c>
      <c r="U222" s="182">
        <f>ROUND(#REF!+#REF!+#REF!+预安排!O230+#REF!+'6月'!U222,5)</f>
        <v/>
      </c>
      <c r="V222" s="182">
        <f>ROUND(#REF!+#REF!+#REF!+预安排!P230+#REF!+'6月'!V222,5)</f>
        <v/>
      </c>
      <c r="W222" s="182">
        <f>ROUND(#REF!+#REF!+#REF!+预安排!Q230+#REF!+'6月'!W222,5)</f>
        <v/>
      </c>
      <c r="X222" s="182">
        <f>ROUND(#REF!+#REF!+#REF!+预安排!R230+#REF!+'6月'!X222,5)</f>
        <v/>
      </c>
      <c r="Y222" s="182">
        <f>ROUND(#REF!+#REF!+#REF!+预安排!S230+#REF!+'6月'!Y222,5)</f>
        <v/>
      </c>
      <c r="Z222" s="182">
        <f>ROUND(#REF!+#REF!+#REF!+预安排!#REF!+#REF!+'6月'!Z222,5)</f>
        <v/>
      </c>
      <c r="AA222" s="182">
        <f>ROUND(#REF!+#REF!+#REF!+预安排!#REF!+#REF!+'6月'!AA222,5)</f>
        <v/>
      </c>
      <c r="AB222" s="182">
        <f>ROUND(#REF!+#REF!+#REF!+预安排!#REF!+#REF!+'6月'!AB222,5)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193">
        <f>计划!O222-O222</f>
        <v/>
      </c>
      <c r="AH222" s="193">
        <f>ROUND(AG222/$AH$1,2)</f>
        <v/>
      </c>
    </row>
    <row r="223" customFormat="1" s="1">
      <c r="A223" s="235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196">
        <f>计划!O223-O223</f>
        <v/>
      </c>
      <c r="AH223" s="196">
        <f>ROUND(AG223/$AH$1,2)</f>
        <v/>
      </c>
    </row>
    <row r="224" customFormat="1" s="1">
      <c r="A224" s="25" t="inlineStr">
        <is>
          <t>重庆</t>
        </is>
      </c>
      <c r="B224" s="231" t="inlineStr">
        <is>
          <t>SKU-9FDA4198</t>
        </is>
      </c>
      <c r="C224" s="231" t="inlineStr">
        <is>
          <t>是</t>
        </is>
      </c>
      <c r="D224" s="231" t="n">
        <v>11</v>
      </c>
      <c r="E224" s="231" t="inlineStr"/>
      <c r="F224" s="231" t="inlineStr"/>
      <c r="G224" s="231" t="inlineStr"/>
      <c r="H224" s="231" t="inlineStr"/>
      <c r="I224" s="231" t="inlineStr"/>
      <c r="J224" s="27" t="inlineStr"/>
      <c r="K224" s="27" t="inlineStr"/>
      <c r="L224" s="231" t="n">
        <v>100</v>
      </c>
      <c r="M224" s="19" t="inlineStr">
        <is>
          <t>Product-662CAB3A</t>
        </is>
      </c>
      <c r="N224" s="231" t="n">
        <v>1</v>
      </c>
      <c r="O224" s="181">
        <f>SUM(P224:AB224)</f>
        <v/>
      </c>
      <c r="P224" s="182">
        <f>ROUND(#REF!+#REF!+#REF!+预安排!F232+#REF!+'6月'!P224,5)</f>
        <v/>
      </c>
      <c r="Q224" s="182">
        <f>ROUND(#REF!+#REF!+#REF!+预安排!#REF!+#REF!+'6月'!Q224,5)</f>
        <v/>
      </c>
      <c r="R224" s="182">
        <f>ROUND(#REF!+#REF!+#REF!+预安排!G232+#REF!+'6月'!R224,5)</f>
        <v/>
      </c>
      <c r="S224" s="182">
        <f>ROUND(#REF!+#REF!+#REF!+预安排!#REF!+#REF!+'6月'!S224,5)</f>
        <v/>
      </c>
      <c r="T224" s="182">
        <f>ROUND(#REF!+#REF!+#REF!+预安排!#REF!+#REF!+'6月'!T224,5)</f>
        <v/>
      </c>
      <c r="U224" s="182">
        <f>ROUND(#REF!+#REF!+#REF!+预安排!O232+#REF!+'6月'!U224,5)</f>
        <v/>
      </c>
      <c r="V224" s="182">
        <f>ROUND(#REF!+#REF!+#REF!+预安排!P232+#REF!+'6月'!V224,5)</f>
        <v/>
      </c>
      <c r="W224" s="182">
        <f>ROUND(#REF!+#REF!+#REF!+预安排!Q232+#REF!+'6月'!W224,5)</f>
        <v/>
      </c>
      <c r="X224" s="182">
        <f>ROUND(#REF!+#REF!+#REF!+预安排!R232+#REF!+'6月'!X224,5)</f>
        <v/>
      </c>
      <c r="Y224" s="182">
        <f>ROUND(#REF!+#REF!+#REF!+预安排!S232+#REF!+'6月'!Y224,5)</f>
        <v/>
      </c>
      <c r="Z224" s="182">
        <f>ROUND(#REF!+#REF!+#REF!+预安排!#REF!+#REF!+'6月'!Z224,5)</f>
        <v/>
      </c>
      <c r="AA224" s="182">
        <f>ROUND(#REF!+#REF!+#REF!+预安排!#REF!+#REF!+'6月'!AA224,5)</f>
        <v/>
      </c>
      <c r="AB224" s="182">
        <f>ROUND(#REF!+#REF!+#REF!+预安排!#REF!+#REF!+'6月'!AB224,5)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193">
        <f>计划!O224-O224</f>
        <v/>
      </c>
      <c r="AH224" s="193">
        <f>ROUND(AG224/$AH$1,2)</f>
        <v/>
      </c>
    </row>
    <row r="225" customFormat="1" s="1">
      <c r="A225" s="234" t="n"/>
      <c r="B225" s="231" t="inlineStr">
        <is>
          <t>SKU-7B3ED901</t>
        </is>
      </c>
      <c r="C225" s="231" t="inlineStr">
        <is>
          <t>是</t>
        </is>
      </c>
      <c r="D225" s="231" t="n">
        <v>8</v>
      </c>
      <c r="E225" s="231" t="inlineStr">
        <is>
          <t>是</t>
        </is>
      </c>
      <c r="F225" s="231" t="inlineStr"/>
      <c r="G225" s="231" t="inlineStr"/>
      <c r="H225" s="231" t="inlineStr">
        <is>
          <t>是</t>
        </is>
      </c>
      <c r="I225" s="231" t="inlineStr">
        <is>
          <t>是</t>
        </is>
      </c>
      <c r="J225" s="27" t="inlineStr"/>
      <c r="K225" s="27" t="inlineStr"/>
      <c r="L225" s="231" t="n">
        <v>100</v>
      </c>
      <c r="M225" s="19" t="inlineStr">
        <is>
          <t>Product-98EF7A51</t>
        </is>
      </c>
      <c r="N225" s="231" t="n">
        <v>1</v>
      </c>
      <c r="O225" s="181">
        <f>SUM(P225:AB225)</f>
        <v/>
      </c>
      <c r="P225" s="182">
        <f>ROUND(#REF!+#REF!+#REF!+预安排!F233+#REF!+'6月'!P225,5)</f>
        <v/>
      </c>
      <c r="Q225" s="182">
        <f>ROUND(#REF!+#REF!+#REF!+预安排!#REF!+#REF!+'6月'!Q225,5)</f>
        <v/>
      </c>
      <c r="R225" s="182">
        <f>ROUND(#REF!+#REF!+#REF!+预安排!G233+#REF!+'6月'!R225,5)</f>
        <v/>
      </c>
      <c r="S225" s="182">
        <f>ROUND(#REF!+#REF!+#REF!+预安排!#REF!+#REF!+'6月'!S225,5)</f>
        <v/>
      </c>
      <c r="T225" s="182">
        <f>ROUND(#REF!+#REF!+#REF!+预安排!#REF!+#REF!+'6月'!T225,5)</f>
        <v/>
      </c>
      <c r="U225" s="182">
        <f>ROUND(#REF!+#REF!+#REF!+预安排!O233+#REF!+'6月'!U225,5)</f>
        <v/>
      </c>
      <c r="V225" s="182">
        <f>ROUND(#REF!+#REF!+#REF!+预安排!P233+#REF!+'6月'!V225,5)</f>
        <v/>
      </c>
      <c r="W225" s="182">
        <f>ROUND(#REF!+#REF!+#REF!+预安排!Q233+#REF!+'6月'!W225,5)</f>
        <v/>
      </c>
      <c r="X225" s="182">
        <f>ROUND(#REF!+#REF!+#REF!+预安排!R233+#REF!+'6月'!X225,5)</f>
        <v/>
      </c>
      <c r="Y225" s="182">
        <f>ROUND(#REF!+#REF!+#REF!+预安排!S233+#REF!+'6月'!Y225,5)</f>
        <v/>
      </c>
      <c r="Z225" s="182">
        <f>ROUND(#REF!+#REF!+#REF!+预安排!#REF!+#REF!+'6月'!Z225,5)</f>
        <v/>
      </c>
      <c r="AA225" s="182">
        <f>ROUND(#REF!+#REF!+#REF!+预安排!#REF!+#REF!+'6月'!AA225,5)</f>
        <v/>
      </c>
      <c r="AB225" s="182">
        <f>ROUND(#REF!+#REF!+#REF!+预安排!#REF!+#REF!+'6月'!AB225,5)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193">
        <f>计划!O225-O225</f>
        <v/>
      </c>
      <c r="AH225" s="193">
        <f>ROUND(AG225/$AH$1,2)</f>
        <v/>
      </c>
    </row>
    <row r="226" customFormat="1" s="1">
      <c r="A226" s="234" t="n"/>
      <c r="B226" s="231" t="inlineStr">
        <is>
          <t>SKU-9285E4A0</t>
        </is>
      </c>
      <c r="C226" s="231" t="inlineStr">
        <is>
          <t>是</t>
        </is>
      </c>
      <c r="D226" s="231" t="n">
        <v>10</v>
      </c>
      <c r="E226" s="231" t="inlineStr"/>
      <c r="F226" s="231" t="inlineStr">
        <is>
          <t>是</t>
        </is>
      </c>
      <c r="G226" s="231" t="inlineStr"/>
      <c r="H226" s="231" t="inlineStr"/>
      <c r="I226" s="231" t="inlineStr">
        <is>
          <t>是</t>
        </is>
      </c>
      <c r="J226" s="27" t="inlineStr">
        <is>
          <t>共</t>
        </is>
      </c>
      <c r="K226" s="27" t="inlineStr"/>
      <c r="L226" s="231" t="n">
        <v>100</v>
      </c>
      <c r="M226" s="19" t="inlineStr">
        <is>
          <t>Product-CCB8A5AE</t>
        </is>
      </c>
      <c r="N226" s="231" t="n">
        <v>1</v>
      </c>
      <c r="O226" s="181">
        <f>SUM(P226:AB226)</f>
        <v/>
      </c>
      <c r="P226" s="182">
        <f>ROUND(#REF!+#REF!+#REF!+预安排!F234+#REF!+'6月'!P226,5)</f>
        <v/>
      </c>
      <c r="Q226" s="182">
        <f>ROUND(#REF!+#REF!+#REF!+预安排!#REF!+#REF!+'6月'!Q226,5)</f>
        <v/>
      </c>
      <c r="R226" s="182">
        <f>ROUND(#REF!+#REF!+#REF!+预安排!G234+#REF!+'6月'!R226,5)</f>
        <v/>
      </c>
      <c r="S226" s="182">
        <f>ROUND(#REF!+#REF!+#REF!+预安排!#REF!+#REF!+'6月'!S226,5)</f>
        <v/>
      </c>
      <c r="T226" s="182">
        <f>ROUND(#REF!+#REF!+#REF!+预安排!#REF!+#REF!+'6月'!T226,5)</f>
        <v/>
      </c>
      <c r="U226" s="182">
        <f>ROUND(#REF!+#REF!+#REF!+预安排!O234+#REF!+'6月'!U226,5)</f>
        <v/>
      </c>
      <c r="V226" s="182">
        <f>ROUND(#REF!+#REF!+#REF!+预安排!P234+#REF!+'6月'!V226,5)</f>
        <v/>
      </c>
      <c r="W226" s="182">
        <f>ROUND(#REF!+#REF!+#REF!+预安排!Q234+#REF!+'6月'!W226,5)</f>
        <v/>
      </c>
      <c r="X226" s="182">
        <f>ROUND(#REF!+#REF!+#REF!+预安排!R234+#REF!+'6月'!X226,5)</f>
        <v/>
      </c>
      <c r="Y226" s="182">
        <f>ROUND(#REF!+#REF!+#REF!+预安排!S234+#REF!+'6月'!Y226,5)</f>
        <v/>
      </c>
      <c r="Z226" s="182">
        <f>ROUND(#REF!+#REF!+#REF!+预安排!#REF!+#REF!+'6月'!Z226,5)</f>
        <v/>
      </c>
      <c r="AA226" s="182">
        <f>ROUND(#REF!+#REF!+#REF!+预安排!#REF!+#REF!+'6月'!AA226,5)</f>
        <v/>
      </c>
      <c r="AB226" s="182">
        <f>ROUND(#REF!+#REF!+#REF!+预安排!#REF!+#REF!+'6月'!AB226,5)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193">
        <f>计划!O226-O226</f>
        <v/>
      </c>
      <c r="AH226" s="193">
        <f>ROUND(AG226/$AH$1,2)</f>
        <v/>
      </c>
    </row>
    <row r="227" customFormat="1" s="1">
      <c r="A227" s="235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196">
        <f>计划!O227-O227</f>
        <v/>
      </c>
      <c r="AH227" s="196">
        <f>ROUND(AG227/$AH$1,2)</f>
        <v/>
      </c>
    </row>
    <row r="228" customFormat="1" s="1">
      <c r="A228" s="54" t="inlineStr">
        <is>
          <t>四川</t>
        </is>
      </c>
      <c r="B228" s="231" t="inlineStr">
        <is>
          <t>SKU-29633089</t>
        </is>
      </c>
      <c r="C228" s="231" t="inlineStr">
        <is>
          <t>是</t>
        </is>
      </c>
      <c r="D228" s="231" t="n">
        <v>6</v>
      </c>
      <c r="E228" s="231" t="inlineStr"/>
      <c r="F228" s="231" t="inlineStr">
        <is>
          <t>是</t>
        </is>
      </c>
      <c r="G228" s="231" t="inlineStr"/>
      <c r="H228" s="231" t="inlineStr"/>
      <c r="I228" s="231" t="inlineStr">
        <is>
          <t>是</t>
        </is>
      </c>
      <c r="J228" s="27" t="inlineStr"/>
      <c r="K228" s="27" t="inlineStr"/>
      <c r="L228" s="231" t="n">
        <v>100</v>
      </c>
      <c r="M228" s="44" t="inlineStr">
        <is>
          <t>Product-719E196F</t>
        </is>
      </c>
      <c r="N228" s="231" t="n">
        <v>3</v>
      </c>
      <c r="O228" s="181">
        <f>SUM(P228:AB228)</f>
        <v/>
      </c>
      <c r="P228" s="182">
        <f>ROUND(#REF!+#REF!+#REF!+预安排!F237+#REF!+'6月'!P228,5)</f>
        <v/>
      </c>
      <c r="Q228" s="182">
        <f>ROUND(#REF!+#REF!+#REF!+预安排!#REF!+#REF!+'6月'!Q228,5)</f>
        <v/>
      </c>
      <c r="R228" s="182">
        <f>ROUND(#REF!+#REF!+#REF!+预安排!G237+#REF!+'6月'!R228,5)</f>
        <v/>
      </c>
      <c r="S228" s="182">
        <f>ROUND(#REF!+#REF!+#REF!+预安排!#REF!+#REF!+'6月'!S228,5)</f>
        <v/>
      </c>
      <c r="T228" s="182">
        <f>ROUND(#REF!+#REF!+#REF!+预安排!#REF!+#REF!+'6月'!T228,5)</f>
        <v/>
      </c>
      <c r="U228" s="182">
        <f>ROUND(#REF!+#REF!+#REF!+预安排!O237+#REF!+'6月'!U228,5)</f>
        <v/>
      </c>
      <c r="V228" s="182">
        <f>ROUND(#REF!+#REF!+#REF!+预安排!P237+#REF!+'6月'!V228,5)</f>
        <v/>
      </c>
      <c r="W228" s="182">
        <f>ROUND(#REF!+#REF!+#REF!+预安排!Q237+#REF!+'6月'!W228,5)</f>
        <v/>
      </c>
      <c r="X228" s="182">
        <f>ROUND(#REF!+#REF!+#REF!+预安排!R237+#REF!+'6月'!X228,5)</f>
        <v/>
      </c>
      <c r="Y228" s="182">
        <f>ROUND(#REF!+#REF!+#REF!+预安排!S237+#REF!+'6月'!Y228,5)</f>
        <v/>
      </c>
      <c r="Z228" s="182">
        <f>ROUND(#REF!+#REF!+#REF!+预安排!#REF!+#REF!+'6月'!Z228,5)</f>
        <v/>
      </c>
      <c r="AA228" s="182">
        <f>ROUND(#REF!+#REF!+#REF!+预安排!#REF!+#REF!+'6月'!AA228,5)</f>
        <v/>
      </c>
      <c r="AB228" s="182">
        <f>ROUND(#REF!+#REF!+#REF!+预安排!#REF!+#REF!+'6月'!AB228,5)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193">
        <f>计划!O228-O228</f>
        <v/>
      </c>
      <c r="AH228" s="193">
        <f>ROUND(AG228/$AH$1,2)</f>
        <v/>
      </c>
    </row>
    <row r="229" customFormat="1" s="1">
      <c r="A229" s="234" t="n"/>
      <c r="B229" s="231" t="inlineStr">
        <is>
          <t>SKU-5FFC4FAB</t>
        </is>
      </c>
      <c r="C229" s="231" t="inlineStr">
        <is>
          <t>是</t>
        </is>
      </c>
      <c r="D229" s="231" t="n">
        <v>8</v>
      </c>
      <c r="E229" s="231" t="inlineStr">
        <is>
          <t>是</t>
        </is>
      </c>
      <c r="F229" s="231" t="inlineStr"/>
      <c r="G229" s="231" t="inlineStr"/>
      <c r="H229" s="231" t="inlineStr"/>
      <c r="I229" s="231" t="inlineStr">
        <is>
          <t>是</t>
        </is>
      </c>
      <c r="J229" s="27" t="inlineStr"/>
      <c r="K229" s="27" t="inlineStr"/>
      <c r="L229" s="231" t="n">
        <v>100</v>
      </c>
      <c r="M229" s="19" t="inlineStr">
        <is>
          <t>Product-0DACD2F6</t>
        </is>
      </c>
      <c r="N229" s="231" t="n">
        <v>2</v>
      </c>
      <c r="O229" s="181">
        <f>SUM(P229:AB229)</f>
        <v/>
      </c>
      <c r="P229" s="182">
        <f>ROUND(#REF!+#REF!+#REF!+预安排!F238+#REF!+'6月'!P229,5)</f>
        <v/>
      </c>
      <c r="Q229" s="182">
        <f>ROUND(#REF!+#REF!+#REF!+预安排!#REF!+#REF!+'6月'!Q229,5)</f>
        <v/>
      </c>
      <c r="R229" s="182">
        <f>ROUND(#REF!+#REF!+#REF!+预安排!G238+#REF!+'6月'!R229,5)</f>
        <v/>
      </c>
      <c r="S229" s="182">
        <f>ROUND(#REF!+#REF!+#REF!+预安排!#REF!+#REF!+'6月'!S229,5)</f>
        <v/>
      </c>
      <c r="T229" s="182">
        <f>ROUND(#REF!+#REF!+#REF!+预安排!#REF!+#REF!+'6月'!T229,5)</f>
        <v/>
      </c>
      <c r="U229" s="182">
        <f>ROUND(#REF!+#REF!+#REF!+预安排!O238+#REF!+'6月'!U229,5)</f>
        <v/>
      </c>
      <c r="V229" s="182">
        <f>ROUND(#REF!+#REF!+#REF!+预安排!P238+#REF!+'6月'!V229,5)</f>
        <v/>
      </c>
      <c r="W229" s="182">
        <f>ROUND(#REF!+#REF!+#REF!+预安排!Q238+#REF!+'6月'!W229,5)</f>
        <v/>
      </c>
      <c r="X229" s="182">
        <f>ROUND(#REF!+#REF!+#REF!+预安排!R238+#REF!+'6月'!X229,5)</f>
        <v/>
      </c>
      <c r="Y229" s="182">
        <f>ROUND(#REF!+#REF!+#REF!+预安排!S238+#REF!+'6月'!Y229,5)</f>
        <v/>
      </c>
      <c r="Z229" s="182">
        <f>ROUND(#REF!+#REF!+#REF!+预安排!#REF!+#REF!+'6月'!Z229,5)</f>
        <v/>
      </c>
      <c r="AA229" s="182">
        <f>ROUND(#REF!+#REF!+#REF!+预安排!#REF!+#REF!+'6月'!AA229,5)</f>
        <v/>
      </c>
      <c r="AB229" s="182">
        <f>ROUND(#REF!+#REF!+#REF!+预安排!#REF!+#REF!+'6月'!AB229,5)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193">
        <f>计划!O229-O229</f>
        <v/>
      </c>
      <c r="AH229" s="193">
        <f>ROUND(AG229/$AH$1,2)</f>
        <v/>
      </c>
    </row>
    <row r="230" customFormat="1" s="1">
      <c r="A230" s="234" t="n"/>
      <c r="B230" s="231" t="inlineStr">
        <is>
          <t>SKU-B633AD53</t>
        </is>
      </c>
      <c r="C230" s="231" t="inlineStr">
        <is>
          <t>是</t>
        </is>
      </c>
      <c r="D230" s="231" t="n">
        <v>8</v>
      </c>
      <c r="E230" s="231" t="inlineStr">
        <is>
          <t>是</t>
        </is>
      </c>
      <c r="F230" s="231" t="inlineStr"/>
      <c r="G230" s="231" t="inlineStr"/>
      <c r="H230" s="231" t="inlineStr">
        <is>
          <t>是</t>
        </is>
      </c>
      <c r="I230" s="231" t="inlineStr">
        <is>
          <t>是</t>
        </is>
      </c>
      <c r="J230" s="27" t="inlineStr"/>
      <c r="K230" s="27" t="inlineStr"/>
      <c r="L230" s="231" t="n">
        <v>100</v>
      </c>
      <c r="M230" s="19" t="inlineStr">
        <is>
          <t>Product-A5C01E33</t>
        </is>
      </c>
      <c r="N230" s="231" t="n">
        <v>1</v>
      </c>
      <c r="O230" s="181">
        <f>SUM(P230:AB230)</f>
        <v/>
      </c>
      <c r="P230" s="182">
        <f>ROUND(#REF!+#REF!+#REF!+预安排!F239+#REF!+'6月'!P230,5)</f>
        <v/>
      </c>
      <c r="Q230" s="182">
        <f>ROUND(#REF!+#REF!+#REF!+预安排!#REF!+#REF!+'6月'!Q230,5)</f>
        <v/>
      </c>
      <c r="R230" s="182">
        <f>ROUND(#REF!+#REF!+#REF!+预安排!G239+#REF!+'6月'!R230,5)</f>
        <v/>
      </c>
      <c r="S230" s="182">
        <f>ROUND(#REF!+#REF!+#REF!+预安排!#REF!+#REF!+'6月'!S230,5)</f>
        <v/>
      </c>
      <c r="T230" s="182">
        <f>ROUND(#REF!+#REF!+#REF!+预安排!#REF!+#REF!+'6月'!T230,5)</f>
        <v/>
      </c>
      <c r="U230" s="182">
        <f>ROUND(#REF!+#REF!+#REF!+预安排!O239+#REF!+'6月'!U230,5)</f>
        <v/>
      </c>
      <c r="V230" s="182">
        <f>ROUND(#REF!+#REF!+#REF!+预安排!P239+#REF!+'6月'!V230,5)</f>
        <v/>
      </c>
      <c r="W230" s="182">
        <f>ROUND(#REF!+#REF!+#REF!+预安排!Q239+#REF!+'6月'!W230,5)</f>
        <v/>
      </c>
      <c r="X230" s="182">
        <f>ROUND(#REF!+#REF!+#REF!+预安排!R239+#REF!+'6月'!X230,5)</f>
        <v/>
      </c>
      <c r="Y230" s="182">
        <f>ROUND(#REF!+#REF!+#REF!+预安排!S239+#REF!+'6月'!Y230,5)</f>
        <v/>
      </c>
      <c r="Z230" s="182">
        <f>ROUND(#REF!+#REF!+#REF!+预安排!#REF!+#REF!+'6月'!Z230,5)</f>
        <v/>
      </c>
      <c r="AA230" s="182">
        <f>ROUND(#REF!+#REF!+#REF!+预安排!#REF!+#REF!+'6月'!AA230,5)</f>
        <v/>
      </c>
      <c r="AB230" s="182">
        <f>ROUND(#REF!+#REF!+#REF!+预安排!#REF!+#REF!+'6月'!AB230,5)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193">
        <f>计划!O230-O230</f>
        <v/>
      </c>
      <c r="AH230" s="193">
        <f>ROUND(AG230/$AH$1,2)</f>
        <v/>
      </c>
    </row>
    <row r="231" customFormat="1" s="1">
      <c r="A231" s="234" t="n"/>
      <c r="B231" s="231" t="inlineStr">
        <is>
          <t>SKU-F5C809B2</t>
        </is>
      </c>
      <c r="C231" s="231" t="inlineStr">
        <is>
          <t>是</t>
        </is>
      </c>
      <c r="D231" s="231" t="n">
        <v>10</v>
      </c>
      <c r="E231" s="231" t="inlineStr"/>
      <c r="F231" s="231" t="inlineStr">
        <is>
          <t>是</t>
        </is>
      </c>
      <c r="G231" s="231" t="inlineStr"/>
      <c r="H231" s="231" t="inlineStr"/>
      <c r="I231" s="231" t="inlineStr">
        <is>
          <t>是</t>
        </is>
      </c>
      <c r="J231" s="27" t="inlineStr"/>
      <c r="K231" s="27" t="inlineStr"/>
      <c r="L231" s="231" t="n">
        <v>100</v>
      </c>
      <c r="M231" s="19" t="inlineStr">
        <is>
          <t>Product-5A7B99C4</t>
        </is>
      </c>
      <c r="N231" s="231" t="n">
        <v>1</v>
      </c>
      <c r="O231" s="181">
        <f>SUM(P231:AB231)</f>
        <v/>
      </c>
      <c r="P231" s="182">
        <f>ROUND(#REF!+#REF!+#REF!+预安排!F240+#REF!+'6月'!P231,5)</f>
        <v/>
      </c>
      <c r="Q231" s="182">
        <f>ROUND(#REF!+#REF!+#REF!+预安排!#REF!+#REF!+'6月'!Q231,5)</f>
        <v/>
      </c>
      <c r="R231" s="182">
        <f>ROUND(#REF!+#REF!+#REF!+预安排!G240+#REF!+'6月'!R231,5)</f>
        <v/>
      </c>
      <c r="S231" s="182">
        <f>ROUND(#REF!+#REF!+#REF!+预安排!#REF!+#REF!+'6月'!S231,5)</f>
        <v/>
      </c>
      <c r="T231" s="182">
        <f>ROUND(#REF!+#REF!+#REF!+预安排!#REF!+#REF!+'6月'!T231,5)</f>
        <v/>
      </c>
      <c r="U231" s="182">
        <f>ROUND(#REF!+#REF!+#REF!+预安排!O240+#REF!+'6月'!U231,5)</f>
        <v/>
      </c>
      <c r="V231" s="182">
        <f>ROUND(#REF!+#REF!+#REF!+预安排!P240+#REF!+'6月'!V231,5)</f>
        <v/>
      </c>
      <c r="W231" s="182">
        <f>ROUND(#REF!+#REF!+#REF!+预安排!Q240+#REF!+'6月'!W231,5)</f>
        <v/>
      </c>
      <c r="X231" s="182">
        <f>ROUND(#REF!+#REF!+#REF!+预安排!R240+#REF!+'6月'!X231,5)</f>
        <v/>
      </c>
      <c r="Y231" s="182">
        <f>ROUND(#REF!+#REF!+#REF!+预安排!S240+#REF!+'6月'!Y231,5)</f>
        <v/>
      </c>
      <c r="Z231" s="182">
        <f>ROUND(#REF!+#REF!+#REF!+预安排!#REF!+#REF!+'6月'!Z231,5)</f>
        <v/>
      </c>
      <c r="AA231" s="182">
        <f>ROUND(#REF!+#REF!+#REF!+预安排!#REF!+#REF!+'6月'!AA231,5)</f>
        <v/>
      </c>
      <c r="AB231" s="182">
        <f>ROUND(#REF!+#REF!+#REF!+预安排!#REF!+#REF!+'6月'!AB231,5)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193">
        <f>计划!O231-O231</f>
        <v/>
      </c>
      <c r="AH231" s="193">
        <f>ROUND(AG231/$AH$1,2)</f>
        <v/>
      </c>
    </row>
    <row r="232" customFormat="1" s="1">
      <c r="A232" s="234" t="n"/>
      <c r="B232" s="231" t="inlineStr">
        <is>
          <t>SKU-85450BFD</t>
        </is>
      </c>
      <c r="C232" s="231" t="inlineStr">
        <is>
          <t>是</t>
        </is>
      </c>
      <c r="D232" s="231" t="n">
        <v>10</v>
      </c>
      <c r="E232" s="231" t="inlineStr"/>
      <c r="F232" s="231" t="inlineStr">
        <is>
          <t>是</t>
        </is>
      </c>
      <c r="G232" s="231" t="inlineStr"/>
      <c r="H232" s="231" t="inlineStr">
        <is>
          <t>是</t>
        </is>
      </c>
      <c r="I232" s="231" t="inlineStr">
        <is>
          <t>是</t>
        </is>
      </c>
      <c r="J232" s="27" t="inlineStr"/>
      <c r="K232" s="27" t="inlineStr"/>
      <c r="L232" s="231" t="n">
        <v>100</v>
      </c>
      <c r="M232" s="59" t="inlineStr">
        <is>
          <t>Product-91F0DC53</t>
        </is>
      </c>
      <c r="N232" s="231" t="n">
        <v>1</v>
      </c>
      <c r="O232" s="181">
        <f>SUM(P232:AB232)</f>
        <v/>
      </c>
      <c r="P232" s="182">
        <f>ROUND(#REF!+#REF!+#REF!+预安排!F241+#REF!+'6月'!P232,5)</f>
        <v/>
      </c>
      <c r="Q232" s="182">
        <f>ROUND(#REF!+#REF!+#REF!+预安排!#REF!+#REF!+'6月'!Q232,5)</f>
        <v/>
      </c>
      <c r="R232" s="182">
        <f>ROUND(#REF!+#REF!+#REF!+预安排!G241+#REF!+'6月'!R232,5)</f>
        <v/>
      </c>
      <c r="S232" s="182">
        <f>ROUND(#REF!+#REF!+#REF!+预安排!#REF!+#REF!+'6月'!S232,5)</f>
        <v/>
      </c>
      <c r="T232" s="182">
        <f>ROUND(#REF!+#REF!+#REF!+预安排!#REF!+#REF!+'6月'!T232,5)</f>
        <v/>
      </c>
      <c r="U232" s="182">
        <f>ROUND(#REF!+#REF!+#REF!+预安排!O241+#REF!+'6月'!U232,5)</f>
        <v/>
      </c>
      <c r="V232" s="182">
        <f>ROUND(#REF!+#REF!+#REF!+预安排!P241+#REF!+'6月'!V232,5)</f>
        <v/>
      </c>
      <c r="W232" s="182">
        <f>ROUND(#REF!+#REF!+#REF!+预安排!Q241+#REF!+'6月'!W232,5)</f>
        <v/>
      </c>
      <c r="X232" s="182">
        <f>ROUND(#REF!+#REF!+#REF!+预安排!R241+#REF!+'6月'!X232,5)</f>
        <v/>
      </c>
      <c r="Y232" s="182">
        <f>ROUND(#REF!+#REF!+#REF!+预安排!S241+#REF!+'6月'!Y232,5)</f>
        <v/>
      </c>
      <c r="Z232" s="182">
        <f>ROUND(#REF!+#REF!+#REF!+预安排!#REF!+#REF!+'6月'!Z232,5)</f>
        <v/>
      </c>
      <c r="AA232" s="182">
        <f>ROUND(#REF!+#REF!+#REF!+预安排!#REF!+#REF!+'6月'!AA232,5)</f>
        <v/>
      </c>
      <c r="AB232" s="182">
        <f>ROUND(#REF!+#REF!+#REF!+预安排!#REF!+#REF!+'6月'!AB232,5)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193">
        <f>计划!O232-O232</f>
        <v/>
      </c>
      <c r="AH232" s="193">
        <f>ROUND(AG232/$AH$1,2)</f>
        <v/>
      </c>
    </row>
    <row r="233" customFormat="1" s="1">
      <c r="A233" s="234" t="n"/>
      <c r="B233" s="231" t="inlineStr">
        <is>
          <t>SKU-EDF7920D</t>
        </is>
      </c>
      <c r="C233" s="231" t="inlineStr">
        <is>
          <t>是</t>
        </is>
      </c>
      <c r="D233" s="231" t="n">
        <v>10</v>
      </c>
      <c r="E233" s="231" t="inlineStr"/>
      <c r="F233" s="231" t="inlineStr">
        <is>
          <t>是</t>
        </is>
      </c>
      <c r="G233" s="231" t="inlineStr"/>
      <c r="H233" s="231" t="inlineStr"/>
      <c r="I233" s="231" t="inlineStr">
        <is>
          <t>是</t>
        </is>
      </c>
      <c r="J233" s="27" t="inlineStr"/>
      <c r="K233" s="27" t="inlineStr"/>
      <c r="L233" s="231" t="n">
        <v>100</v>
      </c>
      <c r="M233" s="59" t="inlineStr">
        <is>
          <t>Product-CE4C0A22</t>
        </is>
      </c>
      <c r="N233" s="231" t="n">
        <v>1</v>
      </c>
      <c r="O233" s="181">
        <f>SUM(P233:AB233)</f>
        <v/>
      </c>
      <c r="P233" s="182">
        <f>ROUND(#REF!+#REF!+#REF!+预安排!F242+#REF!+'6月'!P233,5)</f>
        <v/>
      </c>
      <c r="Q233" s="182">
        <f>ROUND(#REF!+#REF!+#REF!+预安排!#REF!+#REF!+'6月'!Q233,5)</f>
        <v/>
      </c>
      <c r="R233" s="182">
        <f>ROUND(#REF!+#REF!+#REF!+预安排!G242+#REF!+'6月'!R233,5)</f>
        <v/>
      </c>
      <c r="S233" s="182">
        <f>ROUND(#REF!+#REF!+#REF!+预安排!#REF!+#REF!+'6月'!S233,5)</f>
        <v/>
      </c>
      <c r="T233" s="182">
        <f>ROUND(#REF!+#REF!+#REF!+预安排!#REF!+#REF!+'6月'!T233,5)</f>
        <v/>
      </c>
      <c r="U233" s="182">
        <f>ROUND(#REF!+#REF!+#REF!+预安排!O242+#REF!+'6月'!U233,5)</f>
        <v/>
      </c>
      <c r="V233" s="182">
        <f>ROUND(#REF!+#REF!+#REF!+预安排!P242+#REF!+'6月'!V233,5)</f>
        <v/>
      </c>
      <c r="W233" s="182">
        <f>ROUND(#REF!+#REF!+#REF!+预安排!Q242+#REF!+'6月'!W233,5)</f>
        <v/>
      </c>
      <c r="X233" s="182">
        <f>ROUND(#REF!+#REF!+#REF!+预安排!R242+#REF!+'6月'!X233,5)</f>
        <v/>
      </c>
      <c r="Y233" s="182">
        <f>ROUND(#REF!+#REF!+#REF!+预安排!S242+#REF!+'6月'!Y233,5)</f>
        <v/>
      </c>
      <c r="Z233" s="182">
        <f>ROUND(#REF!+#REF!+#REF!+预安排!#REF!+#REF!+'6月'!Z233,5)</f>
        <v/>
      </c>
      <c r="AA233" s="182">
        <f>ROUND(#REF!+#REF!+#REF!+预安排!#REF!+#REF!+'6月'!AA233,5)</f>
        <v/>
      </c>
      <c r="AB233" s="182">
        <f>ROUND(#REF!+#REF!+#REF!+预安排!#REF!+#REF!+'6月'!AB233,5)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193">
        <f>计划!O233-O233</f>
        <v/>
      </c>
      <c r="AH233" s="193">
        <f>ROUND(AG233/$AH$1,2)</f>
        <v/>
      </c>
    </row>
    <row r="234" customFormat="1" s="1">
      <c r="A234" s="234" t="n"/>
      <c r="B234" s="231" t="inlineStr">
        <is>
          <t>SKU-DD4DEF4E</t>
        </is>
      </c>
      <c r="C234" s="231" t="inlineStr">
        <is>
          <t>是</t>
        </is>
      </c>
      <c r="D234" s="231" t="n">
        <v>10</v>
      </c>
      <c r="E234" s="231" t="inlineStr"/>
      <c r="F234" s="231" t="inlineStr"/>
      <c r="G234" s="231" t="inlineStr"/>
      <c r="H234" s="231" t="inlineStr"/>
      <c r="I234" s="231" t="inlineStr"/>
      <c r="J234" s="27" t="inlineStr">
        <is>
          <t>共</t>
        </is>
      </c>
      <c r="K234" s="27" t="inlineStr"/>
      <c r="L234" s="231" t="n">
        <v>100</v>
      </c>
      <c r="M234" s="59" t="inlineStr">
        <is>
          <t>Product-F3C53F7F</t>
        </is>
      </c>
      <c r="N234" s="231" t="n">
        <v>1</v>
      </c>
      <c r="O234" s="181">
        <f>SUM(P234:AB234)</f>
        <v/>
      </c>
      <c r="P234" s="182">
        <f>ROUND(#REF!+#REF!+#REF!+预安排!F243+#REF!+'6月'!P234,5)</f>
        <v/>
      </c>
      <c r="Q234" s="182">
        <f>ROUND(#REF!+#REF!+#REF!+预安排!#REF!+#REF!+'6月'!Q234,5)</f>
        <v/>
      </c>
      <c r="R234" s="182">
        <f>ROUND(#REF!+#REF!+#REF!+预安排!G243+#REF!+'6月'!R234,5)</f>
        <v/>
      </c>
      <c r="S234" s="182">
        <f>ROUND(#REF!+#REF!+#REF!+预安排!#REF!+#REF!+'6月'!S234,5)</f>
        <v/>
      </c>
      <c r="T234" s="182">
        <f>ROUND(#REF!+#REF!+#REF!+预安排!#REF!+#REF!+'6月'!T234,5)</f>
        <v/>
      </c>
      <c r="U234" s="182">
        <f>ROUND(#REF!+#REF!+#REF!+预安排!O243+#REF!+'6月'!U234,5)</f>
        <v/>
      </c>
      <c r="V234" s="182">
        <f>ROUND(#REF!+#REF!+#REF!+预安排!P243+#REF!+'6月'!V234,5)</f>
        <v/>
      </c>
      <c r="W234" s="182">
        <f>ROUND(#REF!+#REF!+#REF!+预安排!Q243+#REF!+'6月'!W234,5)</f>
        <v/>
      </c>
      <c r="X234" s="182">
        <f>ROUND(#REF!+#REF!+#REF!+预安排!R243+#REF!+'6月'!X234,5)</f>
        <v/>
      </c>
      <c r="Y234" s="182">
        <f>ROUND(#REF!+#REF!+#REF!+预安排!S243+#REF!+'6月'!Y234,5)</f>
        <v/>
      </c>
      <c r="Z234" s="182">
        <f>ROUND(#REF!+#REF!+#REF!+预安排!#REF!+#REF!+'6月'!Z234,5)</f>
        <v/>
      </c>
      <c r="AA234" s="182">
        <f>ROUND(#REF!+#REF!+#REF!+预安排!#REF!+#REF!+'6月'!AA234,5)</f>
        <v/>
      </c>
      <c r="AB234" s="182">
        <f>ROUND(#REF!+#REF!+#REF!+预安排!#REF!+#REF!+'6月'!AB234,5)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193">
        <f>计划!O234-O234</f>
        <v/>
      </c>
      <c r="AH234" s="193">
        <f>ROUND(AG234/$AH$1,2)</f>
        <v/>
      </c>
    </row>
    <row r="235" customFormat="1" s="1">
      <c r="A235" s="234" t="n"/>
      <c r="B235" s="231" t="inlineStr">
        <is>
          <t>SKU-05047315</t>
        </is>
      </c>
      <c r="C235" s="231" t="inlineStr">
        <is>
          <t>是</t>
        </is>
      </c>
      <c r="D235" s="231" t="n">
        <v>11</v>
      </c>
      <c r="E235" s="231" t="inlineStr"/>
      <c r="F235" s="231" t="inlineStr"/>
      <c r="G235" s="231" t="inlineStr"/>
      <c r="H235" s="231" t="inlineStr"/>
      <c r="I235" s="231" t="inlineStr"/>
      <c r="J235" s="27" t="inlineStr"/>
      <c r="K235" s="27" t="inlineStr"/>
      <c r="L235" s="231" t="n">
        <v>100</v>
      </c>
      <c r="M235" s="33" t="inlineStr">
        <is>
          <t>Product-81383D73</t>
        </is>
      </c>
      <c r="N235" s="231" t="n">
        <v>3</v>
      </c>
      <c r="O235" s="181">
        <f>SUM(P235:AB235)</f>
        <v/>
      </c>
      <c r="P235" s="182">
        <f>ROUND(#REF!+#REF!+#REF!+预安排!F244+#REF!+'6月'!P235,5)</f>
        <v/>
      </c>
      <c r="Q235" s="182">
        <f>ROUND(#REF!+#REF!+#REF!+预安排!#REF!+#REF!+'6月'!Q235,5)</f>
        <v/>
      </c>
      <c r="R235" s="182">
        <f>ROUND(#REF!+#REF!+#REF!+预安排!G244+#REF!+'6月'!R235,5)</f>
        <v/>
      </c>
      <c r="S235" s="182">
        <f>ROUND(#REF!+#REF!+#REF!+预安排!#REF!+#REF!+'6月'!S235,5)</f>
        <v/>
      </c>
      <c r="T235" s="182">
        <f>ROUND(#REF!+#REF!+#REF!+预安排!#REF!+#REF!+'6月'!T235,5)</f>
        <v/>
      </c>
      <c r="U235" s="182">
        <f>ROUND(#REF!+#REF!+#REF!+预安排!O244+#REF!+'6月'!U235,5)</f>
        <v/>
      </c>
      <c r="V235" s="182">
        <f>ROUND(#REF!+#REF!+#REF!+预安排!P244+#REF!+'6月'!V235,5)</f>
        <v/>
      </c>
      <c r="W235" s="182">
        <f>ROUND(#REF!+#REF!+#REF!+预安排!Q244+#REF!+'6月'!W235,5)</f>
        <v/>
      </c>
      <c r="X235" s="182">
        <f>ROUND(#REF!+#REF!+#REF!+预安排!R244+#REF!+'6月'!X235,5)</f>
        <v/>
      </c>
      <c r="Y235" s="182">
        <f>ROUND(#REF!+#REF!+#REF!+预安排!S244+#REF!+'6月'!Y235,5)</f>
        <v/>
      </c>
      <c r="Z235" s="182">
        <f>ROUND(#REF!+#REF!+#REF!+预安排!#REF!+#REF!+'6月'!Z235,5)</f>
        <v/>
      </c>
      <c r="AA235" s="182">
        <f>ROUND(#REF!+#REF!+#REF!+预安排!#REF!+#REF!+'6月'!AA235,5)</f>
        <v/>
      </c>
      <c r="AB235" s="182">
        <f>ROUND(#REF!+#REF!+#REF!+预安排!#REF!+#REF!+'6月'!AB235,5)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193">
        <f>计划!O235-O235</f>
        <v/>
      </c>
      <c r="AH235" s="193">
        <f>ROUND(AG235/$AH$1,2)</f>
        <v/>
      </c>
    </row>
    <row r="236" customFormat="1" s="1">
      <c r="A236" s="234" t="n"/>
      <c r="B236" s="231" t="inlineStr">
        <is>
          <t>SKU-9CAB8B44</t>
        </is>
      </c>
      <c r="C236" s="231" t="inlineStr">
        <is>
          <t>是</t>
        </is>
      </c>
      <c r="D236" s="231" t="n">
        <v>10</v>
      </c>
      <c r="E236" s="231" t="inlineStr"/>
      <c r="F236" s="231" t="inlineStr">
        <is>
          <t>是</t>
        </is>
      </c>
      <c r="G236" s="231" t="inlineStr"/>
      <c r="H236" s="231" t="inlineStr"/>
      <c r="I236" s="231" t="inlineStr">
        <is>
          <t>是</t>
        </is>
      </c>
      <c r="J236" s="27" t="inlineStr"/>
      <c r="K236" s="27" t="inlineStr"/>
      <c r="L236" s="231" t="n">
        <v>100</v>
      </c>
      <c r="M236" s="43" t="inlineStr">
        <is>
          <t>Product-410E9D24</t>
        </is>
      </c>
      <c r="N236" s="231" t="n">
        <v>1</v>
      </c>
      <c r="O236" s="181">
        <f>SUM(P236:AB236)</f>
        <v/>
      </c>
      <c r="P236" s="182">
        <f>ROUND(#REF!+#REF!+#REF!+预安排!F245+#REF!+'6月'!P236,5)</f>
        <v/>
      </c>
      <c r="Q236" s="182">
        <f>ROUND(#REF!+#REF!+#REF!+预安排!#REF!+#REF!+'6月'!Q236,5)</f>
        <v/>
      </c>
      <c r="R236" s="182">
        <f>ROUND(#REF!+#REF!+#REF!+预安排!G245+#REF!+'6月'!R236,5)</f>
        <v/>
      </c>
      <c r="S236" s="182">
        <f>ROUND(#REF!+#REF!+#REF!+预安排!#REF!+#REF!+'6月'!S236,5)</f>
        <v/>
      </c>
      <c r="T236" s="182">
        <f>ROUND(#REF!+#REF!+#REF!+预安排!#REF!+#REF!+'6月'!T236,5)</f>
        <v/>
      </c>
      <c r="U236" s="182">
        <f>ROUND(#REF!+#REF!+#REF!+预安排!O245+#REF!+'6月'!U236,5)</f>
        <v/>
      </c>
      <c r="V236" s="182">
        <f>ROUND(#REF!+#REF!+#REF!+预安排!P245+#REF!+'6月'!V236,5)</f>
        <v/>
      </c>
      <c r="W236" s="182">
        <f>ROUND(#REF!+#REF!+#REF!+预安排!Q245+#REF!+'6月'!W236,5)</f>
        <v/>
      </c>
      <c r="X236" s="182">
        <f>ROUND(#REF!+#REF!+#REF!+预安排!R245+#REF!+'6月'!X236,5)</f>
        <v/>
      </c>
      <c r="Y236" s="182">
        <f>ROUND(#REF!+#REF!+#REF!+预安排!S245+#REF!+'6月'!Y236,5)</f>
        <v/>
      </c>
      <c r="Z236" s="182">
        <f>ROUND(#REF!+#REF!+#REF!+预安排!#REF!+#REF!+'6月'!Z236,5)</f>
        <v/>
      </c>
      <c r="AA236" s="182">
        <f>ROUND(#REF!+#REF!+#REF!+预安排!#REF!+#REF!+'6月'!AA236,5)</f>
        <v/>
      </c>
      <c r="AB236" s="182">
        <f>ROUND(#REF!+#REF!+#REF!+预安排!#REF!+#REF!+'6月'!AB236,5)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193">
        <f>计划!O236-O236</f>
        <v/>
      </c>
      <c r="AH236" s="193">
        <f>ROUND(AG236/$AH$1,2)</f>
        <v/>
      </c>
    </row>
    <row r="237" customFormat="1" s="1">
      <c r="A237" s="234" t="n"/>
      <c r="B237" s="231" t="inlineStr">
        <is>
          <t>SKU-2AAB30A8</t>
        </is>
      </c>
      <c r="C237" s="231" t="inlineStr">
        <is>
          <t>是</t>
        </is>
      </c>
      <c r="D237" s="231" t="n">
        <v>10</v>
      </c>
      <c r="E237" s="231" t="inlineStr"/>
      <c r="F237" s="231" t="inlineStr"/>
      <c r="G237" s="231" t="inlineStr"/>
      <c r="H237" s="231" t="inlineStr"/>
      <c r="I237" s="231" t="inlineStr"/>
      <c r="J237" s="27" t="inlineStr"/>
      <c r="K237" s="27" t="inlineStr"/>
      <c r="L237" s="231" t="n">
        <v>100</v>
      </c>
      <c r="M237" s="19" t="inlineStr">
        <is>
          <t>Product-81383D73</t>
        </is>
      </c>
      <c r="N237" s="231" t="n">
        <v>3</v>
      </c>
      <c r="O237" s="181">
        <f>SUM(P237:AB237)</f>
        <v/>
      </c>
      <c r="P237" s="182">
        <f>ROUND(#REF!+#REF!+#REF!+预安排!F246+#REF!+'6月'!P237,5)</f>
        <v/>
      </c>
      <c r="Q237" s="182">
        <f>ROUND(#REF!+#REF!+#REF!+预安排!#REF!+#REF!+'6月'!Q237,5)</f>
        <v/>
      </c>
      <c r="R237" s="182">
        <f>ROUND(#REF!+#REF!+#REF!+预安排!G246+#REF!+'6月'!R237,5)</f>
        <v/>
      </c>
      <c r="S237" s="182">
        <f>ROUND(#REF!+#REF!+#REF!+预安排!#REF!+#REF!+'6月'!S237,5)</f>
        <v/>
      </c>
      <c r="T237" s="182">
        <f>ROUND(#REF!+#REF!+#REF!+预安排!#REF!+#REF!+'6月'!T237,5)</f>
        <v/>
      </c>
      <c r="U237" s="182">
        <f>ROUND(#REF!+#REF!+#REF!+预安排!O246+#REF!+'6月'!U237,5)</f>
        <v/>
      </c>
      <c r="V237" s="182">
        <f>ROUND(#REF!+#REF!+#REF!+预安排!P246+#REF!+'6月'!V237,5)</f>
        <v/>
      </c>
      <c r="W237" s="182">
        <f>ROUND(#REF!+#REF!+#REF!+预安排!Q246+#REF!+'6月'!W237,5)</f>
        <v/>
      </c>
      <c r="X237" s="182">
        <f>ROUND(#REF!+#REF!+#REF!+预安排!R246+#REF!+'6月'!X237,5)</f>
        <v/>
      </c>
      <c r="Y237" s="182">
        <f>ROUND(#REF!+#REF!+#REF!+预安排!S246+#REF!+'6月'!Y237,5)</f>
        <v/>
      </c>
      <c r="Z237" s="182">
        <f>ROUND(#REF!+#REF!+#REF!+预安排!#REF!+#REF!+'6月'!Z237,5)</f>
        <v/>
      </c>
      <c r="AA237" s="182">
        <f>ROUND(#REF!+#REF!+#REF!+预安排!#REF!+#REF!+'6月'!AA237,5)</f>
        <v/>
      </c>
      <c r="AB237" s="182">
        <f>ROUND(#REF!+#REF!+#REF!+预安排!#REF!+#REF!+'6月'!AB237,5)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193">
        <f>计划!O237-O237</f>
        <v/>
      </c>
      <c r="AH237" s="193">
        <f>ROUND(AG237/$AH$1,2)</f>
        <v/>
      </c>
    </row>
    <row r="238" customFormat="1" s="1">
      <c r="A238" s="234" t="n"/>
      <c r="B238" s="231" t="inlineStr">
        <is>
          <t>SKU-56549691</t>
        </is>
      </c>
      <c r="C238" s="231" t="inlineStr">
        <is>
          <t>是</t>
        </is>
      </c>
      <c r="D238" s="231" t="n">
        <v>7</v>
      </c>
      <c r="E238" s="231" t="inlineStr">
        <is>
          <t>是</t>
        </is>
      </c>
      <c r="F238" s="231" t="inlineStr"/>
      <c r="G238" s="231" t="inlineStr"/>
      <c r="H238" s="231" t="inlineStr">
        <is>
          <t>是</t>
        </is>
      </c>
      <c r="I238" s="231" t="inlineStr">
        <is>
          <t>是</t>
        </is>
      </c>
      <c r="J238" s="27" t="inlineStr"/>
      <c r="K238" s="27" t="inlineStr"/>
      <c r="L238" s="231" t="n">
        <v>100</v>
      </c>
      <c r="M238" s="45" t="inlineStr">
        <is>
          <t>Product-A2BB61CB</t>
        </is>
      </c>
      <c r="N238" s="231" t="n">
        <v>1</v>
      </c>
      <c r="O238" s="181">
        <f>SUM(P238:AB238)</f>
        <v/>
      </c>
      <c r="P238" s="182">
        <f>ROUND(#REF!+#REF!+#REF!+预安排!F248+#REF!+'6月'!P238,5)</f>
        <v/>
      </c>
      <c r="Q238" s="182">
        <f>ROUND(#REF!+#REF!+#REF!+预安排!#REF!+#REF!+'6月'!Q238,5)</f>
        <v/>
      </c>
      <c r="R238" s="182">
        <f>ROUND(#REF!+#REF!+#REF!+预安排!G248+#REF!+'6月'!R238,5)</f>
        <v/>
      </c>
      <c r="S238" s="182">
        <f>ROUND(#REF!+#REF!+#REF!+预安排!#REF!+#REF!+'6月'!S238,5)</f>
        <v/>
      </c>
      <c r="T238" s="182">
        <f>ROUND(#REF!+#REF!+#REF!+预安排!#REF!+#REF!+'6月'!T238,5)</f>
        <v/>
      </c>
      <c r="U238" s="182">
        <f>ROUND(#REF!+#REF!+#REF!+预安排!O248+#REF!+'6月'!U238,5)</f>
        <v/>
      </c>
      <c r="V238" s="182">
        <f>ROUND(#REF!+#REF!+#REF!+预安排!P248+#REF!+'6月'!V238,5)</f>
        <v/>
      </c>
      <c r="W238" s="182">
        <f>ROUND(#REF!+#REF!+#REF!+预安排!Q248+#REF!+'6月'!W238,5)</f>
        <v/>
      </c>
      <c r="X238" s="182">
        <f>ROUND(#REF!+#REF!+#REF!+预安排!R248+#REF!+'6月'!X238,5)</f>
        <v/>
      </c>
      <c r="Y238" s="182">
        <f>ROUND(#REF!+#REF!+#REF!+预安排!S248+#REF!+'6月'!Y238,5)</f>
        <v/>
      </c>
      <c r="Z238" s="182">
        <f>ROUND(#REF!+#REF!+#REF!+预安排!#REF!+#REF!+'6月'!Z238,5)</f>
        <v/>
      </c>
      <c r="AA238" s="182">
        <f>ROUND(#REF!+#REF!+#REF!+预安排!#REF!+#REF!+'6月'!AA238,5)</f>
        <v/>
      </c>
      <c r="AB238" s="182">
        <f>ROUND(#REF!+#REF!+#REF!+预安排!#REF!+#REF!+'6月'!AB238,5)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193">
        <f>计划!O238-O238</f>
        <v/>
      </c>
      <c r="AH238" s="193">
        <f>ROUND(AG238/$AH$1,2)</f>
        <v/>
      </c>
    </row>
    <row r="239" customFormat="1" s="1">
      <c r="A239" s="235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196">
        <f>计划!O239-O239</f>
        <v/>
      </c>
      <c r="AH239" s="196">
        <f>ROUND(AG239/$AH$1,2)</f>
        <v/>
      </c>
    </row>
    <row r="240" customFormat="1" s="1">
      <c r="A240" s="25" t="inlineStr">
        <is>
          <t>贵州</t>
        </is>
      </c>
      <c r="B240" s="231" t="inlineStr">
        <is>
          <t>SKU-96A04697</t>
        </is>
      </c>
      <c r="C240" s="231" t="inlineStr">
        <is>
          <t>是</t>
        </is>
      </c>
      <c r="D240" s="231" t="n">
        <v>10</v>
      </c>
      <c r="E240" s="231" t="inlineStr"/>
      <c r="F240" s="231" t="inlineStr"/>
      <c r="G240" s="231" t="inlineStr"/>
      <c r="H240" s="231" t="inlineStr">
        <is>
          <t>是</t>
        </is>
      </c>
      <c r="I240" s="231" t="inlineStr">
        <is>
          <t>是</t>
        </is>
      </c>
      <c r="J240" s="27" t="inlineStr"/>
      <c r="K240" s="27" t="inlineStr"/>
      <c r="L240" s="231" t="n">
        <v>100</v>
      </c>
      <c r="M240" s="19" t="inlineStr">
        <is>
          <t>Product-28EE2E14</t>
        </is>
      </c>
      <c r="N240" s="231" t="n">
        <v>1</v>
      </c>
      <c r="O240" s="181">
        <f>SUM(P240:AB240)</f>
        <v/>
      </c>
      <c r="P240" s="182">
        <f>ROUND(#REF!+#REF!+#REF!+预安排!F250+#REF!+'6月'!P240,5)</f>
        <v/>
      </c>
      <c r="Q240" s="182">
        <f>ROUND(#REF!+#REF!+#REF!+预安排!#REF!+#REF!+'6月'!Q240,5)</f>
        <v/>
      </c>
      <c r="R240" s="182">
        <f>ROUND(#REF!+#REF!+#REF!+预安排!G250+#REF!+'6月'!R240,5)</f>
        <v/>
      </c>
      <c r="S240" s="182">
        <f>ROUND(#REF!+#REF!+#REF!+预安排!#REF!+#REF!+'6月'!S240,5)</f>
        <v/>
      </c>
      <c r="T240" s="182">
        <f>ROUND(#REF!+#REF!+#REF!+预安排!#REF!+#REF!+'6月'!T240,5)</f>
        <v/>
      </c>
      <c r="U240" s="182">
        <f>ROUND(#REF!+#REF!+#REF!+预安排!O250+#REF!+'6月'!U240,5)</f>
        <v/>
      </c>
      <c r="V240" s="182">
        <f>ROUND(#REF!+#REF!+#REF!+预安排!P250+#REF!+'6月'!V240,5)</f>
        <v/>
      </c>
      <c r="W240" s="182">
        <f>ROUND(#REF!+#REF!+#REF!+预安排!Q250+#REF!+'6月'!W240,5)</f>
        <v/>
      </c>
      <c r="X240" s="182">
        <f>ROUND(#REF!+#REF!+#REF!+预安排!R250+#REF!+'6月'!X240,5)</f>
        <v/>
      </c>
      <c r="Y240" s="182">
        <f>ROUND(#REF!+#REF!+#REF!+预安排!S250+#REF!+'6月'!Y240,5)</f>
        <v/>
      </c>
      <c r="Z240" s="182">
        <f>ROUND(#REF!+#REF!+#REF!+预安排!#REF!+#REF!+'6月'!Z240,5)</f>
        <v/>
      </c>
      <c r="AA240" s="182">
        <f>ROUND(#REF!+#REF!+#REF!+预安排!#REF!+#REF!+'6月'!AA240,5)</f>
        <v/>
      </c>
      <c r="AB240" s="182">
        <f>ROUND(#REF!+#REF!+#REF!+预安排!#REF!+#REF!+'6月'!AB240,5)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193">
        <f>计划!O240-O240</f>
        <v/>
      </c>
      <c r="AH240" s="193">
        <f>ROUND(AG240/$AH$1,2)</f>
        <v/>
      </c>
    </row>
    <row r="241" customFormat="1" s="1">
      <c r="A241" s="234" t="n"/>
      <c r="B241" s="231" t="inlineStr">
        <is>
          <t>SKU-D5EF4CB5</t>
        </is>
      </c>
      <c r="C241" s="231" t="inlineStr">
        <is>
          <t>是</t>
        </is>
      </c>
      <c r="D241" s="231" t="n">
        <v>11</v>
      </c>
      <c r="E241" s="231" t="inlineStr"/>
      <c r="F241" s="231" t="inlineStr"/>
      <c r="G241" s="231" t="inlineStr"/>
      <c r="H241" s="231" t="inlineStr"/>
      <c r="I241" s="231" t="inlineStr"/>
      <c r="J241" s="27" t="inlineStr"/>
      <c r="K241" s="27" t="inlineStr"/>
      <c r="L241" s="231" t="n">
        <v>100</v>
      </c>
      <c r="M241" s="19" t="inlineStr">
        <is>
          <t>Product-37275E77</t>
        </is>
      </c>
      <c r="N241" s="231" t="n">
        <v>3</v>
      </c>
      <c r="O241" s="181">
        <f>SUM(P241:AB241)</f>
        <v/>
      </c>
      <c r="P241" s="182">
        <f>ROUND(#REF!+#REF!+#REF!+预安排!F251+#REF!+'6月'!P241,5)</f>
        <v/>
      </c>
      <c r="Q241" s="182">
        <f>ROUND(#REF!+#REF!+#REF!+预安排!#REF!+#REF!+'6月'!Q241,5)</f>
        <v/>
      </c>
      <c r="R241" s="182">
        <f>ROUND(#REF!+#REF!+#REF!+预安排!G251+#REF!+'6月'!R241,5)</f>
        <v/>
      </c>
      <c r="S241" s="182">
        <f>ROUND(#REF!+#REF!+#REF!+预安排!#REF!+#REF!+'6月'!S241,5)</f>
        <v/>
      </c>
      <c r="T241" s="182">
        <f>ROUND(#REF!+#REF!+#REF!+预安排!#REF!+#REF!+'6月'!T241,5)</f>
        <v/>
      </c>
      <c r="U241" s="182">
        <f>ROUND(#REF!+#REF!+#REF!+预安排!O251+#REF!+'6月'!U241,5)</f>
        <v/>
      </c>
      <c r="V241" s="182">
        <f>ROUND(#REF!+#REF!+#REF!+预安排!P251+#REF!+'6月'!V241,5)</f>
        <v/>
      </c>
      <c r="W241" s="182">
        <f>ROUND(#REF!+#REF!+#REF!+预安排!Q251+#REF!+'6月'!W241,5)</f>
        <v/>
      </c>
      <c r="X241" s="182">
        <f>ROUND(#REF!+#REF!+#REF!+预安排!R251+#REF!+'6月'!X241,5)</f>
        <v/>
      </c>
      <c r="Y241" s="182">
        <f>ROUND(#REF!+#REF!+#REF!+预安排!S251+#REF!+'6月'!Y241,5)</f>
        <v/>
      </c>
      <c r="Z241" s="182">
        <f>ROUND(#REF!+#REF!+#REF!+预安排!#REF!+#REF!+'6月'!Z241,5)</f>
        <v/>
      </c>
      <c r="AA241" s="182">
        <f>ROUND(#REF!+#REF!+#REF!+预安排!#REF!+#REF!+'6月'!AA241,5)</f>
        <v/>
      </c>
      <c r="AB241" s="182">
        <f>ROUND(#REF!+#REF!+#REF!+预安排!#REF!+#REF!+'6月'!AB241,5)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193">
        <f>计划!O241-O241</f>
        <v/>
      </c>
      <c r="AH241" s="193">
        <f>ROUND(AG241/$AH$1,2)</f>
        <v/>
      </c>
    </row>
    <row r="242" customFormat="1" s="1">
      <c r="A242" s="234" t="n"/>
      <c r="B242" s="231" t="inlineStr">
        <is>
          <t>SKU-74022443</t>
        </is>
      </c>
      <c r="C242" s="231" t="inlineStr">
        <is>
          <t>是</t>
        </is>
      </c>
      <c r="D242" s="231" t="n">
        <v>7</v>
      </c>
      <c r="E242" s="231" t="inlineStr">
        <is>
          <t>是</t>
        </is>
      </c>
      <c r="F242" s="231" t="inlineStr"/>
      <c r="G242" s="231" t="inlineStr"/>
      <c r="H242" s="231" t="inlineStr">
        <is>
          <t>是</t>
        </is>
      </c>
      <c r="I242" s="231" t="inlineStr">
        <is>
          <t>是</t>
        </is>
      </c>
      <c r="J242" s="27" t="inlineStr">
        <is>
          <t>共</t>
        </is>
      </c>
      <c r="K242" s="27" t="inlineStr"/>
      <c r="L242" s="231" t="n">
        <v>100</v>
      </c>
      <c r="M242" s="19" t="inlineStr">
        <is>
          <t>Product-FC598C42</t>
        </is>
      </c>
      <c r="N242" s="231" t="n">
        <v>1</v>
      </c>
      <c r="O242" s="181">
        <f>SUM(P242:AB242)</f>
        <v/>
      </c>
      <c r="P242" s="182">
        <f>ROUND(#REF!+#REF!+#REF!+预安排!F252+#REF!+'6月'!P242,5)</f>
        <v/>
      </c>
      <c r="Q242" s="182">
        <f>ROUND(#REF!+#REF!+#REF!+预安排!#REF!+#REF!+'6月'!Q242,5)</f>
        <v/>
      </c>
      <c r="R242" s="182">
        <f>ROUND(#REF!+#REF!+#REF!+预安排!G252+#REF!+'6月'!R242,5)</f>
        <v/>
      </c>
      <c r="S242" s="182">
        <f>ROUND(#REF!+#REF!+#REF!+预安排!#REF!+#REF!+'6月'!S242,5)</f>
        <v/>
      </c>
      <c r="T242" s="182">
        <f>ROUND(#REF!+#REF!+#REF!+预安排!#REF!+#REF!+'6月'!T242,5)</f>
        <v/>
      </c>
      <c r="U242" s="182">
        <f>ROUND(#REF!+#REF!+#REF!+预安排!O252+#REF!+'6月'!U242,5)</f>
        <v/>
      </c>
      <c r="V242" s="182">
        <f>ROUND(#REF!+#REF!+#REF!+预安排!P252+#REF!+'6月'!V242,5)</f>
        <v/>
      </c>
      <c r="W242" s="182">
        <f>ROUND(#REF!+#REF!+#REF!+预安排!Q252+#REF!+'6月'!W242,5)</f>
        <v/>
      </c>
      <c r="X242" s="182">
        <f>ROUND(#REF!+#REF!+#REF!+预安排!R252+#REF!+'6月'!X242,5)</f>
        <v/>
      </c>
      <c r="Y242" s="182">
        <f>ROUND(#REF!+#REF!+#REF!+预安排!S252+#REF!+'6月'!Y242,5)</f>
        <v/>
      </c>
      <c r="Z242" s="182">
        <f>ROUND(#REF!+#REF!+#REF!+预安排!#REF!+#REF!+'6月'!Z242,5)</f>
        <v/>
      </c>
      <c r="AA242" s="182">
        <f>ROUND(#REF!+#REF!+#REF!+预安排!#REF!+#REF!+'6月'!AA242,5)</f>
        <v/>
      </c>
      <c r="AB242" s="182">
        <f>ROUND(#REF!+#REF!+#REF!+预安排!#REF!+#REF!+'6月'!AB242,5)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193">
        <f>计划!O242-O242</f>
        <v/>
      </c>
      <c r="AH242" s="193">
        <f>ROUND(AG242/$AH$1,2)</f>
        <v/>
      </c>
    </row>
    <row r="243" customFormat="1" s="1">
      <c r="A243" s="234" t="n"/>
      <c r="B243" s="231" t="inlineStr">
        <is>
          <t>SKU-6F1556A7</t>
        </is>
      </c>
      <c r="C243" s="231" t="inlineStr">
        <is>
          <t>是</t>
        </is>
      </c>
      <c r="D243" s="231" t="n">
        <v>6</v>
      </c>
      <c r="E243" s="231" t="inlineStr">
        <is>
          <t>是</t>
        </is>
      </c>
      <c r="F243" s="231" t="inlineStr"/>
      <c r="G243" s="231" t="inlineStr"/>
      <c r="H243" s="231" t="inlineStr">
        <is>
          <t>是</t>
        </is>
      </c>
      <c r="I243" s="231" t="inlineStr">
        <is>
          <t>是</t>
        </is>
      </c>
      <c r="J243" s="27" t="inlineStr"/>
      <c r="K243" s="27" t="inlineStr"/>
      <c r="L243" s="231" t="n">
        <v>100</v>
      </c>
      <c r="M243" s="19" t="inlineStr">
        <is>
          <t>Product-76A9C072</t>
        </is>
      </c>
      <c r="N243" s="231" t="n">
        <v>1</v>
      </c>
      <c r="O243" s="181">
        <f>SUM(P243:AB243)</f>
        <v/>
      </c>
      <c r="P243" s="182">
        <f>ROUND(#REF!+#REF!+#REF!+预安排!F253+#REF!+'6月'!P243,5)</f>
        <v/>
      </c>
      <c r="Q243" s="182">
        <f>ROUND(#REF!+#REF!+#REF!+预安排!#REF!+#REF!+'6月'!Q243,5)</f>
        <v/>
      </c>
      <c r="R243" s="182">
        <f>ROUND(#REF!+#REF!+#REF!+预安排!G253+#REF!+'6月'!R243,5)</f>
        <v/>
      </c>
      <c r="S243" s="182">
        <f>ROUND(#REF!+#REF!+#REF!+预安排!#REF!+#REF!+'6月'!S243,5)</f>
        <v/>
      </c>
      <c r="T243" s="182">
        <f>ROUND(#REF!+#REF!+#REF!+预安排!#REF!+#REF!+'6月'!T243,5)</f>
        <v/>
      </c>
      <c r="U243" s="182">
        <f>ROUND(#REF!+#REF!+#REF!+预安排!O253+#REF!+'6月'!U243,5)</f>
        <v/>
      </c>
      <c r="V243" s="182">
        <f>ROUND(#REF!+#REF!+#REF!+预安排!P253+#REF!+'6月'!V243,5)</f>
        <v/>
      </c>
      <c r="W243" s="182">
        <f>ROUND(#REF!+#REF!+#REF!+预安排!Q253+#REF!+'6月'!W243,5)</f>
        <v/>
      </c>
      <c r="X243" s="182">
        <f>ROUND(#REF!+#REF!+#REF!+预安排!R253+#REF!+'6月'!X243,5)</f>
        <v/>
      </c>
      <c r="Y243" s="182">
        <f>ROUND(#REF!+#REF!+#REF!+预安排!S253+#REF!+'6月'!Y243,5)</f>
        <v/>
      </c>
      <c r="Z243" s="182">
        <f>ROUND(#REF!+#REF!+#REF!+预安排!#REF!+#REF!+'6月'!Z243,5)</f>
        <v/>
      </c>
      <c r="AA243" s="182">
        <f>ROUND(#REF!+#REF!+#REF!+预安排!#REF!+#REF!+'6月'!AA243,5)</f>
        <v/>
      </c>
      <c r="AB243" s="182">
        <f>ROUND(#REF!+#REF!+#REF!+预安排!#REF!+#REF!+'6月'!AB243,5)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193">
        <f>计划!O243-O243</f>
        <v/>
      </c>
      <c r="AH243" s="193">
        <f>ROUND(AG243/$AH$1,2)</f>
        <v/>
      </c>
    </row>
    <row r="244" customFormat="1" s="1">
      <c r="A244" s="234" t="n"/>
      <c r="B244" s="231" t="inlineStr">
        <is>
          <t>SKU-D9263F39</t>
        </is>
      </c>
      <c r="C244" s="231" t="inlineStr">
        <is>
          <t>是</t>
        </is>
      </c>
      <c r="D244" s="231" t="n">
        <v>8</v>
      </c>
      <c r="E244" s="231" t="inlineStr">
        <is>
          <t>是</t>
        </is>
      </c>
      <c r="F244" s="231" t="inlineStr"/>
      <c r="G244" s="231" t="inlineStr"/>
      <c r="H244" s="231" t="inlineStr">
        <is>
          <t>是</t>
        </is>
      </c>
      <c r="I244" s="231" t="inlineStr">
        <is>
          <t>是</t>
        </is>
      </c>
      <c r="J244" s="27" t="inlineStr"/>
      <c r="K244" s="27" t="inlineStr"/>
      <c r="L244" s="231" t="n">
        <v>100</v>
      </c>
      <c r="M244" s="19" t="inlineStr">
        <is>
          <t>Product-D1698B4E</t>
        </is>
      </c>
      <c r="N244" s="231" t="n">
        <v>1</v>
      </c>
      <c r="O244" s="181">
        <f>SUM(P244:AB244)</f>
        <v/>
      </c>
      <c r="P244" s="182">
        <f>ROUND(#REF!+#REF!+#REF!+预安排!F254+#REF!+'6月'!P244,5)</f>
        <v/>
      </c>
      <c r="Q244" s="182">
        <f>ROUND(#REF!+#REF!+#REF!+预安排!#REF!+#REF!+'6月'!Q244,5)</f>
        <v/>
      </c>
      <c r="R244" s="182">
        <f>ROUND(#REF!+#REF!+#REF!+预安排!G254+#REF!+'6月'!R244,5)</f>
        <v/>
      </c>
      <c r="S244" s="182">
        <f>ROUND(#REF!+#REF!+#REF!+预安排!#REF!+#REF!+'6月'!S244,5)</f>
        <v/>
      </c>
      <c r="T244" s="182">
        <f>ROUND(#REF!+#REF!+#REF!+预安排!#REF!+#REF!+'6月'!T244,5)</f>
        <v/>
      </c>
      <c r="U244" s="182">
        <f>ROUND(#REF!+#REF!+#REF!+预安排!O254+#REF!+'6月'!U244,5)</f>
        <v/>
      </c>
      <c r="V244" s="182">
        <f>ROUND(#REF!+#REF!+#REF!+预安排!P254+#REF!+'6月'!V244,5)</f>
        <v/>
      </c>
      <c r="W244" s="182">
        <f>ROUND(#REF!+#REF!+#REF!+预安排!Q254+#REF!+'6月'!W244,5)</f>
        <v/>
      </c>
      <c r="X244" s="182">
        <f>ROUND(#REF!+#REF!+#REF!+预安排!R254+#REF!+'6月'!X244,5)</f>
        <v/>
      </c>
      <c r="Y244" s="182">
        <f>ROUND(#REF!+#REF!+#REF!+预安排!S254+#REF!+'6月'!Y244,5)</f>
        <v/>
      </c>
      <c r="Z244" s="182">
        <f>ROUND(#REF!+#REF!+#REF!+预安排!#REF!+#REF!+'6月'!Z244,5)</f>
        <v/>
      </c>
      <c r="AA244" s="182">
        <f>ROUND(#REF!+#REF!+#REF!+预安排!#REF!+#REF!+'6月'!AA244,5)</f>
        <v/>
      </c>
      <c r="AB244" s="182">
        <f>ROUND(#REF!+#REF!+#REF!+预安排!#REF!+#REF!+'6月'!AB244,5)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193">
        <f>计划!O244-O244</f>
        <v/>
      </c>
      <c r="AH244" s="193">
        <f>ROUND(AG244/$AH$1,2)</f>
        <v/>
      </c>
    </row>
    <row r="245" customFormat="1" s="1">
      <c r="A245" s="234" t="n"/>
      <c r="B245" s="231" t="inlineStr">
        <is>
          <t>SKU-A2042F81</t>
        </is>
      </c>
      <c r="C245" s="231" t="inlineStr">
        <is>
          <t>是</t>
        </is>
      </c>
      <c r="D245" s="231" t="n">
        <v>8</v>
      </c>
      <c r="E245" s="231" t="inlineStr"/>
      <c r="F245" s="231" t="inlineStr">
        <is>
          <t>是</t>
        </is>
      </c>
      <c r="G245" s="231" t="inlineStr"/>
      <c r="H245" s="231" t="inlineStr"/>
      <c r="I245" s="231" t="inlineStr">
        <is>
          <t>是</t>
        </is>
      </c>
      <c r="J245" s="27" t="inlineStr"/>
      <c r="K245" s="27" t="inlineStr"/>
      <c r="L245" s="231" t="n">
        <v>100</v>
      </c>
      <c r="M245" s="19" t="inlineStr">
        <is>
          <t>Product-1E515825</t>
        </is>
      </c>
      <c r="N245" s="231" t="n">
        <v>1</v>
      </c>
      <c r="O245" s="181">
        <f>SUM(P245:AB245)</f>
        <v/>
      </c>
      <c r="P245" s="182">
        <f>ROUND(#REF!+#REF!+#REF!+预安排!F255+#REF!+'6月'!P245,5)</f>
        <v/>
      </c>
      <c r="Q245" s="182">
        <f>ROUND(#REF!+#REF!+#REF!+预安排!#REF!+#REF!+'6月'!Q245,5)</f>
        <v/>
      </c>
      <c r="R245" s="182">
        <f>ROUND(#REF!+#REF!+#REF!+预安排!G255+#REF!+'6月'!R245,5)</f>
        <v/>
      </c>
      <c r="S245" s="182">
        <f>ROUND(#REF!+#REF!+#REF!+预安排!#REF!+#REF!+'6月'!S245,5)</f>
        <v/>
      </c>
      <c r="T245" s="182">
        <f>ROUND(#REF!+#REF!+#REF!+预安排!#REF!+#REF!+'6月'!T245,5)</f>
        <v/>
      </c>
      <c r="U245" s="182">
        <f>ROUND(#REF!+#REF!+#REF!+预安排!O255+#REF!+'6月'!U245,5)</f>
        <v/>
      </c>
      <c r="V245" s="182">
        <f>ROUND(#REF!+#REF!+#REF!+预安排!P255+#REF!+'6月'!V245,5)</f>
        <v/>
      </c>
      <c r="W245" s="182">
        <f>ROUND(#REF!+#REF!+#REF!+预安排!Q255+#REF!+'6月'!W245,5)</f>
        <v/>
      </c>
      <c r="X245" s="182">
        <f>ROUND(#REF!+#REF!+#REF!+预安排!R255+#REF!+'6月'!X245,5)</f>
        <v/>
      </c>
      <c r="Y245" s="182">
        <f>ROUND(#REF!+#REF!+#REF!+预安排!S255+#REF!+'6月'!Y245,5)</f>
        <v/>
      </c>
      <c r="Z245" s="182">
        <f>ROUND(#REF!+#REF!+#REF!+预安排!#REF!+#REF!+'6月'!Z245,5)</f>
        <v/>
      </c>
      <c r="AA245" s="182">
        <f>ROUND(#REF!+#REF!+#REF!+预安排!#REF!+#REF!+'6月'!AA245,5)</f>
        <v/>
      </c>
      <c r="AB245" s="182">
        <f>ROUND(#REF!+#REF!+#REF!+预安排!#REF!+#REF!+'6月'!AB245,5)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193">
        <f>计划!O245-O245</f>
        <v/>
      </c>
      <c r="AH245" s="193">
        <f>ROUND(AG245/$AH$1,2)</f>
        <v/>
      </c>
    </row>
    <row r="246" customFormat="1" s="1">
      <c r="A246" s="234" t="n"/>
      <c r="B246" s="231" t="inlineStr">
        <is>
          <t>SKU-0A2F7001</t>
        </is>
      </c>
      <c r="C246" s="231" t="inlineStr"/>
      <c r="D246" s="231" t="n">
        <v>10</v>
      </c>
      <c r="E246" s="231" t="inlineStr"/>
      <c r="F246" s="231" t="inlineStr"/>
      <c r="G246" s="231" t="inlineStr"/>
      <c r="H246" s="231" t="inlineStr"/>
      <c r="I246" s="231" t="inlineStr"/>
      <c r="J246" s="27" t="inlineStr"/>
      <c r="K246" s="27" t="inlineStr"/>
      <c r="L246" s="231" t="n">
        <v>100</v>
      </c>
      <c r="M246" s="19" t="inlineStr">
        <is>
          <t>Product-FCAC2E38</t>
        </is>
      </c>
      <c r="N246" s="231" t="n">
        <v>3</v>
      </c>
      <c r="O246" s="181">
        <f>SUM(P246:AB246)</f>
        <v/>
      </c>
      <c r="P246" s="182">
        <f>ROUND(#REF!+#REF!+#REF!+预安排!F256+#REF!+'6月'!P246,5)</f>
        <v/>
      </c>
      <c r="Q246" s="182">
        <f>ROUND(#REF!+#REF!+#REF!+预安排!#REF!+#REF!+'6月'!Q246,5)</f>
        <v/>
      </c>
      <c r="R246" s="182">
        <f>ROUND(#REF!+#REF!+#REF!+预安排!G256+#REF!+'6月'!R246,5)</f>
        <v/>
      </c>
      <c r="S246" s="182">
        <f>ROUND(#REF!+#REF!+#REF!+预安排!#REF!+#REF!+'6月'!S246,5)</f>
        <v/>
      </c>
      <c r="T246" s="182">
        <f>ROUND(#REF!+#REF!+#REF!+预安排!#REF!+#REF!+'6月'!T246,5)</f>
        <v/>
      </c>
      <c r="U246" s="182">
        <f>ROUND(#REF!+#REF!+#REF!+预安排!O256+#REF!+'6月'!U246,5)</f>
        <v/>
      </c>
      <c r="V246" s="182">
        <f>ROUND(#REF!+#REF!+#REF!+预安排!P256+#REF!+'6月'!V246,5)</f>
        <v/>
      </c>
      <c r="W246" s="182">
        <f>ROUND(#REF!+#REF!+#REF!+预安排!Q256+#REF!+'6月'!W246,5)</f>
        <v/>
      </c>
      <c r="X246" s="182">
        <f>ROUND(#REF!+#REF!+#REF!+预安排!R256+#REF!+'6月'!X246,5)</f>
        <v/>
      </c>
      <c r="Y246" s="182">
        <f>ROUND(#REF!+#REF!+#REF!+预安排!S256+#REF!+'6月'!Y246,5)</f>
        <v/>
      </c>
      <c r="Z246" s="182">
        <f>ROUND(#REF!+#REF!+#REF!+预安排!#REF!+#REF!+'6月'!Z246,5)</f>
        <v/>
      </c>
      <c r="AA246" s="182">
        <f>ROUND(#REF!+#REF!+#REF!+预安排!#REF!+#REF!+'6月'!AA246,5)</f>
        <v/>
      </c>
      <c r="AB246" s="182">
        <f>ROUND(#REF!+#REF!+#REF!+预安排!#REF!+#REF!+'6月'!AB246,5)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193">
        <f>计划!O246-O246</f>
        <v/>
      </c>
      <c r="AH246" s="193">
        <f>ROUND(AG246/$AH$1,2)</f>
        <v/>
      </c>
    </row>
    <row r="247" customFormat="1" s="1">
      <c r="A247" s="235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196">
        <f>计划!O247-O247</f>
        <v/>
      </c>
      <c r="AH247" s="196">
        <f>ROUND(AG247/$AH$1,2)</f>
        <v/>
      </c>
    </row>
    <row r="248" customFormat="1" s="1">
      <c r="A248" s="25" t="n"/>
      <c r="B248" s="231" t="inlineStr">
        <is>
          <t>SKU-ED222C1F</t>
        </is>
      </c>
      <c r="C248" s="231" t="inlineStr">
        <is>
          <t>是</t>
        </is>
      </c>
      <c r="D248" s="231" t="n">
        <v>11</v>
      </c>
      <c r="E248" s="231" t="inlineStr"/>
      <c r="F248" s="231" t="inlineStr"/>
      <c r="G248" s="231" t="inlineStr"/>
      <c r="H248" s="231" t="inlineStr"/>
      <c r="I248" s="231" t="inlineStr"/>
      <c r="J248" s="27" t="inlineStr">
        <is>
          <t>共</t>
        </is>
      </c>
      <c r="K248" s="27" t="inlineStr"/>
      <c r="L248" s="231" t="n">
        <v>100</v>
      </c>
      <c r="M248" s="19" t="inlineStr">
        <is>
          <t>Product-7064CA4A</t>
        </is>
      </c>
      <c r="N248" s="231" t="n">
        <v>1</v>
      </c>
      <c r="O248" s="181">
        <f>SUM(P248:AB248)</f>
        <v/>
      </c>
      <c r="P248" s="182">
        <f>ROUND(#REF!+#REF!+#REF!+预安排!F258+#REF!+'6月'!P248,5)</f>
        <v/>
      </c>
      <c r="Q248" s="182">
        <f>ROUND(#REF!+#REF!+#REF!+预安排!#REF!+#REF!+'6月'!Q248,5)</f>
        <v/>
      </c>
      <c r="R248" s="182">
        <f>ROUND(#REF!+#REF!+#REF!+预安排!G258+#REF!+'6月'!R248,5)</f>
        <v/>
      </c>
      <c r="S248" s="182">
        <f>ROUND(#REF!+#REF!+#REF!+预安排!#REF!+#REF!+'6月'!S248,5)</f>
        <v/>
      </c>
      <c r="T248" s="182">
        <f>ROUND(#REF!+#REF!+#REF!+预安排!#REF!+#REF!+'6月'!T248,5)</f>
        <v/>
      </c>
      <c r="U248" s="182">
        <f>ROUND(#REF!+#REF!+#REF!+预安排!O258+#REF!+'6月'!U248,5)</f>
        <v/>
      </c>
      <c r="V248" s="182">
        <f>ROUND(#REF!+#REF!+#REF!+预安排!P258+#REF!+'6月'!V248,5)</f>
        <v/>
      </c>
      <c r="W248" s="182">
        <f>ROUND(#REF!+#REF!+#REF!+预安排!Q258+#REF!+'6月'!W248,5)</f>
        <v/>
      </c>
      <c r="X248" s="182">
        <f>ROUND(#REF!+#REF!+#REF!+预安排!R258+#REF!+'6月'!X248,5)</f>
        <v/>
      </c>
      <c r="Y248" s="182">
        <f>ROUND(#REF!+#REF!+#REF!+预安排!S258+#REF!+'6月'!Y248,5)</f>
        <v/>
      </c>
      <c r="Z248" s="182">
        <f>ROUND(#REF!+#REF!+#REF!+预安排!#REF!+#REF!+'6月'!Z248,5)</f>
        <v/>
      </c>
      <c r="AA248" s="182">
        <f>ROUND(#REF!+#REF!+#REF!+预安排!#REF!+#REF!+'6月'!AA248,5)</f>
        <v/>
      </c>
      <c r="AB248" s="182">
        <f>ROUND(#REF!+#REF!+#REF!+预安排!#REF!+#REF!+'6月'!AB248,5)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193">
        <f>计划!O248-O248</f>
        <v/>
      </c>
      <c r="AH248" s="193">
        <f>ROUND(AG248/$AH$1,2)</f>
        <v/>
      </c>
    </row>
    <row r="249" customFormat="1" s="1">
      <c r="A249" s="234" t="n"/>
      <c r="B249" s="231" t="inlineStr">
        <is>
          <t>SKU-0B9EE4CD</t>
        </is>
      </c>
      <c r="C249" s="231" t="inlineStr">
        <is>
          <t>是</t>
        </is>
      </c>
      <c r="D249" s="231" t="n">
        <v>10</v>
      </c>
      <c r="E249" s="231" t="inlineStr"/>
      <c r="F249" s="231" t="inlineStr"/>
      <c r="G249" s="231" t="inlineStr"/>
      <c r="H249" s="231" t="inlineStr"/>
      <c r="I249" s="231" t="inlineStr"/>
      <c r="J249" s="27" t="inlineStr"/>
      <c r="K249" s="27" t="inlineStr"/>
      <c r="L249" s="231" t="n">
        <v>100</v>
      </c>
      <c r="M249" s="19" t="inlineStr">
        <is>
          <t>Product-326C7E91</t>
        </is>
      </c>
      <c r="N249" s="231" t="n">
        <v>2</v>
      </c>
      <c r="O249" s="181">
        <f>SUM(P249:AB249)</f>
        <v/>
      </c>
      <c r="P249" s="182">
        <f>ROUND(#REF!+#REF!+#REF!+预安排!F259+#REF!+'6月'!P249,5)</f>
        <v/>
      </c>
      <c r="Q249" s="182">
        <f>ROUND(#REF!+#REF!+#REF!+预安排!#REF!+#REF!+'6月'!Q249,5)</f>
        <v/>
      </c>
      <c r="R249" s="182">
        <f>ROUND(#REF!+#REF!+#REF!+预安排!G259+#REF!+'6月'!R249,5)</f>
        <v/>
      </c>
      <c r="S249" s="182">
        <f>ROUND(#REF!+#REF!+#REF!+预安排!#REF!+#REF!+'6月'!S249,5)</f>
        <v/>
      </c>
      <c r="T249" s="182">
        <f>ROUND(#REF!+#REF!+#REF!+预安排!#REF!+#REF!+'6月'!T249,5)</f>
        <v/>
      </c>
      <c r="U249" s="182">
        <f>ROUND(#REF!+#REF!+#REF!+预安排!O259+#REF!+'6月'!U249,5)</f>
        <v/>
      </c>
      <c r="V249" s="182">
        <f>ROUND(#REF!+#REF!+#REF!+预安排!P259+#REF!+'6月'!V249,5)</f>
        <v/>
      </c>
      <c r="W249" s="182">
        <f>ROUND(#REF!+#REF!+#REF!+预安排!Q259+#REF!+'6月'!W249,5)</f>
        <v/>
      </c>
      <c r="X249" s="182">
        <f>ROUND(#REF!+#REF!+#REF!+预安排!R259+#REF!+'6月'!X249,5)</f>
        <v/>
      </c>
      <c r="Y249" s="182">
        <f>ROUND(#REF!+#REF!+#REF!+预安排!S259+#REF!+'6月'!Y249,5)</f>
        <v/>
      </c>
      <c r="Z249" s="182">
        <f>ROUND(#REF!+#REF!+#REF!+预安排!#REF!+#REF!+'6月'!Z249,5)</f>
        <v/>
      </c>
      <c r="AA249" s="182">
        <f>ROUND(#REF!+#REF!+#REF!+预安排!#REF!+#REF!+'6月'!AA249,5)</f>
        <v/>
      </c>
      <c r="AB249" s="182">
        <f>ROUND(#REF!+#REF!+#REF!+预安排!#REF!+#REF!+'6月'!AB249,5)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193">
        <f>计划!O249-O249</f>
        <v/>
      </c>
      <c r="AH249" s="193">
        <f>ROUND(AG249/$AH$1,2)</f>
        <v/>
      </c>
    </row>
    <row r="250" customFormat="1" s="1">
      <c r="A250" s="234" t="n"/>
      <c r="B250" s="231" t="inlineStr">
        <is>
          <t>SKU-92F9812B</t>
        </is>
      </c>
      <c r="C250" s="231" t="inlineStr">
        <is>
          <t>是</t>
        </is>
      </c>
      <c r="D250" s="231" t="n">
        <v>8</v>
      </c>
      <c r="E250" s="231" t="inlineStr"/>
      <c r="F250" s="231" t="inlineStr"/>
      <c r="G250" s="231" t="inlineStr"/>
      <c r="H250" s="231" t="inlineStr"/>
      <c r="I250" s="231" t="inlineStr"/>
      <c r="J250" s="27" t="inlineStr"/>
      <c r="K250" s="27" t="inlineStr"/>
      <c r="L250" s="231" t="n">
        <v>100</v>
      </c>
      <c r="M250" s="19" t="inlineStr">
        <is>
          <t>Product-68B82AAE</t>
        </is>
      </c>
      <c r="N250" s="231" t="n">
        <v>3</v>
      </c>
      <c r="O250" s="181">
        <f>SUM(P250:AB250)</f>
        <v/>
      </c>
      <c r="P250" s="182">
        <f>ROUND(#REF!+#REF!+#REF!+预安排!F260+#REF!+'6月'!P250,5)</f>
        <v/>
      </c>
      <c r="Q250" s="182">
        <f>ROUND(#REF!+#REF!+#REF!+预安排!#REF!+#REF!+'6月'!Q250,5)</f>
        <v/>
      </c>
      <c r="R250" s="182">
        <f>ROUND(#REF!+#REF!+#REF!+预安排!G260+#REF!+'6月'!R250,5)</f>
        <v/>
      </c>
      <c r="S250" s="182">
        <f>ROUND(#REF!+#REF!+#REF!+预安排!#REF!+#REF!+'6月'!S250,5)</f>
        <v/>
      </c>
      <c r="T250" s="182">
        <f>ROUND(#REF!+#REF!+#REF!+预安排!#REF!+#REF!+'6月'!T250,5)</f>
        <v/>
      </c>
      <c r="U250" s="182">
        <f>ROUND(#REF!+#REF!+#REF!+预安排!O260+#REF!+'6月'!U250,5)</f>
        <v/>
      </c>
      <c r="V250" s="182">
        <f>ROUND(#REF!+#REF!+#REF!+预安排!P260+#REF!+'6月'!V250,5)</f>
        <v/>
      </c>
      <c r="W250" s="182">
        <f>ROUND(#REF!+#REF!+#REF!+预安排!Q260+#REF!+'6月'!W250,5)</f>
        <v/>
      </c>
      <c r="X250" s="182">
        <f>ROUND(#REF!+#REF!+#REF!+预安排!R260+#REF!+'6月'!X250,5)</f>
        <v/>
      </c>
      <c r="Y250" s="182">
        <f>ROUND(#REF!+#REF!+#REF!+预安排!S260+#REF!+'6月'!Y250,5)</f>
        <v/>
      </c>
      <c r="Z250" s="182">
        <f>ROUND(#REF!+#REF!+#REF!+预安排!#REF!+#REF!+'6月'!Z250,5)</f>
        <v/>
      </c>
      <c r="AA250" s="182">
        <f>ROUND(#REF!+#REF!+#REF!+预安排!#REF!+#REF!+'6月'!AA250,5)</f>
        <v/>
      </c>
      <c r="AB250" s="182">
        <f>ROUND(#REF!+#REF!+#REF!+预安排!#REF!+#REF!+'6月'!AB250,5)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193">
        <f>计划!O250-O250</f>
        <v/>
      </c>
      <c r="AH250" s="193">
        <f>ROUND(AG250/$AH$1,2)</f>
        <v/>
      </c>
    </row>
    <row r="251" customFormat="1" s="1">
      <c r="A251" s="234" t="n"/>
      <c r="B251" s="231" t="inlineStr">
        <is>
          <t>SKU-6D767F9B</t>
        </is>
      </c>
      <c r="C251" s="231" t="inlineStr">
        <is>
          <t>是</t>
        </is>
      </c>
      <c r="D251" s="231" t="n">
        <v>8</v>
      </c>
      <c r="E251" s="231" t="inlineStr"/>
      <c r="F251" s="231" t="inlineStr"/>
      <c r="G251" s="231" t="inlineStr"/>
      <c r="H251" s="231" t="inlineStr"/>
      <c r="I251" s="231" t="inlineStr"/>
      <c r="J251" s="27" t="inlineStr">
        <is>
          <t>共</t>
        </is>
      </c>
      <c r="K251" s="27" t="inlineStr"/>
      <c r="L251" s="231" t="n">
        <v>100</v>
      </c>
      <c r="M251" s="19" t="inlineStr">
        <is>
          <t>Product-1D13312B</t>
        </is>
      </c>
      <c r="N251" s="231" t="n">
        <v>1</v>
      </c>
      <c r="O251" s="181">
        <f>SUM(P251:AB251)</f>
        <v/>
      </c>
      <c r="P251" s="182">
        <f>ROUND(#REF!+#REF!+#REF!+预安排!F261+#REF!+'6月'!P251,5)</f>
        <v/>
      </c>
      <c r="Q251" s="182">
        <f>ROUND(#REF!+#REF!+#REF!+预安排!#REF!+#REF!+'6月'!Q251,5)</f>
        <v/>
      </c>
      <c r="R251" s="182">
        <f>ROUND(#REF!+#REF!+#REF!+预安排!G261+#REF!+'6月'!R251,5)</f>
        <v/>
      </c>
      <c r="S251" s="182">
        <f>ROUND(#REF!+#REF!+#REF!+预安排!#REF!+#REF!+'6月'!S251,5)</f>
        <v/>
      </c>
      <c r="T251" s="182">
        <f>ROUND(#REF!+#REF!+#REF!+预安排!#REF!+#REF!+'6月'!T251,5)</f>
        <v/>
      </c>
      <c r="U251" s="182">
        <f>ROUND(#REF!+#REF!+#REF!+预安排!O261+#REF!+'6月'!U251,5)</f>
        <v/>
      </c>
      <c r="V251" s="182">
        <f>ROUND(#REF!+#REF!+#REF!+预安排!P261+#REF!+'6月'!V251,5)</f>
        <v/>
      </c>
      <c r="W251" s="182">
        <f>ROUND(#REF!+#REF!+#REF!+预安排!Q261+#REF!+'6月'!W251,5)</f>
        <v/>
      </c>
      <c r="X251" s="182">
        <f>ROUND(#REF!+#REF!+#REF!+预安排!R261+#REF!+'6月'!X251,5)</f>
        <v/>
      </c>
      <c r="Y251" s="182">
        <f>ROUND(#REF!+#REF!+#REF!+预安排!S261+#REF!+'6月'!Y251,5)</f>
        <v/>
      </c>
      <c r="Z251" s="182">
        <f>ROUND(#REF!+#REF!+#REF!+预安排!#REF!+#REF!+'6月'!Z251,5)</f>
        <v/>
      </c>
      <c r="AA251" s="182">
        <f>ROUND(#REF!+#REF!+#REF!+预安排!#REF!+#REF!+'6月'!AA251,5)</f>
        <v/>
      </c>
      <c r="AB251" s="182">
        <f>ROUND(#REF!+#REF!+#REF!+预安排!#REF!+#REF!+'6月'!AB251,5)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193">
        <f>计划!O251-O251</f>
        <v/>
      </c>
      <c r="AH251" s="193">
        <f>ROUND(AG251/$AH$1,2)</f>
        <v/>
      </c>
    </row>
    <row r="252" customFormat="1" s="1">
      <c r="A252" s="234" t="n"/>
      <c r="B252" s="231" t="inlineStr">
        <is>
          <t>SKU-863FBBD8</t>
        </is>
      </c>
      <c r="C252" s="231" t="inlineStr">
        <is>
          <t>是</t>
        </is>
      </c>
      <c r="D252" s="231" t="n">
        <v>8</v>
      </c>
      <c r="E252" s="231" t="inlineStr">
        <is>
          <t>是</t>
        </is>
      </c>
      <c r="F252" s="231" t="inlineStr"/>
      <c r="G252" s="231" t="inlineStr"/>
      <c r="H252" s="231" t="inlineStr"/>
      <c r="I252" s="231" t="inlineStr">
        <is>
          <t>是</t>
        </is>
      </c>
      <c r="J252" s="27" t="inlineStr"/>
      <c r="K252" s="27" t="inlineStr"/>
      <c r="L252" s="231" t="n">
        <v>100</v>
      </c>
      <c r="M252" s="19" t="inlineStr">
        <is>
          <t>Product-377B2B0D</t>
        </is>
      </c>
      <c r="N252" s="231" t="n">
        <v>1</v>
      </c>
      <c r="O252" s="181">
        <f>SUM(P252:AB252)</f>
        <v/>
      </c>
      <c r="P252" s="182">
        <f>ROUND(#REF!+#REF!+#REF!+预安排!F262+#REF!+'6月'!P252,5)</f>
        <v/>
      </c>
      <c r="Q252" s="182">
        <f>ROUND(#REF!+#REF!+#REF!+预安排!#REF!+#REF!+'6月'!Q252,5)</f>
        <v/>
      </c>
      <c r="R252" s="182">
        <f>ROUND(#REF!+#REF!+#REF!+预安排!G262+#REF!+'6月'!R252,5)</f>
        <v/>
      </c>
      <c r="S252" s="182">
        <f>ROUND(#REF!+#REF!+#REF!+预安排!#REF!+#REF!+'6月'!S252,5)</f>
        <v/>
      </c>
      <c r="T252" s="182">
        <f>ROUND(#REF!+#REF!+#REF!+预安排!#REF!+#REF!+'6月'!T252,5)</f>
        <v/>
      </c>
      <c r="U252" s="182">
        <f>ROUND(#REF!+#REF!+#REF!+预安排!O262+#REF!+'6月'!U252,5)</f>
        <v/>
      </c>
      <c r="V252" s="182">
        <f>ROUND(#REF!+#REF!+#REF!+预安排!P262+#REF!+'6月'!V252,5)</f>
        <v/>
      </c>
      <c r="W252" s="182">
        <f>ROUND(#REF!+#REF!+#REF!+预安排!Q262+#REF!+'6月'!W252,5)</f>
        <v/>
      </c>
      <c r="X252" s="182">
        <f>ROUND(#REF!+#REF!+#REF!+预安排!R262+#REF!+'6月'!X252,5)</f>
        <v/>
      </c>
      <c r="Y252" s="182">
        <f>ROUND(#REF!+#REF!+#REF!+预安排!S262+#REF!+'6月'!Y252,5)</f>
        <v/>
      </c>
      <c r="Z252" s="182">
        <f>ROUND(#REF!+#REF!+#REF!+预安排!#REF!+#REF!+'6月'!Z252,5)</f>
        <v/>
      </c>
      <c r="AA252" s="182">
        <f>ROUND(#REF!+#REF!+#REF!+预安排!#REF!+#REF!+'6月'!AA252,5)</f>
        <v/>
      </c>
      <c r="AB252" s="182">
        <f>ROUND(#REF!+#REF!+#REF!+预安排!#REF!+#REF!+'6月'!AB252,5)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193">
        <f>计划!O252-O252</f>
        <v/>
      </c>
      <c r="AH252" s="193">
        <f>ROUND(AG252/$AH$1,2)</f>
        <v/>
      </c>
    </row>
    <row r="253" customFormat="1" s="1">
      <c r="A253" s="234" t="n"/>
      <c r="B253" s="231" t="inlineStr">
        <is>
          <t>SKU-FFD87C9A</t>
        </is>
      </c>
      <c r="C253" s="231" t="inlineStr">
        <is>
          <t>是</t>
        </is>
      </c>
      <c r="D253" s="231" t="n">
        <v>8</v>
      </c>
      <c r="E253" s="231" t="inlineStr">
        <is>
          <t>是</t>
        </is>
      </c>
      <c r="F253" s="231" t="inlineStr"/>
      <c r="G253" s="231" t="inlineStr"/>
      <c r="H253" s="231" t="inlineStr"/>
      <c r="I253" s="231" t="inlineStr">
        <is>
          <t>是</t>
        </is>
      </c>
      <c r="J253" s="27" t="inlineStr">
        <is>
          <t>共</t>
        </is>
      </c>
      <c r="K253" s="27" t="inlineStr"/>
      <c r="L253" s="231" t="n">
        <v>100</v>
      </c>
      <c r="M253" s="19" t="inlineStr">
        <is>
          <t>Product-5C6F883D</t>
        </is>
      </c>
      <c r="N253" s="231" t="n">
        <v>1</v>
      </c>
      <c r="O253" s="181">
        <f>SUM(P253:AB253)</f>
        <v/>
      </c>
      <c r="P253" s="182">
        <f>ROUND(#REF!+#REF!+#REF!+预安排!F263+#REF!+'6月'!P253,5)</f>
        <v/>
      </c>
      <c r="Q253" s="182">
        <f>ROUND(#REF!+#REF!+#REF!+预安排!#REF!+#REF!+'6月'!Q253,5)</f>
        <v/>
      </c>
      <c r="R253" s="182">
        <f>ROUND(#REF!+#REF!+#REF!+预安排!G263+#REF!+'6月'!R253,5)</f>
        <v/>
      </c>
      <c r="S253" s="182">
        <f>ROUND(#REF!+#REF!+#REF!+预安排!#REF!+#REF!+'6月'!S253,5)</f>
        <v/>
      </c>
      <c r="T253" s="182">
        <f>ROUND(#REF!+#REF!+#REF!+预安排!#REF!+#REF!+'6月'!T253,5)</f>
        <v/>
      </c>
      <c r="U253" s="182">
        <f>ROUND(#REF!+#REF!+#REF!+预安排!O263+#REF!+'6月'!U253,5)</f>
        <v/>
      </c>
      <c r="V253" s="182">
        <f>ROUND(#REF!+#REF!+#REF!+预安排!P263+#REF!+'6月'!V253,5)</f>
        <v/>
      </c>
      <c r="W253" s="182">
        <f>ROUND(#REF!+#REF!+#REF!+预安排!Q263+#REF!+'6月'!W253,5)</f>
        <v/>
      </c>
      <c r="X253" s="182">
        <f>ROUND(#REF!+#REF!+#REF!+预安排!R263+#REF!+'6月'!X253,5)</f>
        <v/>
      </c>
      <c r="Y253" s="182">
        <f>ROUND(#REF!+#REF!+#REF!+预安排!S263+#REF!+'6月'!Y253,5)</f>
        <v/>
      </c>
      <c r="Z253" s="182">
        <f>ROUND(#REF!+#REF!+#REF!+预安排!#REF!+#REF!+'6月'!Z253,5)</f>
        <v/>
      </c>
      <c r="AA253" s="182">
        <f>ROUND(#REF!+#REF!+#REF!+预安排!#REF!+#REF!+'6月'!AA253,5)</f>
        <v/>
      </c>
      <c r="AB253" s="182">
        <f>ROUND(#REF!+#REF!+#REF!+预安排!#REF!+#REF!+'6月'!AB253,5)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193">
        <f>计划!O253-O253</f>
        <v/>
      </c>
      <c r="AH253" s="193">
        <f>ROUND(AG253/$AH$1,2)</f>
        <v/>
      </c>
    </row>
    <row r="254" customFormat="1" s="1">
      <c r="A254" s="234" t="n"/>
      <c r="B254" s="231" t="inlineStr">
        <is>
          <t>SKU-16F93B6E</t>
        </is>
      </c>
      <c r="C254" s="231" t="inlineStr">
        <is>
          <t>是</t>
        </is>
      </c>
      <c r="D254" s="231" t="n">
        <v>10</v>
      </c>
      <c r="E254" s="231" t="inlineStr"/>
      <c r="F254" s="231" t="inlineStr">
        <is>
          <t>是</t>
        </is>
      </c>
      <c r="G254" s="231" t="inlineStr"/>
      <c r="H254" s="231" t="inlineStr"/>
      <c r="I254" s="231" t="inlineStr">
        <is>
          <t>是</t>
        </is>
      </c>
      <c r="J254" s="27" t="inlineStr"/>
      <c r="K254" s="27" t="inlineStr"/>
      <c r="L254" s="231" t="n">
        <v>100</v>
      </c>
      <c r="M254" s="19" t="inlineStr">
        <is>
          <t>Product-BB81D184</t>
        </is>
      </c>
      <c r="N254" s="231" t="n">
        <v>1</v>
      </c>
      <c r="O254" s="181">
        <f>SUM(P254:AB254)</f>
        <v/>
      </c>
      <c r="P254" s="182">
        <f>ROUND(#REF!+#REF!+#REF!+预安排!F264+#REF!+'6月'!P254,5)</f>
        <v/>
      </c>
      <c r="Q254" s="182">
        <f>ROUND(#REF!+#REF!+#REF!+预安排!#REF!+#REF!+'6月'!Q254,5)</f>
        <v/>
      </c>
      <c r="R254" s="182">
        <f>ROUND(#REF!+#REF!+#REF!+预安排!G264+#REF!+'6月'!R254,5)</f>
        <v/>
      </c>
      <c r="S254" s="182">
        <f>ROUND(#REF!+#REF!+#REF!+预安排!#REF!+#REF!+'6月'!S254,5)</f>
        <v/>
      </c>
      <c r="T254" s="182">
        <f>ROUND(#REF!+#REF!+#REF!+预安排!#REF!+#REF!+'6月'!T254,5)</f>
        <v/>
      </c>
      <c r="U254" s="182">
        <f>ROUND(#REF!+#REF!+#REF!+预安排!O264+#REF!+'6月'!U254,5)</f>
        <v/>
      </c>
      <c r="V254" s="182">
        <f>ROUND(#REF!+#REF!+#REF!+预安排!P264+#REF!+'6月'!V254,5)</f>
        <v/>
      </c>
      <c r="W254" s="182">
        <f>ROUND(#REF!+#REF!+#REF!+预安排!Q264+#REF!+'6月'!W254,5)</f>
        <v/>
      </c>
      <c r="X254" s="182">
        <f>ROUND(#REF!+#REF!+#REF!+预安排!R264+#REF!+'6月'!X254,5)</f>
        <v/>
      </c>
      <c r="Y254" s="182">
        <f>ROUND(#REF!+#REF!+#REF!+预安排!S264+#REF!+'6月'!Y254,5)</f>
        <v/>
      </c>
      <c r="Z254" s="182">
        <f>ROUND(#REF!+#REF!+#REF!+预安排!#REF!+#REF!+'6月'!Z254,5)</f>
        <v/>
      </c>
      <c r="AA254" s="182">
        <f>ROUND(#REF!+#REF!+#REF!+预安排!#REF!+#REF!+'6月'!AA254,5)</f>
        <v/>
      </c>
      <c r="AB254" s="182">
        <f>ROUND(#REF!+#REF!+#REF!+预安排!#REF!+#REF!+'6月'!AB254,5)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193">
        <f>计划!O254-O254</f>
        <v/>
      </c>
      <c r="AH254" s="193">
        <f>ROUND(AG254/$AH$1,2)</f>
        <v/>
      </c>
    </row>
    <row r="255" customFormat="1" s="1">
      <c r="A255" s="234" t="n"/>
      <c r="B255" s="231" t="inlineStr">
        <is>
          <t>SKU-0C7C3AA6</t>
        </is>
      </c>
      <c r="C255" s="231" t="inlineStr">
        <is>
          <t>是</t>
        </is>
      </c>
      <c r="D255" s="231" t="n">
        <v>8</v>
      </c>
      <c r="E255" s="231" t="inlineStr">
        <is>
          <t>是</t>
        </is>
      </c>
      <c r="F255" s="231" t="inlineStr"/>
      <c r="G255" s="231" t="inlineStr"/>
      <c r="H255" s="231" t="inlineStr"/>
      <c r="I255" s="231" t="inlineStr">
        <is>
          <t>是</t>
        </is>
      </c>
      <c r="J255" s="27" t="inlineStr"/>
      <c r="K255" s="27" t="inlineStr"/>
      <c r="L255" s="231" t="n">
        <v>100</v>
      </c>
      <c r="M255" s="44" t="inlineStr">
        <is>
          <t>Product-723A3C46</t>
        </is>
      </c>
      <c r="N255" s="231" t="n">
        <v>1</v>
      </c>
      <c r="O255" s="181">
        <f>SUM(P255:AB255)</f>
        <v/>
      </c>
      <c r="P255" s="182">
        <f>ROUND(#REF!+#REF!+#REF!+预安排!F265+#REF!+'6月'!P255,5)</f>
        <v/>
      </c>
      <c r="Q255" s="182">
        <f>ROUND(#REF!+#REF!+#REF!+预安排!#REF!+#REF!+'6月'!Q255,5)</f>
        <v/>
      </c>
      <c r="R255" s="182">
        <f>ROUND(#REF!+#REF!+#REF!+预安排!G265+#REF!+'6月'!R255,5)</f>
        <v/>
      </c>
      <c r="S255" s="182">
        <f>ROUND(#REF!+#REF!+#REF!+预安排!#REF!+#REF!+'6月'!S255,5)</f>
        <v/>
      </c>
      <c r="T255" s="182">
        <f>ROUND(#REF!+#REF!+#REF!+预安排!#REF!+#REF!+'6月'!T255,5)</f>
        <v/>
      </c>
      <c r="U255" s="182">
        <f>ROUND(#REF!+#REF!+#REF!+预安排!O265+#REF!+'6月'!U255,5)</f>
        <v/>
      </c>
      <c r="V255" s="182">
        <f>ROUND(#REF!+#REF!+#REF!+预安排!P265+#REF!+'6月'!V255,5)</f>
        <v/>
      </c>
      <c r="W255" s="182">
        <f>ROUND(#REF!+#REF!+#REF!+预安排!Q265+#REF!+'6月'!W255,5)</f>
        <v/>
      </c>
      <c r="X255" s="182">
        <f>ROUND(#REF!+#REF!+#REF!+预安排!R265+#REF!+'6月'!X255,5)</f>
        <v/>
      </c>
      <c r="Y255" s="182">
        <f>ROUND(#REF!+#REF!+#REF!+预安排!S265+#REF!+'6月'!Y255,5)</f>
        <v/>
      </c>
      <c r="Z255" s="182">
        <f>ROUND(#REF!+#REF!+#REF!+预安排!#REF!+#REF!+'6月'!Z255,5)</f>
        <v/>
      </c>
      <c r="AA255" s="182">
        <f>ROUND(#REF!+#REF!+#REF!+预安排!#REF!+#REF!+'6月'!AA255,5)</f>
        <v/>
      </c>
      <c r="AB255" s="182">
        <f>ROUND(#REF!+#REF!+#REF!+预安排!#REF!+#REF!+'6月'!AB255,5)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193">
        <f>计划!O255-O255</f>
        <v/>
      </c>
      <c r="AH255" s="193">
        <f>ROUND(AG255/$AH$1,2)</f>
        <v/>
      </c>
    </row>
    <row r="256" customFormat="1" s="1">
      <c r="A256" s="234" t="n"/>
      <c r="B256" s="231" t="inlineStr">
        <is>
          <t>SKU-CCF1AA57</t>
        </is>
      </c>
      <c r="C256" s="231" t="inlineStr">
        <is>
          <t>是</t>
        </is>
      </c>
      <c r="D256" s="231" t="n">
        <v>8</v>
      </c>
      <c r="E256" s="231" t="inlineStr">
        <is>
          <t>是</t>
        </is>
      </c>
      <c r="F256" s="231" t="inlineStr"/>
      <c r="G256" s="231" t="inlineStr"/>
      <c r="H256" s="231" t="inlineStr"/>
      <c r="I256" s="231" t="inlineStr">
        <is>
          <t>是</t>
        </is>
      </c>
      <c r="J256" s="27" t="inlineStr">
        <is>
          <t>共</t>
        </is>
      </c>
      <c r="K256" s="27" t="inlineStr"/>
      <c r="L256" s="231" t="n">
        <v>100</v>
      </c>
      <c r="M256" s="19" t="inlineStr">
        <is>
          <t>Product-AA885DE6</t>
        </is>
      </c>
      <c r="N256" s="231" t="n">
        <v>2</v>
      </c>
      <c r="O256" s="181">
        <f>SUM(P256:AB256)</f>
        <v/>
      </c>
      <c r="P256" s="182">
        <f>ROUND(#REF!+#REF!+#REF!+预安排!F266+#REF!+'6月'!P256,5)</f>
        <v/>
      </c>
      <c r="Q256" s="182">
        <f>ROUND(#REF!+#REF!+#REF!+预安排!#REF!+#REF!+'6月'!Q256,5)</f>
        <v/>
      </c>
      <c r="R256" s="182">
        <f>ROUND(#REF!+#REF!+#REF!+预安排!G266+#REF!+'6月'!R256,5)</f>
        <v/>
      </c>
      <c r="S256" s="182">
        <f>ROUND(#REF!+#REF!+#REF!+预安排!#REF!+#REF!+'6月'!S256,5)</f>
        <v/>
      </c>
      <c r="T256" s="182">
        <f>ROUND(#REF!+#REF!+#REF!+预安排!#REF!+#REF!+'6月'!T256,5)</f>
        <v/>
      </c>
      <c r="U256" s="182">
        <f>ROUND(#REF!+#REF!+#REF!+预安排!O266+#REF!+'6月'!U256,5)</f>
        <v/>
      </c>
      <c r="V256" s="182">
        <f>ROUND(#REF!+#REF!+#REF!+预安排!P266+#REF!+'6月'!V256,5)</f>
        <v/>
      </c>
      <c r="W256" s="182">
        <f>ROUND(#REF!+#REF!+#REF!+预安排!Q266+#REF!+'6月'!W256,5)</f>
        <v/>
      </c>
      <c r="X256" s="182">
        <f>ROUND(#REF!+#REF!+#REF!+预安排!R266+#REF!+'6月'!X256,5)</f>
        <v/>
      </c>
      <c r="Y256" s="182">
        <f>ROUND(#REF!+#REF!+#REF!+预安排!S266+#REF!+'6月'!Y256,5)</f>
        <v/>
      </c>
      <c r="Z256" s="182">
        <f>ROUND(#REF!+#REF!+#REF!+预安排!#REF!+#REF!+'6月'!Z256,5)</f>
        <v/>
      </c>
      <c r="AA256" s="182">
        <f>ROUND(#REF!+#REF!+#REF!+预安排!#REF!+#REF!+'6月'!AA256,5)</f>
        <v/>
      </c>
      <c r="AB256" s="182">
        <f>ROUND(#REF!+#REF!+#REF!+预安排!#REF!+#REF!+'6月'!AB256,5)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193">
        <f>计划!O256-O256</f>
        <v/>
      </c>
      <c r="AH256" s="193">
        <f>ROUND(AG256/$AH$1,2)</f>
        <v/>
      </c>
    </row>
    <row r="257" customFormat="1" s="1">
      <c r="A257" s="234" t="n"/>
      <c r="B257" s="231" t="inlineStr">
        <is>
          <t>SKU-C608A627</t>
        </is>
      </c>
      <c r="C257" s="231" t="inlineStr">
        <is>
          <t>是</t>
        </is>
      </c>
      <c r="D257" s="231" t="n">
        <v>10</v>
      </c>
      <c r="E257" s="231" t="inlineStr"/>
      <c r="F257" s="231" t="inlineStr">
        <is>
          <t>是</t>
        </is>
      </c>
      <c r="G257" s="231" t="inlineStr"/>
      <c r="H257" s="231" t="inlineStr">
        <is>
          <t>是</t>
        </is>
      </c>
      <c r="I257" s="231" t="inlineStr">
        <is>
          <t>是</t>
        </is>
      </c>
      <c r="J257" s="27" t="inlineStr"/>
      <c r="K257" s="27" t="inlineStr"/>
      <c r="L257" s="231" t="n">
        <v>100</v>
      </c>
      <c r="M257" s="43" t="inlineStr">
        <is>
          <t>Product-58C688E6</t>
        </is>
      </c>
      <c r="N257" s="231" t="n">
        <v>1</v>
      </c>
      <c r="O257" s="181">
        <f>SUM(P257:AB257)</f>
        <v/>
      </c>
      <c r="P257" s="182">
        <f>ROUND(#REF!+#REF!+#REF!+预安排!F267+#REF!+'6月'!P257,5)</f>
        <v/>
      </c>
      <c r="Q257" s="182">
        <f>ROUND(#REF!+#REF!+#REF!+预安排!#REF!+#REF!+'6月'!Q257,5)</f>
        <v/>
      </c>
      <c r="R257" s="182">
        <f>ROUND(#REF!+#REF!+#REF!+预安排!G267+#REF!+'6月'!R257,5)</f>
        <v/>
      </c>
      <c r="S257" s="182">
        <f>ROUND(#REF!+#REF!+#REF!+预安排!#REF!+#REF!+'6月'!S257,5)</f>
        <v/>
      </c>
      <c r="T257" s="182">
        <f>ROUND(#REF!+#REF!+#REF!+预安排!#REF!+#REF!+'6月'!T257,5)</f>
        <v/>
      </c>
      <c r="U257" s="182">
        <f>ROUND(#REF!+#REF!+#REF!+预安排!O267+#REF!+'6月'!U257,5)</f>
        <v/>
      </c>
      <c r="V257" s="182">
        <f>ROUND(#REF!+#REF!+#REF!+预安排!P267+#REF!+'6月'!V257,5)</f>
        <v/>
      </c>
      <c r="W257" s="182">
        <f>ROUND(#REF!+#REF!+#REF!+预安排!Q267+#REF!+'6月'!W257,5)</f>
        <v/>
      </c>
      <c r="X257" s="182">
        <f>ROUND(#REF!+#REF!+#REF!+预安排!R267+#REF!+'6月'!X257,5)</f>
        <v/>
      </c>
      <c r="Y257" s="182">
        <f>ROUND(#REF!+#REF!+#REF!+预安排!S267+#REF!+'6月'!Y257,5)</f>
        <v/>
      </c>
      <c r="Z257" s="182">
        <f>ROUND(#REF!+#REF!+#REF!+预安排!#REF!+#REF!+'6月'!Z257,5)</f>
        <v/>
      </c>
      <c r="AA257" s="182">
        <f>ROUND(#REF!+#REF!+#REF!+预安排!#REF!+#REF!+'6月'!AA257,5)</f>
        <v/>
      </c>
      <c r="AB257" s="182">
        <f>ROUND(#REF!+#REF!+#REF!+预安排!#REF!+#REF!+'6月'!AB257,5)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193">
        <f>计划!O257-O257</f>
        <v/>
      </c>
      <c r="AH257" s="193">
        <f>ROUND(AG257/$AH$1,2)</f>
        <v/>
      </c>
    </row>
    <row r="258" customFormat="1" s="1">
      <c r="A258" s="234" t="n"/>
      <c r="B258" s="231" t="inlineStr">
        <is>
          <t>SKU-4CE8EF8A</t>
        </is>
      </c>
      <c r="C258" s="231" t="inlineStr">
        <is>
          <t>是</t>
        </is>
      </c>
      <c r="D258" s="231" t="n">
        <v>10</v>
      </c>
      <c r="E258" s="231" t="inlineStr"/>
      <c r="F258" s="231" t="inlineStr">
        <is>
          <t>是</t>
        </is>
      </c>
      <c r="G258" s="231" t="inlineStr"/>
      <c r="H258" s="231" t="inlineStr"/>
      <c r="I258" s="231" t="inlineStr">
        <is>
          <t>是</t>
        </is>
      </c>
      <c r="J258" s="27" t="inlineStr"/>
      <c r="K258" s="27" t="inlineStr"/>
      <c r="L258" s="231" t="n">
        <v>100</v>
      </c>
      <c r="M258" s="43" t="inlineStr">
        <is>
          <t>Product-B62DC373</t>
        </is>
      </c>
      <c r="N258" s="231" t="n">
        <v>1</v>
      </c>
      <c r="O258" s="181">
        <f>SUM(P258:AB258)</f>
        <v/>
      </c>
      <c r="P258" s="182">
        <f>ROUND(#REF!+#REF!+#REF!+预安排!F268+#REF!+'6月'!P258,5)</f>
        <v/>
      </c>
      <c r="Q258" s="182">
        <f>ROUND(#REF!+#REF!+#REF!+预安排!#REF!+#REF!+'6月'!Q258,5)</f>
        <v/>
      </c>
      <c r="R258" s="182">
        <f>ROUND(#REF!+#REF!+#REF!+预安排!G268+#REF!+'6月'!R258,5)</f>
        <v/>
      </c>
      <c r="S258" s="182">
        <f>ROUND(#REF!+#REF!+#REF!+预安排!#REF!+#REF!+'6月'!S258,5)</f>
        <v/>
      </c>
      <c r="T258" s="182">
        <f>ROUND(#REF!+#REF!+#REF!+预安排!#REF!+#REF!+'6月'!T258,5)</f>
        <v/>
      </c>
      <c r="U258" s="182">
        <f>ROUND(#REF!+#REF!+#REF!+预安排!O268+#REF!+'6月'!U258,5)</f>
        <v/>
      </c>
      <c r="V258" s="182">
        <f>ROUND(#REF!+#REF!+#REF!+预安排!P268+#REF!+'6月'!V258,5)</f>
        <v/>
      </c>
      <c r="W258" s="182">
        <f>ROUND(#REF!+#REF!+#REF!+预安排!Q268+#REF!+'6月'!W258,5)</f>
        <v/>
      </c>
      <c r="X258" s="182">
        <f>ROUND(#REF!+#REF!+#REF!+预安排!R268+#REF!+'6月'!X258,5)</f>
        <v/>
      </c>
      <c r="Y258" s="182">
        <f>ROUND(#REF!+#REF!+#REF!+预安排!S268+#REF!+'6月'!Y258,5)</f>
        <v/>
      </c>
      <c r="Z258" s="182">
        <f>ROUND(#REF!+#REF!+#REF!+预安排!#REF!+#REF!+'6月'!Z258,5)</f>
        <v/>
      </c>
      <c r="AA258" s="182">
        <f>ROUND(#REF!+#REF!+#REF!+预安排!#REF!+#REF!+'6月'!AA258,5)</f>
        <v/>
      </c>
      <c r="AB258" s="182">
        <f>ROUND(#REF!+#REF!+#REF!+预安排!#REF!+#REF!+'6月'!AB258,5)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193">
        <f>计划!O258-O258</f>
        <v/>
      </c>
      <c r="AH258" s="193">
        <f>ROUND(AG258/$AH$1,2)</f>
        <v/>
      </c>
    </row>
    <row r="259" customFormat="1" s="1">
      <c r="A259" s="234" t="n"/>
      <c r="B259" s="231" t="inlineStr">
        <is>
          <t>SKU-99337284</t>
        </is>
      </c>
      <c r="C259" s="231" t="inlineStr">
        <is>
          <t>是</t>
        </is>
      </c>
      <c r="D259" s="231" t="n">
        <v>10</v>
      </c>
      <c r="E259" s="231" t="inlineStr"/>
      <c r="F259" s="231" t="inlineStr"/>
      <c r="G259" s="231" t="inlineStr"/>
      <c r="H259" s="231" t="inlineStr"/>
      <c r="I259" s="231" t="inlineStr"/>
      <c r="J259" s="27" t="inlineStr"/>
      <c r="K259" s="27" t="inlineStr"/>
      <c r="L259" s="231" t="n">
        <v>100</v>
      </c>
      <c r="M259" s="19" t="inlineStr">
        <is>
          <t>Product-0A287481</t>
        </is>
      </c>
      <c r="N259" s="231" t="n">
        <v>2</v>
      </c>
      <c r="O259" s="181">
        <f>SUM(P259:AB259)</f>
        <v/>
      </c>
      <c r="P259" s="182">
        <f>ROUND(#REF!+#REF!+#REF!+预安排!F269+#REF!+'6月'!P259,5)</f>
        <v/>
      </c>
      <c r="Q259" s="182">
        <f>ROUND(#REF!+#REF!+#REF!+预安排!#REF!+#REF!+'6月'!Q259,5)</f>
        <v/>
      </c>
      <c r="R259" s="182">
        <f>ROUND(#REF!+#REF!+#REF!+预安排!G269+#REF!+'6月'!R259,5)</f>
        <v/>
      </c>
      <c r="S259" s="182">
        <f>ROUND(#REF!+#REF!+#REF!+预安排!#REF!+#REF!+'6月'!S259,5)</f>
        <v/>
      </c>
      <c r="T259" s="182">
        <f>ROUND(#REF!+#REF!+#REF!+预安排!#REF!+#REF!+'6月'!T259,5)</f>
        <v/>
      </c>
      <c r="U259" s="182">
        <f>ROUND(#REF!+#REF!+#REF!+预安排!O269+#REF!+'6月'!U259,5)</f>
        <v/>
      </c>
      <c r="V259" s="182">
        <f>ROUND(#REF!+#REF!+#REF!+预安排!P269+#REF!+'6月'!V259,5)</f>
        <v/>
      </c>
      <c r="W259" s="182">
        <f>ROUND(#REF!+#REF!+#REF!+预安排!Q269+#REF!+'6月'!W259,5)</f>
        <v/>
      </c>
      <c r="X259" s="182">
        <f>ROUND(#REF!+#REF!+#REF!+预安排!R269+#REF!+'6月'!X259,5)</f>
        <v/>
      </c>
      <c r="Y259" s="182">
        <f>ROUND(#REF!+#REF!+#REF!+预安排!S269+#REF!+'6月'!Y259,5)</f>
        <v/>
      </c>
      <c r="Z259" s="182">
        <f>ROUND(#REF!+#REF!+#REF!+预安排!#REF!+#REF!+'6月'!Z259,5)</f>
        <v/>
      </c>
      <c r="AA259" s="182">
        <f>ROUND(#REF!+#REF!+#REF!+预安排!#REF!+#REF!+'6月'!AA259,5)</f>
        <v/>
      </c>
      <c r="AB259" s="182">
        <f>ROUND(#REF!+#REF!+#REF!+预安排!#REF!+#REF!+'6月'!AB259,5)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193">
        <f>计划!O259-O259</f>
        <v/>
      </c>
      <c r="AH259" s="193">
        <f>ROUND(AG259/$AH$1,2)</f>
        <v/>
      </c>
    </row>
    <row r="260" customFormat="1" s="1">
      <c r="A260" s="234" t="n"/>
      <c r="B260" s="231" t="inlineStr">
        <is>
          <t>SKU-BD3F8D74</t>
        </is>
      </c>
      <c r="C260" s="231" t="inlineStr">
        <is>
          <t>是</t>
        </is>
      </c>
      <c r="D260" s="231" t="n">
        <v>8</v>
      </c>
      <c r="E260" s="231" t="inlineStr"/>
      <c r="F260" s="231" t="inlineStr">
        <is>
          <t>是</t>
        </is>
      </c>
      <c r="G260" s="231" t="inlineStr"/>
      <c r="H260" s="231" t="inlineStr"/>
      <c r="I260" s="231" t="inlineStr">
        <is>
          <t>是</t>
        </is>
      </c>
      <c r="J260" s="27" t="inlineStr"/>
      <c r="K260" s="27" t="inlineStr"/>
      <c r="L260" s="231" t="n">
        <v>100</v>
      </c>
      <c r="M260" s="19" t="inlineStr">
        <is>
          <t>Product-102ED313</t>
        </is>
      </c>
      <c r="N260" s="231" t="n">
        <v>1</v>
      </c>
      <c r="O260" s="181">
        <f>SUM(P260:AB260)</f>
        <v/>
      </c>
      <c r="P260" s="182">
        <f>ROUND(#REF!+#REF!+#REF!+预安排!F270+#REF!+'6月'!P260,5)</f>
        <v/>
      </c>
      <c r="Q260" s="182">
        <f>ROUND(#REF!+#REF!+#REF!+预安排!#REF!+#REF!+'6月'!Q260,5)</f>
        <v/>
      </c>
      <c r="R260" s="182">
        <f>ROUND(#REF!+#REF!+#REF!+预安排!G270+#REF!+'6月'!R260,5)</f>
        <v/>
      </c>
      <c r="S260" s="182">
        <f>ROUND(#REF!+#REF!+#REF!+预安排!#REF!+#REF!+'6月'!S260,5)</f>
        <v/>
      </c>
      <c r="T260" s="182">
        <f>ROUND(#REF!+#REF!+#REF!+预安排!#REF!+#REF!+'6月'!T260,5)</f>
        <v/>
      </c>
      <c r="U260" s="182">
        <f>ROUND(#REF!+#REF!+#REF!+预安排!O270+#REF!+'6月'!U260,5)</f>
        <v/>
      </c>
      <c r="V260" s="182">
        <f>ROUND(#REF!+#REF!+#REF!+预安排!P270+#REF!+'6月'!V260,5)</f>
        <v/>
      </c>
      <c r="W260" s="182">
        <f>ROUND(#REF!+#REF!+#REF!+预安排!Q270+#REF!+'6月'!W260,5)</f>
        <v/>
      </c>
      <c r="X260" s="182">
        <f>ROUND(#REF!+#REF!+#REF!+预安排!R270+#REF!+'6月'!X260,5)</f>
        <v/>
      </c>
      <c r="Y260" s="182">
        <f>ROUND(#REF!+#REF!+#REF!+预安排!S270+#REF!+'6月'!Y260,5)</f>
        <v/>
      </c>
      <c r="Z260" s="182">
        <f>ROUND(#REF!+#REF!+#REF!+预安排!#REF!+#REF!+'6月'!Z260,5)</f>
        <v/>
      </c>
      <c r="AA260" s="182">
        <f>ROUND(#REF!+#REF!+#REF!+预安排!#REF!+#REF!+'6月'!AA260,5)</f>
        <v/>
      </c>
      <c r="AB260" s="182">
        <f>ROUND(#REF!+#REF!+#REF!+预安排!#REF!+#REF!+'6月'!AB260,5)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193">
        <f>计划!O260-O260</f>
        <v/>
      </c>
      <c r="AH260" s="193">
        <f>ROUND(AG260/$AH$1,2)</f>
        <v/>
      </c>
    </row>
    <row r="261" customFormat="1" s="1">
      <c r="A261" s="234" t="n"/>
      <c r="B261" s="231" t="inlineStr">
        <is>
          <t>SKU-B9F94FF9</t>
        </is>
      </c>
      <c r="C261" s="231" t="inlineStr">
        <is>
          <t>是</t>
        </is>
      </c>
      <c r="D261" s="231" t="n">
        <v>6</v>
      </c>
      <c r="E261" s="231" t="inlineStr">
        <is>
          <t>是</t>
        </is>
      </c>
      <c r="F261" s="231" t="inlineStr"/>
      <c r="G261" s="231" t="inlineStr"/>
      <c r="H261" s="231" t="inlineStr"/>
      <c r="I261" s="231" t="inlineStr">
        <is>
          <t>是</t>
        </is>
      </c>
      <c r="J261" s="27" t="inlineStr"/>
      <c r="K261" s="27" t="inlineStr"/>
      <c r="L261" s="231" t="n">
        <v>100</v>
      </c>
      <c r="M261" s="19" t="inlineStr">
        <is>
          <t>Product-7CC4665A</t>
        </is>
      </c>
      <c r="N261" s="231" t="n">
        <v>1</v>
      </c>
      <c r="O261" s="181">
        <f>SUM(P261:AB261)</f>
        <v/>
      </c>
      <c r="P261" s="182">
        <f>ROUND(#REF!+#REF!+#REF!+预安排!#REF!+#REF!+'6月'!P261,5)</f>
        <v/>
      </c>
      <c r="Q261" s="182">
        <f>ROUND(#REF!+#REF!+#REF!+预安排!#REF!+#REF!+'6月'!Q261,5)</f>
        <v/>
      </c>
      <c r="R261" s="182">
        <f>ROUND(#REF!+#REF!+#REF!+预安排!#REF!+#REF!+'6月'!R261,5)</f>
        <v/>
      </c>
      <c r="S261" s="182">
        <f>ROUND(#REF!+#REF!+#REF!+预安排!#REF!+#REF!+'6月'!S261,5)</f>
        <v/>
      </c>
      <c r="T261" s="182">
        <f>ROUND(#REF!+#REF!+#REF!+预安排!#REF!+#REF!+'6月'!T261,5)</f>
        <v/>
      </c>
      <c r="U261" s="182">
        <f>ROUND(#REF!+#REF!+#REF!+预安排!#REF!+#REF!+'6月'!U261,5)</f>
        <v/>
      </c>
      <c r="V261" s="182">
        <f>ROUND(#REF!+#REF!+#REF!+预安排!#REF!+#REF!+'6月'!V261,5)</f>
        <v/>
      </c>
      <c r="W261" s="182">
        <f>ROUND(#REF!+#REF!+#REF!+预安排!#REF!+#REF!+'6月'!W261,5)</f>
        <v/>
      </c>
      <c r="X261" s="182">
        <f>ROUND(#REF!+#REF!+#REF!+预安排!#REF!+#REF!+'6月'!X261,5)</f>
        <v/>
      </c>
      <c r="Y261" s="182">
        <f>ROUND(#REF!+#REF!+#REF!+预安排!#REF!+#REF!+'6月'!Y261,5)</f>
        <v/>
      </c>
      <c r="Z261" s="182">
        <f>ROUND(#REF!+#REF!+#REF!+预安排!#REF!+#REF!+'6月'!Z261,5)</f>
        <v/>
      </c>
      <c r="AA261" s="182">
        <f>ROUND(#REF!+#REF!+#REF!+预安排!#REF!+#REF!+'6月'!AA261,5)</f>
        <v/>
      </c>
      <c r="AB261" s="182">
        <f>ROUND(#REF!+#REF!+#REF!+预安排!#REF!+#REF!+'6月'!AB261,5)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193">
        <f>计划!O261-O261</f>
        <v/>
      </c>
      <c r="AH261" s="193">
        <f>ROUND(AG261/$AH$1,2)</f>
        <v/>
      </c>
    </row>
    <row r="262" customFormat="1" s="1">
      <c r="A262" s="234" t="n"/>
      <c r="B262" s="231" t="inlineStr">
        <is>
          <t>SKU-5AB8D10B</t>
        </is>
      </c>
      <c r="C262" s="231" t="inlineStr">
        <is>
          <t>是</t>
        </is>
      </c>
      <c r="D262" s="231" t="n">
        <v>8</v>
      </c>
      <c r="E262" s="231" t="inlineStr"/>
      <c r="F262" s="231" t="inlineStr">
        <is>
          <t>是</t>
        </is>
      </c>
      <c r="G262" s="231" t="inlineStr"/>
      <c r="H262" s="231" t="inlineStr"/>
      <c r="I262" s="231" t="inlineStr">
        <is>
          <t>是</t>
        </is>
      </c>
      <c r="J262" s="27" t="inlineStr"/>
      <c r="K262" s="27" t="inlineStr"/>
      <c r="L262" s="231" t="n">
        <v>100</v>
      </c>
      <c r="M262" s="19" t="inlineStr">
        <is>
          <t>Product-F8810BC1</t>
        </is>
      </c>
      <c r="N262" s="231" t="n">
        <v>1</v>
      </c>
      <c r="O262" s="181">
        <f>SUM(P262:AB262)</f>
        <v/>
      </c>
      <c r="P262" s="182">
        <f>ROUND(#REF!+#REF!+#REF!+预安排!#REF!+#REF!+'6月'!P262,5)</f>
        <v/>
      </c>
      <c r="Q262" s="182">
        <f>ROUND(#REF!+#REF!+#REF!+预安排!#REF!+#REF!+'6月'!Q262,5)</f>
        <v/>
      </c>
      <c r="R262" s="182">
        <f>ROUND(#REF!+#REF!+#REF!+预安排!#REF!+#REF!+'6月'!R262,5)</f>
        <v/>
      </c>
      <c r="S262" s="182">
        <f>ROUND(#REF!+#REF!+#REF!+预安排!#REF!+#REF!+'6月'!S262,5)</f>
        <v/>
      </c>
      <c r="T262" s="182">
        <f>ROUND(#REF!+#REF!+#REF!+预安排!#REF!+#REF!+'6月'!T262,5)</f>
        <v/>
      </c>
      <c r="U262" s="182">
        <f>ROUND(#REF!+#REF!+#REF!+预安排!#REF!+#REF!+'6月'!U262,5)</f>
        <v/>
      </c>
      <c r="V262" s="182">
        <f>ROUND(#REF!+#REF!+#REF!+预安排!#REF!+#REF!+'6月'!V262,5)</f>
        <v/>
      </c>
      <c r="W262" s="182">
        <f>ROUND(#REF!+#REF!+#REF!+预安排!#REF!+#REF!+'6月'!W262,5)</f>
        <v/>
      </c>
      <c r="X262" s="182">
        <f>ROUND(#REF!+#REF!+#REF!+预安排!#REF!+#REF!+'6月'!X262,5)</f>
        <v/>
      </c>
      <c r="Y262" s="182">
        <f>ROUND(#REF!+#REF!+#REF!+预安排!#REF!+#REF!+'6月'!Y262,5)</f>
        <v/>
      </c>
      <c r="Z262" s="182">
        <f>ROUND(#REF!+#REF!+#REF!+预安排!#REF!+#REF!+'6月'!Z262,5)</f>
        <v/>
      </c>
      <c r="AA262" s="182">
        <f>ROUND(#REF!+#REF!+#REF!+预安排!#REF!+#REF!+'6月'!AA262,5)</f>
        <v/>
      </c>
      <c r="AB262" s="182">
        <f>ROUND(#REF!+#REF!+#REF!+预安排!#REF!+#REF!+'6月'!AB262,5)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193">
        <f>计划!O262-O262</f>
        <v/>
      </c>
      <c r="AH262" s="193">
        <f>ROUND(AG262/$AH$1,2)</f>
        <v/>
      </c>
    </row>
    <row r="263" customFormat="1" s="1">
      <c r="A263" s="234" t="n"/>
      <c r="B263" s="231" t="inlineStr">
        <is>
          <t>SKU-0844DF49</t>
        </is>
      </c>
      <c r="C263" s="231" t="inlineStr">
        <is>
          <t>是</t>
        </is>
      </c>
      <c r="D263" s="231" t="n">
        <v>8</v>
      </c>
      <c r="E263" s="231" t="inlineStr"/>
      <c r="F263" s="231" t="inlineStr">
        <is>
          <t>是</t>
        </is>
      </c>
      <c r="G263" s="231" t="inlineStr"/>
      <c r="H263" s="231" t="inlineStr"/>
      <c r="I263" s="231" t="inlineStr">
        <is>
          <t>是</t>
        </is>
      </c>
      <c r="J263" s="27" t="inlineStr"/>
      <c r="K263" s="27" t="inlineStr"/>
      <c r="L263" s="231" t="n">
        <v>100</v>
      </c>
      <c r="M263" s="45" t="inlineStr">
        <is>
          <t>Product-FD260469</t>
        </is>
      </c>
      <c r="N263" s="231" t="n">
        <v>1</v>
      </c>
      <c r="O263" s="181">
        <f>SUM(P263:AB263)</f>
        <v/>
      </c>
      <c r="P263" s="182">
        <f>ROUND(#REF!+#REF!+#REF!+预安排!#REF!+#REF!+'6月'!P263,5)</f>
        <v/>
      </c>
      <c r="Q263" s="182">
        <f>ROUND(#REF!+#REF!+#REF!+预安排!#REF!+#REF!+'6月'!Q263,5)</f>
        <v/>
      </c>
      <c r="R263" s="182">
        <f>ROUND(#REF!+#REF!+#REF!+预安排!#REF!+#REF!+'6月'!R263,5)</f>
        <v/>
      </c>
      <c r="S263" s="182">
        <f>ROUND(#REF!+#REF!+#REF!+预安排!#REF!+#REF!+'6月'!S263,5)</f>
        <v/>
      </c>
      <c r="T263" s="182">
        <f>ROUND(#REF!+#REF!+#REF!+预安排!#REF!+#REF!+'6月'!T263,5)</f>
        <v/>
      </c>
      <c r="U263" s="182">
        <f>ROUND(#REF!+#REF!+#REF!+预安排!#REF!+#REF!+'6月'!U263,5)</f>
        <v/>
      </c>
      <c r="V263" s="182">
        <f>ROUND(#REF!+#REF!+#REF!+预安排!#REF!+#REF!+'6月'!V263,5)</f>
        <v/>
      </c>
      <c r="W263" s="182">
        <f>ROUND(#REF!+#REF!+#REF!+预安排!#REF!+#REF!+'6月'!W263,5)</f>
        <v/>
      </c>
      <c r="X263" s="182">
        <f>ROUND(#REF!+#REF!+#REF!+预安排!#REF!+#REF!+'6月'!X263,5)</f>
        <v/>
      </c>
      <c r="Y263" s="182">
        <f>ROUND(#REF!+#REF!+#REF!+预安排!#REF!+#REF!+'6月'!Y263,5)</f>
        <v/>
      </c>
      <c r="Z263" s="182">
        <f>ROUND(#REF!+#REF!+#REF!+预安排!#REF!+#REF!+'6月'!Z263,5)</f>
        <v/>
      </c>
      <c r="AA263" s="182">
        <f>ROUND(#REF!+#REF!+#REF!+预安排!#REF!+#REF!+'6月'!AA263,5)</f>
        <v/>
      </c>
      <c r="AB263" s="182">
        <f>ROUND(#REF!+#REF!+#REF!+预安排!#REF!+#REF!+'6月'!AB263,5)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193">
        <f>计划!O263-O263</f>
        <v/>
      </c>
      <c r="AH263" s="193">
        <f>ROUND(AG263/$AH$1,2)</f>
        <v/>
      </c>
    </row>
    <row r="264" customFormat="1" s="1">
      <c r="A264" s="234" t="n"/>
      <c r="B264" s="231" t="inlineStr">
        <is>
          <t>SKU-FA2AEC54</t>
        </is>
      </c>
      <c r="C264" s="231" t="inlineStr">
        <is>
          <t>是</t>
        </is>
      </c>
      <c r="D264" s="231" t="n">
        <v>10</v>
      </c>
      <c r="E264" s="231" t="inlineStr"/>
      <c r="F264" s="231" t="inlineStr">
        <is>
          <t>是</t>
        </is>
      </c>
      <c r="G264" s="231" t="inlineStr"/>
      <c r="H264" s="231" t="inlineStr">
        <is>
          <t>是</t>
        </is>
      </c>
      <c r="I264" s="231" t="inlineStr">
        <is>
          <t>是</t>
        </is>
      </c>
      <c r="J264" s="27" t="inlineStr"/>
      <c r="K264" s="27" t="inlineStr"/>
      <c r="L264" s="231" t="n">
        <v>100</v>
      </c>
      <c r="M264" s="45" t="inlineStr">
        <is>
          <t>Product-58C688E6</t>
        </is>
      </c>
      <c r="N264" s="231" t="n">
        <v>1</v>
      </c>
      <c r="O264" s="181">
        <f>SUM(P264:AB264)</f>
        <v/>
      </c>
      <c r="P264" s="182">
        <f>ROUND(#REF!+#REF!+#REF!+预安排!#REF!+#REF!+'6月'!P264,5)</f>
        <v/>
      </c>
      <c r="Q264" s="182">
        <f>ROUND(#REF!+#REF!+#REF!+预安排!#REF!+#REF!+'6月'!Q264,5)</f>
        <v/>
      </c>
      <c r="R264" s="182">
        <f>ROUND(#REF!+#REF!+#REF!+预安排!#REF!+#REF!+'6月'!R264,5)</f>
        <v/>
      </c>
      <c r="S264" s="182">
        <f>ROUND(#REF!+#REF!+#REF!+预安排!#REF!+#REF!+'6月'!S264,5)</f>
        <v/>
      </c>
      <c r="T264" s="182">
        <f>ROUND(#REF!+#REF!+#REF!+预安排!#REF!+#REF!+'6月'!T264,5)</f>
        <v/>
      </c>
      <c r="U264" s="182">
        <f>ROUND(#REF!+#REF!+#REF!+预安排!#REF!+#REF!+'6月'!U264,5)</f>
        <v/>
      </c>
      <c r="V264" s="182">
        <f>ROUND(#REF!+#REF!+#REF!+预安排!#REF!+#REF!+'6月'!V264,5)</f>
        <v/>
      </c>
      <c r="W264" s="182">
        <f>ROUND(#REF!+#REF!+#REF!+预安排!#REF!+#REF!+'6月'!W264,5)</f>
        <v/>
      </c>
      <c r="X264" s="182">
        <f>ROUND(#REF!+#REF!+#REF!+预安排!#REF!+#REF!+'6月'!X264,5)</f>
        <v/>
      </c>
      <c r="Y264" s="182">
        <f>ROUND(#REF!+#REF!+#REF!+预安排!#REF!+#REF!+'6月'!Y264,5)</f>
        <v/>
      </c>
      <c r="Z264" s="182">
        <f>ROUND(#REF!+#REF!+#REF!+预安排!#REF!+#REF!+'6月'!Z264,5)</f>
        <v/>
      </c>
      <c r="AA264" s="182">
        <f>ROUND(#REF!+#REF!+#REF!+预安排!#REF!+#REF!+'6月'!AA264,5)</f>
        <v/>
      </c>
      <c r="AB264" s="182">
        <f>ROUND(#REF!+#REF!+#REF!+预安排!#REF!+#REF!+'6月'!AB264,5)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193">
        <f>计划!O264-O264</f>
        <v/>
      </c>
      <c r="AH264" s="193">
        <f>ROUND(AG264/$AH$1,2)</f>
        <v/>
      </c>
    </row>
    <row r="265" customFormat="1" s="1">
      <c r="A265" s="234" t="n"/>
      <c r="B265" s="231" t="inlineStr">
        <is>
          <t>SKU-CE79E55C</t>
        </is>
      </c>
      <c r="C265" s="231" t="inlineStr">
        <is>
          <t>是</t>
        </is>
      </c>
      <c r="D265" s="231" t="n">
        <v>11</v>
      </c>
      <c r="E265" s="231" t="inlineStr"/>
      <c r="F265" s="231" t="inlineStr"/>
      <c r="G265" s="231" t="inlineStr"/>
      <c r="H265" s="231" t="inlineStr"/>
      <c r="I265" s="231" t="inlineStr"/>
      <c r="J265" s="27" t="inlineStr"/>
      <c r="K265" s="27" t="inlineStr"/>
      <c r="L265" s="231" t="n">
        <v>100</v>
      </c>
      <c r="M265" s="19" t="inlineStr">
        <is>
          <t>Product-7BC6A9A2</t>
        </is>
      </c>
      <c r="N265" s="231" t="n">
        <v>3</v>
      </c>
      <c r="O265" s="181">
        <f>SUM(P265:AB265)</f>
        <v/>
      </c>
      <c r="P265" s="182">
        <f>ROUND(#REF!+#REF!+#REF!+预安排!#REF!+#REF!+'6月'!P265,5)</f>
        <v/>
      </c>
      <c r="Q265" s="182">
        <f>ROUND(#REF!+#REF!+#REF!+预安排!#REF!+#REF!+'6月'!Q265,5)</f>
        <v/>
      </c>
      <c r="R265" s="182">
        <f>ROUND(#REF!+#REF!+#REF!+预安排!#REF!+#REF!+'6月'!R265,5)</f>
        <v/>
      </c>
      <c r="S265" s="182">
        <f>ROUND(#REF!+#REF!+#REF!+预安排!#REF!+#REF!+'6月'!S265,5)</f>
        <v/>
      </c>
      <c r="T265" s="182">
        <f>ROUND(#REF!+#REF!+#REF!+预安排!#REF!+#REF!+'6月'!T265,5)</f>
        <v/>
      </c>
      <c r="U265" s="182">
        <f>ROUND(#REF!+#REF!+#REF!+预安排!#REF!+#REF!+'6月'!U265,5)</f>
        <v/>
      </c>
      <c r="V265" s="182">
        <f>ROUND(#REF!+#REF!+#REF!+预安排!#REF!+#REF!+'6月'!V265,5)</f>
        <v/>
      </c>
      <c r="W265" s="182">
        <f>ROUND(#REF!+#REF!+#REF!+预安排!#REF!+#REF!+'6月'!W265,5)</f>
        <v/>
      </c>
      <c r="X265" s="182">
        <f>ROUND(#REF!+#REF!+#REF!+预安排!#REF!+#REF!+'6月'!X265,5)</f>
        <v/>
      </c>
      <c r="Y265" s="182">
        <f>ROUND(#REF!+#REF!+#REF!+预安排!#REF!+#REF!+'6月'!Y265,5)</f>
        <v/>
      </c>
      <c r="Z265" s="182">
        <f>ROUND(#REF!+#REF!+#REF!+预安排!#REF!+#REF!+'6月'!Z265,5)</f>
        <v/>
      </c>
      <c r="AA265" s="182">
        <f>ROUND(#REF!+#REF!+#REF!+预安排!#REF!+#REF!+'6月'!AA265,5)</f>
        <v/>
      </c>
      <c r="AB265" s="182">
        <f>ROUND(#REF!+#REF!+#REF!+预安排!#REF!+#REF!+'6月'!AB265,5)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193">
        <f>计划!O265-O265</f>
        <v/>
      </c>
      <c r="AH265" s="193">
        <f>ROUND(AG265/$AH$1,2)</f>
        <v/>
      </c>
    </row>
    <row r="266" customFormat="1" s="1">
      <c r="A266" s="234" t="n"/>
      <c r="B266" s="231" t="inlineStr">
        <is>
          <t>SKU-D2BFADDA</t>
        </is>
      </c>
      <c r="C266" s="231" t="inlineStr">
        <is>
          <t>是</t>
        </is>
      </c>
      <c r="D266" s="231" t="n">
        <v>10</v>
      </c>
      <c r="E266" s="231" t="inlineStr"/>
      <c r="F266" s="231" t="inlineStr"/>
      <c r="G266" s="231" t="inlineStr"/>
      <c r="H266" s="231" t="inlineStr"/>
      <c r="I266" s="231" t="inlineStr"/>
      <c r="J266" s="27" t="inlineStr"/>
      <c r="K266" s="27" t="inlineStr"/>
      <c r="L266" s="231" t="n">
        <v>100</v>
      </c>
      <c r="M266" s="45" t="inlineStr">
        <is>
          <t>Product-ED8E1657</t>
        </is>
      </c>
      <c r="N266" s="231" t="n">
        <v>3</v>
      </c>
      <c r="O266" s="181">
        <f>SUM(P266:AB266)</f>
        <v/>
      </c>
      <c r="P266" s="182">
        <f>ROUND(#REF!+#REF!+#REF!+预安排!#REF!+#REF!+'6月'!P266,5)</f>
        <v/>
      </c>
      <c r="Q266" s="182">
        <f>ROUND(#REF!+#REF!+#REF!+预安排!#REF!+#REF!+'6月'!Q266,5)</f>
        <v/>
      </c>
      <c r="R266" s="182">
        <f>ROUND(#REF!+#REF!+#REF!+预安排!#REF!+#REF!+'6月'!R266,5)</f>
        <v/>
      </c>
      <c r="S266" s="182">
        <f>ROUND(#REF!+#REF!+#REF!+预安排!#REF!+#REF!+'6月'!S266,5)</f>
        <v/>
      </c>
      <c r="T266" s="182">
        <f>ROUND(#REF!+#REF!+#REF!+预安排!#REF!+#REF!+'6月'!T266,5)</f>
        <v/>
      </c>
      <c r="U266" s="182">
        <f>ROUND(#REF!+#REF!+#REF!+预安排!#REF!+#REF!+'6月'!U266,5)</f>
        <v/>
      </c>
      <c r="V266" s="182">
        <f>ROUND(#REF!+#REF!+#REF!+预安排!#REF!+#REF!+'6月'!V266,5)</f>
        <v/>
      </c>
      <c r="W266" s="182">
        <f>ROUND(#REF!+#REF!+#REF!+预安排!#REF!+#REF!+'6月'!W266,5)</f>
        <v/>
      </c>
      <c r="X266" s="182">
        <f>ROUND(#REF!+#REF!+#REF!+预安排!#REF!+#REF!+'6月'!X266,5)</f>
        <v/>
      </c>
      <c r="Y266" s="182">
        <f>ROUND(#REF!+#REF!+#REF!+预安排!#REF!+#REF!+'6月'!Y266,5)</f>
        <v/>
      </c>
      <c r="Z266" s="182">
        <f>ROUND(#REF!+#REF!+#REF!+预安排!#REF!+#REF!+'6月'!Z266,5)</f>
        <v/>
      </c>
      <c r="AA266" s="182">
        <f>ROUND(#REF!+#REF!+#REF!+预安排!#REF!+#REF!+'6月'!AA266,5)</f>
        <v/>
      </c>
      <c r="AB266" s="182">
        <f>ROUND(#REF!+#REF!+#REF!+预安排!#REF!+#REF!+'6月'!AB266,5)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193">
        <f>计划!O266-O266</f>
        <v/>
      </c>
      <c r="AH266" s="193">
        <f>ROUND(AG266/$AH$1,2)</f>
        <v/>
      </c>
    </row>
    <row r="267" customFormat="1" s="1">
      <c r="A267" s="234" t="n"/>
      <c r="B267" s="231" t="inlineStr">
        <is>
          <t>SKU-F85BCB9C</t>
        </is>
      </c>
      <c r="C267" s="231" t="inlineStr">
        <is>
          <t>是</t>
        </is>
      </c>
      <c r="D267" s="231" t="n">
        <v>10</v>
      </c>
      <c r="E267" s="231" t="inlineStr"/>
      <c r="F267" s="231" t="inlineStr"/>
      <c r="G267" s="231" t="inlineStr"/>
      <c r="H267" s="231" t="inlineStr"/>
      <c r="I267" s="231" t="inlineStr"/>
      <c r="J267" s="27" t="inlineStr"/>
      <c r="K267" s="27" t="inlineStr"/>
      <c r="L267" s="231" t="n">
        <v>100</v>
      </c>
      <c r="M267" s="19" t="inlineStr">
        <is>
          <t>Product-67B87425</t>
        </is>
      </c>
      <c r="N267" s="231" t="n">
        <v>3</v>
      </c>
      <c r="O267" s="181">
        <f>SUM(P267:AB267)</f>
        <v/>
      </c>
      <c r="P267" s="182">
        <f>ROUND(#REF!+#REF!+#REF!+预安排!#REF!+#REF!+'6月'!P267,5)</f>
        <v/>
      </c>
      <c r="Q267" s="182">
        <f>ROUND(#REF!+#REF!+#REF!+预安排!#REF!+#REF!+'6月'!Q267,5)</f>
        <v/>
      </c>
      <c r="R267" s="182">
        <f>ROUND(#REF!+#REF!+#REF!+预安排!#REF!+#REF!+'6月'!R267,5)</f>
        <v/>
      </c>
      <c r="S267" s="182">
        <f>ROUND(#REF!+#REF!+#REF!+预安排!#REF!+#REF!+'6月'!S267,5)</f>
        <v/>
      </c>
      <c r="T267" s="182">
        <f>ROUND(#REF!+#REF!+#REF!+预安排!#REF!+#REF!+'6月'!T267,5)</f>
        <v/>
      </c>
      <c r="U267" s="182">
        <f>ROUND(#REF!+#REF!+#REF!+预安排!#REF!+#REF!+'6月'!U267,5)</f>
        <v/>
      </c>
      <c r="V267" s="182">
        <f>ROUND(#REF!+#REF!+#REF!+预安排!#REF!+#REF!+'6月'!V267,5)</f>
        <v/>
      </c>
      <c r="W267" s="182">
        <f>ROUND(#REF!+#REF!+#REF!+预安排!#REF!+#REF!+'6月'!W267,5)</f>
        <v/>
      </c>
      <c r="X267" s="182">
        <f>ROUND(#REF!+#REF!+#REF!+预安排!#REF!+#REF!+'6月'!X267,5)</f>
        <v/>
      </c>
      <c r="Y267" s="182">
        <f>ROUND(#REF!+#REF!+#REF!+预安排!#REF!+#REF!+'6月'!Y267,5)</f>
        <v/>
      </c>
      <c r="Z267" s="182">
        <f>ROUND(#REF!+#REF!+#REF!+预安排!#REF!+#REF!+'6月'!Z267,5)</f>
        <v/>
      </c>
      <c r="AA267" s="182">
        <f>ROUND(#REF!+#REF!+#REF!+预安排!#REF!+#REF!+'6月'!AA267,5)</f>
        <v/>
      </c>
      <c r="AB267" s="182">
        <f>ROUND(#REF!+#REF!+#REF!+预安排!#REF!+#REF!+'6月'!AB267,5)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193">
        <f>计划!O267-O267</f>
        <v/>
      </c>
      <c r="AH267" s="193">
        <f>ROUND(AG267/$AH$1,2)</f>
        <v/>
      </c>
    </row>
    <row r="268" customFormat="1" s="1">
      <c r="A268" s="234" t="n"/>
      <c r="B268" s="231" t="inlineStr">
        <is>
          <t>SKU-6050A986</t>
        </is>
      </c>
      <c r="C268" s="231" t="inlineStr">
        <is>
          <t>是</t>
        </is>
      </c>
      <c r="D268" s="231" t="n">
        <v>10</v>
      </c>
      <c r="E268" s="231" t="inlineStr"/>
      <c r="F268" s="231" t="inlineStr"/>
      <c r="G268" s="231" t="inlineStr"/>
      <c r="H268" s="231" t="inlineStr"/>
      <c r="I268" s="231" t="inlineStr"/>
      <c r="J268" s="27" t="inlineStr"/>
      <c r="K268" s="27" t="inlineStr"/>
      <c r="L268" s="231" t="n">
        <v>100</v>
      </c>
      <c r="M268" s="44" t="inlineStr">
        <is>
          <t>Product-63107D32</t>
        </is>
      </c>
      <c r="N268" s="231" t="n">
        <v>3</v>
      </c>
      <c r="O268" s="181">
        <f>SUM(P268:AB268)</f>
        <v/>
      </c>
      <c r="P268" s="182">
        <f>ROUND(#REF!+#REF!+#REF!+预安排!#REF!+#REF!+'6月'!P268,5)</f>
        <v/>
      </c>
      <c r="Q268" s="182">
        <f>ROUND(#REF!+#REF!+#REF!+预安排!#REF!+#REF!+'6月'!Q268,5)</f>
        <v/>
      </c>
      <c r="R268" s="182">
        <f>ROUND(#REF!+#REF!+#REF!+预安排!#REF!+#REF!+'6月'!R268,5)</f>
        <v/>
      </c>
      <c r="S268" s="182">
        <f>ROUND(#REF!+#REF!+#REF!+预安排!#REF!+#REF!+'6月'!S268,5)</f>
        <v/>
      </c>
      <c r="T268" s="182">
        <f>ROUND(#REF!+#REF!+#REF!+预安排!#REF!+#REF!+'6月'!T268,5)</f>
        <v/>
      </c>
      <c r="U268" s="182">
        <f>ROUND(#REF!+#REF!+#REF!+预安排!#REF!+#REF!+'6月'!U268,5)</f>
        <v/>
      </c>
      <c r="V268" s="182">
        <f>ROUND(#REF!+#REF!+#REF!+预安排!#REF!+#REF!+'6月'!V268,5)</f>
        <v/>
      </c>
      <c r="W268" s="182">
        <f>ROUND(#REF!+#REF!+#REF!+预安排!#REF!+#REF!+'6月'!W268,5)</f>
        <v/>
      </c>
      <c r="X268" s="182">
        <f>ROUND(#REF!+#REF!+#REF!+预安排!#REF!+#REF!+'6月'!X268,5)</f>
        <v/>
      </c>
      <c r="Y268" s="182">
        <f>ROUND(#REF!+#REF!+#REF!+预安排!#REF!+#REF!+'6月'!Y268,5)</f>
        <v/>
      </c>
      <c r="Z268" s="182">
        <f>ROUND(#REF!+#REF!+#REF!+预安排!#REF!+#REF!+'6月'!Z268,5)</f>
        <v/>
      </c>
      <c r="AA268" s="182">
        <f>ROUND(#REF!+#REF!+#REF!+预安排!#REF!+#REF!+'6月'!AA268,5)</f>
        <v/>
      </c>
      <c r="AB268" s="182">
        <f>ROUND(#REF!+#REF!+#REF!+预安排!#REF!+#REF!+'6月'!AB268,5)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193">
        <f>计划!O268-O268</f>
        <v/>
      </c>
      <c r="AH268" s="193">
        <f>ROUND(AG268/$AH$1,2)</f>
        <v/>
      </c>
    </row>
    <row r="269" customFormat="1" s="1">
      <c r="A269" s="234" t="n"/>
      <c r="B269" s="231" t="inlineStr">
        <is>
          <t>SKU-B07AA582</t>
        </is>
      </c>
      <c r="C269" s="231" t="inlineStr">
        <is>
          <t>是</t>
        </is>
      </c>
      <c r="D269" s="231" t="n">
        <v>8</v>
      </c>
      <c r="E269" s="231" t="inlineStr">
        <is>
          <t>是</t>
        </is>
      </c>
      <c r="F269" s="231" t="inlineStr"/>
      <c r="G269" s="231" t="inlineStr"/>
      <c r="H269" s="231" t="inlineStr"/>
      <c r="I269" s="231" t="inlineStr">
        <is>
          <t>是</t>
        </is>
      </c>
      <c r="J269" s="27" t="inlineStr"/>
      <c r="K269" s="27" t="inlineStr"/>
      <c r="L269" s="231" t="n">
        <v>100</v>
      </c>
      <c r="M269" s="44" t="inlineStr">
        <is>
          <t>Product-D6058228</t>
        </is>
      </c>
      <c r="N269" s="231" t="n">
        <v>2</v>
      </c>
      <c r="O269" s="181">
        <f>SUM(P269:AB269)</f>
        <v/>
      </c>
      <c r="P269" s="182">
        <f>ROUND(#REF!+#REF!+#REF!+预安排!#REF!+#REF!+'6月'!P269,5)</f>
        <v/>
      </c>
      <c r="Q269" s="182">
        <f>ROUND(#REF!+#REF!+#REF!+预安排!#REF!+#REF!+'6月'!Q269,5)</f>
        <v/>
      </c>
      <c r="R269" s="182">
        <f>ROUND(#REF!+#REF!+#REF!+预安排!#REF!+#REF!+'6月'!R269,5)</f>
        <v/>
      </c>
      <c r="S269" s="182">
        <f>ROUND(#REF!+#REF!+#REF!+预安排!#REF!+#REF!+'6月'!S269,5)</f>
        <v/>
      </c>
      <c r="T269" s="182">
        <f>ROUND(#REF!+#REF!+#REF!+预安排!#REF!+#REF!+'6月'!T269,5)</f>
        <v/>
      </c>
      <c r="U269" s="182">
        <f>ROUND(#REF!+#REF!+#REF!+预安排!#REF!+#REF!+'6月'!U269,5)</f>
        <v/>
      </c>
      <c r="V269" s="182">
        <f>ROUND(#REF!+#REF!+#REF!+预安排!#REF!+#REF!+'6月'!V269,5)</f>
        <v/>
      </c>
      <c r="W269" s="182">
        <f>ROUND(#REF!+#REF!+#REF!+预安排!#REF!+#REF!+'6月'!W269,5)</f>
        <v/>
      </c>
      <c r="X269" s="182">
        <f>ROUND(#REF!+#REF!+#REF!+预安排!#REF!+#REF!+'6月'!X269,5)</f>
        <v/>
      </c>
      <c r="Y269" s="182">
        <f>ROUND(#REF!+#REF!+#REF!+预安排!#REF!+#REF!+'6月'!Y269,5)</f>
        <v/>
      </c>
      <c r="Z269" s="182">
        <f>ROUND(#REF!+#REF!+#REF!+预安排!#REF!+#REF!+'6月'!Z269,5)</f>
        <v/>
      </c>
      <c r="AA269" s="182">
        <f>ROUND(#REF!+#REF!+#REF!+预安排!#REF!+#REF!+'6月'!AA269,5)</f>
        <v/>
      </c>
      <c r="AB269" s="182">
        <f>ROUND(#REF!+#REF!+#REF!+预安排!#REF!+#REF!+'6月'!AB269,5)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193">
        <f>计划!O269-O269</f>
        <v/>
      </c>
      <c r="AH269" s="193">
        <f>ROUND(AG269/$AH$1,2)</f>
        <v/>
      </c>
    </row>
    <row r="270" customFormat="1" s="1">
      <c r="A270" s="234" t="n"/>
      <c r="B270" s="231" t="inlineStr">
        <is>
          <t>SKU-39C37C74</t>
        </is>
      </c>
      <c r="C270" s="231" t="inlineStr">
        <is>
          <t>是</t>
        </is>
      </c>
      <c r="D270" s="231" t="n">
        <v>10</v>
      </c>
      <c r="E270" s="231" t="inlineStr"/>
      <c r="F270" s="231" t="inlineStr"/>
      <c r="G270" s="231" t="inlineStr"/>
      <c r="H270" s="231" t="inlineStr"/>
      <c r="I270" s="231" t="inlineStr"/>
      <c r="J270" s="27" t="inlineStr"/>
      <c r="K270" s="27" t="inlineStr"/>
      <c r="L270" s="231" t="n">
        <v>100</v>
      </c>
      <c r="M270" s="19" t="inlineStr">
        <is>
          <t>Product-BF80D349</t>
        </is>
      </c>
      <c r="N270" s="231" t="n">
        <v>3</v>
      </c>
      <c r="O270" s="181">
        <f>SUM(P270:AB270)</f>
        <v/>
      </c>
      <c r="P270" s="182">
        <f>ROUND(#REF!+#REF!+#REF!+预安排!#REF!+#REF!+'6月'!P270,5)</f>
        <v/>
      </c>
      <c r="Q270" s="182">
        <f>ROUND(#REF!+#REF!+#REF!+预安排!#REF!+#REF!+'6月'!Q270,5)</f>
        <v/>
      </c>
      <c r="R270" s="182">
        <f>ROUND(#REF!+#REF!+#REF!+预安排!#REF!+#REF!+'6月'!R270,5)</f>
        <v/>
      </c>
      <c r="S270" s="182">
        <f>ROUND(#REF!+#REF!+#REF!+预安排!#REF!+#REF!+'6月'!S270,5)</f>
        <v/>
      </c>
      <c r="T270" s="182">
        <f>ROUND(#REF!+#REF!+#REF!+预安排!#REF!+#REF!+'6月'!T270,5)</f>
        <v/>
      </c>
      <c r="U270" s="182">
        <f>ROUND(#REF!+#REF!+#REF!+预安排!#REF!+#REF!+'6月'!U270,5)</f>
        <v/>
      </c>
      <c r="V270" s="182">
        <f>ROUND(#REF!+#REF!+#REF!+预安排!#REF!+#REF!+'6月'!V270,5)</f>
        <v/>
      </c>
      <c r="W270" s="182">
        <f>ROUND(#REF!+#REF!+#REF!+预安排!#REF!+#REF!+'6月'!W270,5)</f>
        <v/>
      </c>
      <c r="X270" s="182">
        <f>ROUND(#REF!+#REF!+#REF!+预安排!#REF!+#REF!+'6月'!X270,5)</f>
        <v/>
      </c>
      <c r="Y270" s="182">
        <f>ROUND(#REF!+#REF!+#REF!+预安排!#REF!+#REF!+'6月'!Y270,5)</f>
        <v/>
      </c>
      <c r="Z270" s="182">
        <f>ROUND(#REF!+#REF!+#REF!+预安排!#REF!+#REF!+'6月'!Z270,5)</f>
        <v/>
      </c>
      <c r="AA270" s="182">
        <f>ROUND(#REF!+#REF!+#REF!+预安排!#REF!+#REF!+'6月'!AA270,5)</f>
        <v/>
      </c>
      <c r="AB270" s="182">
        <f>ROUND(#REF!+#REF!+#REF!+预安排!#REF!+#REF!+'6月'!AB270,5)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193">
        <f>计划!O270-O270</f>
        <v/>
      </c>
      <c r="AH270" s="193">
        <f>ROUND(AG270/$AH$1,2)</f>
        <v/>
      </c>
    </row>
    <row r="271" customFormat="1" s="1">
      <c r="A271" s="234" t="n"/>
      <c r="B271" s="231" t="inlineStr">
        <is>
          <t>SKU-5D83BF57</t>
        </is>
      </c>
      <c r="C271" s="231" t="inlineStr">
        <is>
          <t>是</t>
        </is>
      </c>
      <c r="D271" s="231" t="n">
        <v>7</v>
      </c>
      <c r="E271" s="231" t="inlineStr">
        <is>
          <t>是</t>
        </is>
      </c>
      <c r="F271" s="231" t="inlineStr"/>
      <c r="G271" s="231" t="inlineStr"/>
      <c r="H271" s="231" t="inlineStr"/>
      <c r="I271" s="231" t="inlineStr">
        <is>
          <t>是</t>
        </is>
      </c>
      <c r="J271" s="27" t="inlineStr"/>
      <c r="K271" s="27" t="inlineStr"/>
      <c r="L271" s="231" t="n">
        <v>100</v>
      </c>
      <c r="M271" s="45" t="inlineStr">
        <is>
          <t>Product-D6058228</t>
        </is>
      </c>
      <c r="N271" s="231" t="n">
        <v>2</v>
      </c>
      <c r="O271" s="181">
        <f>SUM(P271:AB271)</f>
        <v/>
      </c>
      <c r="P271" s="182">
        <f>ROUND(#REF!+#REF!+#REF!+预安排!#REF!+#REF!+'6月'!P271,5)</f>
        <v/>
      </c>
      <c r="Q271" s="182">
        <f>ROUND(#REF!+#REF!+#REF!+预安排!#REF!+#REF!+'6月'!Q271,5)</f>
        <v/>
      </c>
      <c r="R271" s="182">
        <f>ROUND(#REF!+#REF!+#REF!+预安排!#REF!+#REF!+'6月'!R271,5)</f>
        <v/>
      </c>
      <c r="S271" s="182">
        <f>ROUND(#REF!+#REF!+#REF!+预安排!#REF!+#REF!+'6月'!S271,5)</f>
        <v/>
      </c>
      <c r="T271" s="182">
        <f>ROUND(#REF!+#REF!+#REF!+预安排!#REF!+#REF!+'6月'!T271,5)</f>
        <v/>
      </c>
      <c r="U271" s="182">
        <f>ROUND(#REF!+#REF!+#REF!+预安排!#REF!+#REF!+'6月'!U271,5)</f>
        <v/>
      </c>
      <c r="V271" s="182">
        <f>ROUND(#REF!+#REF!+#REF!+预安排!#REF!+#REF!+'6月'!V271,5)</f>
        <v/>
      </c>
      <c r="W271" s="182">
        <f>ROUND(#REF!+#REF!+#REF!+预安排!#REF!+#REF!+'6月'!W271,5)</f>
        <v/>
      </c>
      <c r="X271" s="182">
        <f>ROUND(#REF!+#REF!+#REF!+预安排!#REF!+#REF!+'6月'!X271,5)</f>
        <v/>
      </c>
      <c r="Y271" s="182">
        <f>ROUND(#REF!+#REF!+#REF!+预安排!#REF!+#REF!+'6月'!Y271,5)</f>
        <v/>
      </c>
      <c r="Z271" s="182">
        <f>ROUND(#REF!+#REF!+#REF!+预安排!#REF!+#REF!+'6月'!Z271,5)</f>
        <v/>
      </c>
      <c r="AA271" s="182">
        <f>ROUND(#REF!+#REF!+#REF!+预安排!#REF!+#REF!+'6月'!AA271,5)</f>
        <v/>
      </c>
      <c r="AB271" s="182">
        <f>ROUND(#REF!+#REF!+#REF!+预安排!#REF!+#REF!+'6月'!AB271,5)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193">
        <f>计划!O271-O271</f>
        <v/>
      </c>
      <c r="AH271" s="193">
        <f>ROUND(AG271/$AH$1,2)</f>
        <v/>
      </c>
    </row>
    <row r="272" customFormat="1" s="1">
      <c r="A272" s="234" t="n"/>
      <c r="B272" s="231" t="inlineStr">
        <is>
          <t>SKU-D47538E8</t>
        </is>
      </c>
      <c r="C272" s="231" t="inlineStr">
        <is>
          <t>是</t>
        </is>
      </c>
      <c r="D272" s="231" t="n">
        <v>10</v>
      </c>
      <c r="E272" s="231" t="inlineStr"/>
      <c r="F272" s="231" t="inlineStr"/>
      <c r="G272" s="231" t="inlineStr"/>
      <c r="H272" s="231" t="inlineStr"/>
      <c r="I272" s="231" t="inlineStr"/>
      <c r="J272" s="27" t="inlineStr"/>
      <c r="K272" s="27" t="inlineStr"/>
      <c r="L272" s="231" t="n">
        <v>100</v>
      </c>
      <c r="M272" s="19" t="inlineStr">
        <is>
          <t>Product-3AB43197</t>
        </is>
      </c>
      <c r="N272" s="231" t="n">
        <v>1</v>
      </c>
      <c r="O272" s="181">
        <f>SUM(P272:AB272)</f>
        <v/>
      </c>
      <c r="P272" s="182">
        <f>ROUND(#REF!+#REF!+#REF!+预安排!#REF!+#REF!+'6月'!P272,5)</f>
        <v/>
      </c>
      <c r="Q272" s="182">
        <f>ROUND(#REF!+#REF!+#REF!+预安排!#REF!+#REF!+'6月'!Q272,5)</f>
        <v/>
      </c>
      <c r="R272" s="182">
        <f>ROUND(#REF!+#REF!+#REF!+预安排!#REF!+#REF!+'6月'!R272,5)</f>
        <v/>
      </c>
      <c r="S272" s="182">
        <f>ROUND(#REF!+#REF!+#REF!+预安排!#REF!+#REF!+'6月'!S272,5)</f>
        <v/>
      </c>
      <c r="T272" s="182">
        <f>ROUND(#REF!+#REF!+#REF!+预安排!#REF!+#REF!+'6月'!T272,5)</f>
        <v/>
      </c>
      <c r="U272" s="182">
        <f>ROUND(#REF!+#REF!+#REF!+预安排!#REF!+#REF!+'6月'!U272,5)</f>
        <v/>
      </c>
      <c r="V272" s="182">
        <f>ROUND(#REF!+#REF!+#REF!+预安排!#REF!+#REF!+'6月'!V272,5)</f>
        <v/>
      </c>
      <c r="W272" s="182">
        <f>ROUND(#REF!+#REF!+#REF!+预安排!#REF!+#REF!+'6月'!W272,5)</f>
        <v/>
      </c>
      <c r="X272" s="182">
        <f>ROUND(#REF!+#REF!+#REF!+预安排!#REF!+#REF!+'6月'!X272,5)</f>
        <v/>
      </c>
      <c r="Y272" s="182">
        <f>ROUND(#REF!+#REF!+#REF!+预安排!#REF!+#REF!+'6月'!Y272,5)</f>
        <v/>
      </c>
      <c r="Z272" s="182">
        <f>ROUND(#REF!+#REF!+#REF!+预安排!#REF!+#REF!+'6月'!Z272,5)</f>
        <v/>
      </c>
      <c r="AA272" s="182">
        <f>ROUND(#REF!+#REF!+#REF!+预安排!#REF!+#REF!+'6月'!AA272,5)</f>
        <v/>
      </c>
      <c r="AB272" s="182">
        <f>ROUND(#REF!+#REF!+#REF!+预安排!#REF!+#REF!+'6月'!AB272,5)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193">
        <f>计划!O272-O272</f>
        <v/>
      </c>
      <c r="AH272" s="193">
        <f>ROUND(AG272/$AH$1,2)</f>
        <v/>
      </c>
    </row>
    <row r="273" customFormat="1" s="1">
      <c r="A273" s="234" t="n"/>
      <c r="B273" s="231" t="inlineStr">
        <is>
          <t>SKU-242CDE35</t>
        </is>
      </c>
      <c r="C273" s="231" t="inlineStr">
        <is>
          <t>是</t>
        </is>
      </c>
      <c r="D273" s="231" t="n">
        <v>11</v>
      </c>
      <c r="E273" s="231" t="inlineStr"/>
      <c r="F273" s="231" t="inlineStr"/>
      <c r="G273" s="231" t="inlineStr"/>
      <c r="H273" s="231" t="inlineStr"/>
      <c r="I273" s="231" t="inlineStr"/>
      <c r="J273" s="27" t="inlineStr">
        <is>
          <t>共</t>
        </is>
      </c>
      <c r="K273" s="27" t="inlineStr"/>
      <c r="L273" s="231" t="n">
        <v>100</v>
      </c>
      <c r="M273" s="19" t="inlineStr">
        <is>
          <t>Product-0679DC24</t>
        </is>
      </c>
      <c r="N273" s="231" t="n">
        <v>1</v>
      </c>
      <c r="O273" s="181">
        <f>SUM(P273:AB273)</f>
        <v/>
      </c>
      <c r="P273" s="182">
        <f>ROUND(#REF!+#REF!+#REF!+预安排!#REF!+#REF!+'6月'!P273,5)</f>
        <v/>
      </c>
      <c r="Q273" s="182">
        <f>ROUND(#REF!+#REF!+#REF!+预安排!#REF!+#REF!+'6月'!Q273,5)</f>
        <v/>
      </c>
      <c r="R273" s="182">
        <f>ROUND(#REF!+#REF!+#REF!+预安排!#REF!+#REF!+'6月'!R273,5)</f>
        <v/>
      </c>
      <c r="S273" s="182">
        <f>ROUND(#REF!+#REF!+#REF!+预安排!#REF!+#REF!+'6月'!S273,5)</f>
        <v/>
      </c>
      <c r="T273" s="182">
        <f>ROUND(#REF!+#REF!+#REF!+预安排!#REF!+#REF!+'6月'!T273,5)</f>
        <v/>
      </c>
      <c r="U273" s="182">
        <f>ROUND(#REF!+#REF!+#REF!+预安排!#REF!+#REF!+'6月'!U273,5)</f>
        <v/>
      </c>
      <c r="V273" s="182">
        <f>ROUND(#REF!+#REF!+#REF!+预安排!#REF!+#REF!+'6月'!V273,5)</f>
        <v/>
      </c>
      <c r="W273" s="182">
        <f>ROUND(#REF!+#REF!+#REF!+预安排!#REF!+#REF!+'6月'!W273,5)</f>
        <v/>
      </c>
      <c r="X273" s="182">
        <f>ROUND(#REF!+#REF!+#REF!+预安排!#REF!+#REF!+'6月'!X273,5)</f>
        <v/>
      </c>
      <c r="Y273" s="182">
        <f>ROUND(#REF!+#REF!+#REF!+预安排!#REF!+#REF!+'6月'!Y273,5)</f>
        <v/>
      </c>
      <c r="Z273" s="182">
        <f>ROUND(#REF!+#REF!+#REF!+预安排!#REF!+#REF!+'6月'!Z273,5)</f>
        <v/>
      </c>
      <c r="AA273" s="182">
        <f>ROUND(#REF!+#REF!+#REF!+预安排!#REF!+#REF!+'6月'!AA273,5)</f>
        <v/>
      </c>
      <c r="AB273" s="182">
        <f>ROUND(#REF!+#REF!+#REF!+预安排!#REF!+#REF!+'6月'!AB273,5)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193">
        <f>计划!O273-O273</f>
        <v/>
      </c>
      <c r="AH273" s="193">
        <f>ROUND(AG273/$AH$1,2)</f>
        <v/>
      </c>
    </row>
    <row r="274" customFormat="1" s="1">
      <c r="A274" s="234" t="n"/>
      <c r="B274" s="231" t="inlineStr">
        <is>
          <t>SKU-DE68B12E</t>
        </is>
      </c>
      <c r="C274" s="231" t="inlineStr">
        <is>
          <t>是</t>
        </is>
      </c>
      <c r="D274" s="231" t="n">
        <v>8</v>
      </c>
      <c r="E274" s="231" t="inlineStr">
        <is>
          <t>是</t>
        </is>
      </c>
      <c r="F274" s="231" t="inlineStr"/>
      <c r="G274" s="231" t="inlineStr"/>
      <c r="H274" s="231" t="inlineStr"/>
      <c r="I274" s="231" t="inlineStr">
        <is>
          <t>是</t>
        </is>
      </c>
      <c r="J274" s="27" t="inlineStr"/>
      <c r="K274" s="27" t="inlineStr"/>
      <c r="L274" s="231" t="n">
        <v>100</v>
      </c>
      <c r="M274" s="19" t="inlineStr">
        <is>
          <t>Product-C50F24AE</t>
        </is>
      </c>
      <c r="N274" s="231" t="n">
        <v>1</v>
      </c>
      <c r="O274" s="181">
        <f>SUM(P274:AB274)</f>
        <v/>
      </c>
      <c r="P274" s="182">
        <f>ROUND(#REF!+#REF!+#REF!+预安排!#REF!+#REF!+'6月'!P274,5)</f>
        <v/>
      </c>
      <c r="Q274" s="182">
        <f>ROUND(#REF!+#REF!+#REF!+预安排!#REF!+#REF!+'6月'!Q274,5)</f>
        <v/>
      </c>
      <c r="R274" s="182">
        <f>ROUND(#REF!+#REF!+#REF!+预安排!#REF!+#REF!+'6月'!R274,5)</f>
        <v/>
      </c>
      <c r="S274" s="182">
        <f>ROUND(#REF!+#REF!+#REF!+预安排!#REF!+#REF!+'6月'!S274,5)</f>
        <v/>
      </c>
      <c r="T274" s="182">
        <f>ROUND(#REF!+#REF!+#REF!+预安排!#REF!+#REF!+'6月'!T274,5)</f>
        <v/>
      </c>
      <c r="U274" s="182">
        <f>ROUND(#REF!+#REF!+#REF!+预安排!#REF!+#REF!+'6月'!U274,5)</f>
        <v/>
      </c>
      <c r="V274" s="182">
        <f>ROUND(#REF!+#REF!+#REF!+预安排!#REF!+#REF!+'6月'!V274,5)</f>
        <v/>
      </c>
      <c r="W274" s="182">
        <f>ROUND(#REF!+#REF!+#REF!+预安排!#REF!+#REF!+'6月'!W274,5)</f>
        <v/>
      </c>
      <c r="X274" s="182">
        <f>ROUND(#REF!+#REF!+#REF!+预安排!#REF!+#REF!+'6月'!X274,5)</f>
        <v/>
      </c>
      <c r="Y274" s="182">
        <f>ROUND(#REF!+#REF!+#REF!+预安排!#REF!+#REF!+'6月'!Y274,5)</f>
        <v/>
      </c>
      <c r="Z274" s="182">
        <f>ROUND(#REF!+#REF!+#REF!+预安排!#REF!+#REF!+'6月'!Z274,5)</f>
        <v/>
      </c>
      <c r="AA274" s="182">
        <f>ROUND(#REF!+#REF!+#REF!+预安排!#REF!+#REF!+'6月'!AA274,5)</f>
        <v/>
      </c>
      <c r="AB274" s="182">
        <f>ROUND(#REF!+#REF!+#REF!+预安排!#REF!+#REF!+'6月'!AB274,5)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193">
        <f>计划!O274-O274</f>
        <v/>
      </c>
      <c r="AH274" s="193">
        <f>ROUND(AG274/$AH$1,2)</f>
        <v/>
      </c>
    </row>
    <row r="275" customFormat="1" s="1">
      <c r="A275" s="234" t="n"/>
      <c r="B275" s="231" t="inlineStr">
        <is>
          <t>SKU-51DE8DA7</t>
        </is>
      </c>
      <c r="C275" s="231" t="inlineStr">
        <is>
          <t>是</t>
        </is>
      </c>
      <c r="D275" s="231" t="n">
        <v>10</v>
      </c>
      <c r="E275" s="231" t="inlineStr"/>
      <c r="F275" s="231" t="inlineStr"/>
      <c r="G275" s="231" t="inlineStr"/>
      <c r="H275" s="231" t="inlineStr"/>
      <c r="I275" s="231" t="inlineStr"/>
      <c r="J275" s="27" t="inlineStr"/>
      <c r="K275" s="27" t="inlineStr"/>
      <c r="L275" s="231" t="n">
        <v>100</v>
      </c>
      <c r="M275" s="44" t="inlineStr">
        <is>
          <t>Product-A356EADC</t>
        </is>
      </c>
      <c r="N275" s="231" t="n">
        <v>1</v>
      </c>
      <c r="O275" s="181">
        <f>SUM(P275:AB275)</f>
        <v/>
      </c>
      <c r="P275" s="182">
        <f>ROUND(#REF!+#REF!+#REF!+预安排!#REF!+#REF!+'6月'!P275,5)</f>
        <v/>
      </c>
      <c r="Q275" s="182">
        <f>ROUND(#REF!+#REF!+#REF!+预安排!#REF!+#REF!+'6月'!Q275,5)</f>
        <v/>
      </c>
      <c r="R275" s="182">
        <f>ROUND(#REF!+#REF!+#REF!+预安排!#REF!+#REF!+'6月'!R275,5)</f>
        <v/>
      </c>
      <c r="S275" s="182">
        <f>ROUND(#REF!+#REF!+#REF!+预安排!#REF!+#REF!+'6月'!S275,5)</f>
        <v/>
      </c>
      <c r="T275" s="182">
        <f>ROUND(#REF!+#REF!+#REF!+预安排!#REF!+#REF!+'6月'!T275,5)</f>
        <v/>
      </c>
      <c r="U275" s="182">
        <f>ROUND(#REF!+#REF!+#REF!+预安排!#REF!+#REF!+'6月'!U275,5)</f>
        <v/>
      </c>
      <c r="V275" s="182">
        <f>ROUND(#REF!+#REF!+#REF!+预安排!#REF!+#REF!+'6月'!V275,5)</f>
        <v/>
      </c>
      <c r="W275" s="182">
        <f>ROUND(#REF!+#REF!+#REF!+预安排!#REF!+#REF!+'6月'!W275,5)</f>
        <v/>
      </c>
      <c r="X275" s="182">
        <f>ROUND(#REF!+#REF!+#REF!+预安排!#REF!+#REF!+'6月'!X275,5)</f>
        <v/>
      </c>
      <c r="Y275" s="182">
        <f>ROUND(#REF!+#REF!+#REF!+预安排!#REF!+#REF!+'6月'!Y275,5)</f>
        <v/>
      </c>
      <c r="Z275" s="182">
        <f>ROUND(#REF!+#REF!+#REF!+预安排!#REF!+#REF!+'6月'!Z275,5)</f>
        <v/>
      </c>
      <c r="AA275" s="182">
        <f>ROUND(#REF!+#REF!+#REF!+预安排!#REF!+#REF!+'6月'!AA275,5)</f>
        <v/>
      </c>
      <c r="AB275" s="182">
        <f>ROUND(#REF!+#REF!+#REF!+预安排!#REF!+#REF!+'6月'!AB275,5)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193">
        <f>计划!O275-O275</f>
        <v/>
      </c>
      <c r="AH275" s="193">
        <f>ROUND(AG275/$AH$1,2)</f>
        <v/>
      </c>
    </row>
    <row r="276" customFormat="1" s="1">
      <c r="A276" s="234" t="n"/>
      <c r="B276" s="231" t="inlineStr">
        <is>
          <t>SKU-B2655403</t>
        </is>
      </c>
      <c r="C276" s="231" t="inlineStr">
        <is>
          <t>是</t>
        </is>
      </c>
      <c r="D276" s="231" t="n">
        <v>8</v>
      </c>
      <c r="E276" s="231" t="inlineStr">
        <is>
          <t>是</t>
        </is>
      </c>
      <c r="F276" s="231" t="inlineStr"/>
      <c r="G276" s="231" t="inlineStr"/>
      <c r="H276" s="231" t="inlineStr">
        <is>
          <t>是</t>
        </is>
      </c>
      <c r="I276" s="231" t="inlineStr">
        <is>
          <t>是</t>
        </is>
      </c>
      <c r="J276" s="27" t="inlineStr"/>
      <c r="K276" s="27" t="inlineStr"/>
      <c r="L276" s="231" t="n">
        <v>100</v>
      </c>
      <c r="M276" s="43" t="inlineStr">
        <is>
          <t>Product-D9E7BC64</t>
        </is>
      </c>
      <c r="N276" s="231" t="n">
        <v>1</v>
      </c>
      <c r="O276" s="181">
        <f>SUM(P276:AB276)</f>
        <v/>
      </c>
      <c r="P276" s="182">
        <f>ROUND(#REF!+#REF!+#REF!+预安排!#REF!+#REF!+'6月'!P276,5)</f>
        <v/>
      </c>
      <c r="Q276" s="182">
        <f>ROUND(#REF!+#REF!+#REF!+预安排!#REF!+#REF!+'6月'!Q276,5)</f>
        <v/>
      </c>
      <c r="R276" s="182">
        <f>ROUND(#REF!+#REF!+#REF!+预安排!#REF!+#REF!+'6月'!R276,5)</f>
        <v/>
      </c>
      <c r="S276" s="182">
        <f>ROUND(#REF!+#REF!+#REF!+预安排!#REF!+#REF!+'6月'!S276,5)</f>
        <v/>
      </c>
      <c r="T276" s="182">
        <f>ROUND(#REF!+#REF!+#REF!+预安排!#REF!+#REF!+'6月'!T276,5)</f>
        <v/>
      </c>
      <c r="U276" s="182">
        <f>ROUND(#REF!+#REF!+#REF!+预安排!#REF!+#REF!+'6月'!U276,5)</f>
        <v/>
      </c>
      <c r="V276" s="182">
        <f>ROUND(#REF!+#REF!+#REF!+预安排!#REF!+#REF!+'6月'!V276,5)</f>
        <v/>
      </c>
      <c r="W276" s="182">
        <f>ROUND(#REF!+#REF!+#REF!+预安排!#REF!+#REF!+'6月'!W276,5)</f>
        <v/>
      </c>
      <c r="X276" s="182">
        <f>ROUND(#REF!+#REF!+#REF!+预安排!#REF!+#REF!+'6月'!X276,5)</f>
        <v/>
      </c>
      <c r="Y276" s="182">
        <f>ROUND(#REF!+#REF!+#REF!+预安排!#REF!+#REF!+'6月'!Y276,5)</f>
        <v/>
      </c>
      <c r="Z276" s="182">
        <f>ROUND(#REF!+#REF!+#REF!+预安排!#REF!+#REF!+'6月'!Z276,5)</f>
        <v/>
      </c>
      <c r="AA276" s="182">
        <f>ROUND(#REF!+#REF!+#REF!+预安排!#REF!+#REF!+'6月'!AA276,5)</f>
        <v/>
      </c>
      <c r="AB276" s="182">
        <f>ROUND(#REF!+#REF!+#REF!+预安排!#REF!+#REF!+'6月'!AB276,5)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193">
        <f>计划!O276-O276</f>
        <v/>
      </c>
      <c r="AH276" s="193">
        <f>ROUND(AG276/$AH$1,2)</f>
        <v/>
      </c>
    </row>
    <row r="277" customFormat="1" s="1">
      <c r="A277" s="234" t="n"/>
      <c r="B277" s="231" t="inlineStr">
        <is>
          <t>SKU-560D7D3A</t>
        </is>
      </c>
      <c r="C277" s="231" t="inlineStr">
        <is>
          <t>是</t>
        </is>
      </c>
      <c r="D277" s="231" t="n">
        <v>9</v>
      </c>
      <c r="E277" s="231" t="inlineStr"/>
      <c r="F277" s="231" t="inlineStr">
        <is>
          <t>是</t>
        </is>
      </c>
      <c r="G277" s="231" t="inlineStr"/>
      <c r="H277" s="231" t="inlineStr"/>
      <c r="I277" s="231" t="inlineStr">
        <is>
          <t>是</t>
        </is>
      </c>
      <c r="J277" s="27" t="inlineStr"/>
      <c r="K277" s="27" t="inlineStr"/>
      <c r="L277" s="231" t="n">
        <v>100</v>
      </c>
      <c r="M277" s="19" t="inlineStr">
        <is>
          <t>Product-1ACD7A4E</t>
        </is>
      </c>
      <c r="N277" s="231" t="n">
        <v>1</v>
      </c>
      <c r="O277" s="181">
        <f>SUM(P277:AB277)</f>
        <v/>
      </c>
      <c r="P277" s="182">
        <f>ROUND(#REF!+#REF!+#REF!+预安排!#REF!+#REF!+'6月'!P277,5)</f>
        <v/>
      </c>
      <c r="Q277" s="182">
        <f>ROUND(#REF!+#REF!+#REF!+预安排!#REF!+#REF!+'6月'!Q277,5)</f>
        <v/>
      </c>
      <c r="R277" s="182">
        <f>ROUND(#REF!+#REF!+#REF!+预安排!#REF!+#REF!+'6月'!R277,5)</f>
        <v/>
      </c>
      <c r="S277" s="182">
        <f>ROUND(#REF!+#REF!+#REF!+预安排!#REF!+#REF!+'6月'!S277,5)</f>
        <v/>
      </c>
      <c r="T277" s="182">
        <f>ROUND(#REF!+#REF!+#REF!+预安排!#REF!+#REF!+'6月'!T277,5)</f>
        <v/>
      </c>
      <c r="U277" s="182">
        <f>ROUND(#REF!+#REF!+#REF!+预安排!#REF!+#REF!+'6月'!U277,5)</f>
        <v/>
      </c>
      <c r="V277" s="182">
        <f>ROUND(#REF!+#REF!+#REF!+预安排!#REF!+#REF!+'6月'!V277,5)</f>
        <v/>
      </c>
      <c r="W277" s="182">
        <f>ROUND(#REF!+#REF!+#REF!+预安排!#REF!+#REF!+'6月'!W277,5)</f>
        <v/>
      </c>
      <c r="X277" s="182">
        <f>ROUND(#REF!+#REF!+#REF!+预安排!#REF!+#REF!+'6月'!X277,5)</f>
        <v/>
      </c>
      <c r="Y277" s="182">
        <f>ROUND(#REF!+#REF!+#REF!+预安排!#REF!+#REF!+'6月'!Y277,5)</f>
        <v/>
      </c>
      <c r="Z277" s="182">
        <f>ROUND(#REF!+#REF!+#REF!+预安排!#REF!+#REF!+'6月'!Z277,5)</f>
        <v/>
      </c>
      <c r="AA277" s="182">
        <f>ROUND(#REF!+#REF!+#REF!+预安排!#REF!+#REF!+'6月'!AA277,5)</f>
        <v/>
      </c>
      <c r="AB277" s="182">
        <f>ROUND(#REF!+#REF!+#REF!+预安排!#REF!+#REF!+'6月'!AB277,5)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193">
        <f>计划!O277-O277</f>
        <v/>
      </c>
      <c r="AH277" s="193">
        <f>ROUND(AG277/$AH$1,2)</f>
        <v/>
      </c>
    </row>
    <row r="278" customFormat="1" s="1">
      <c r="A278" s="234" t="n"/>
      <c r="B278" s="231" t="inlineStr">
        <is>
          <t>SKU-58CC7CB1</t>
        </is>
      </c>
      <c r="C278" s="231" t="inlineStr">
        <is>
          <t>是</t>
        </is>
      </c>
      <c r="D278" s="231" t="n">
        <v>8</v>
      </c>
      <c r="E278" s="231" t="inlineStr"/>
      <c r="F278" s="231" t="inlineStr">
        <is>
          <t>是</t>
        </is>
      </c>
      <c r="G278" s="231" t="inlineStr"/>
      <c r="H278" s="231" t="inlineStr"/>
      <c r="I278" s="231" t="inlineStr">
        <is>
          <t>是</t>
        </is>
      </c>
      <c r="J278" s="27" t="inlineStr"/>
      <c r="K278" s="27" t="inlineStr"/>
      <c r="L278" s="231" t="n">
        <v>100</v>
      </c>
      <c r="M278" s="19" t="inlineStr">
        <is>
          <t>Product-9C70330A</t>
        </is>
      </c>
      <c r="N278" s="231" t="n">
        <v>1</v>
      </c>
      <c r="O278" s="181">
        <f>SUM(P278:AB278)</f>
        <v/>
      </c>
      <c r="P278" s="182">
        <f>ROUND(#REF!+#REF!+#REF!+预安排!#REF!+#REF!+'6月'!P278,5)</f>
        <v/>
      </c>
      <c r="Q278" s="182">
        <f>ROUND(#REF!+#REF!+#REF!+预安排!#REF!+#REF!+'6月'!Q278,5)</f>
        <v/>
      </c>
      <c r="R278" s="182">
        <f>ROUND(#REF!+#REF!+#REF!+预安排!#REF!+#REF!+'6月'!R278,5)</f>
        <v/>
      </c>
      <c r="S278" s="182">
        <f>ROUND(#REF!+#REF!+#REF!+预安排!#REF!+#REF!+'6月'!S278,5)</f>
        <v/>
      </c>
      <c r="T278" s="182">
        <f>ROUND(#REF!+#REF!+#REF!+预安排!#REF!+#REF!+'6月'!T278,5)</f>
        <v/>
      </c>
      <c r="U278" s="182">
        <f>ROUND(#REF!+#REF!+#REF!+预安排!#REF!+#REF!+'6月'!U278,5)</f>
        <v/>
      </c>
      <c r="V278" s="182">
        <f>ROUND(#REF!+#REF!+#REF!+预安排!#REF!+#REF!+'6月'!V278,5)</f>
        <v/>
      </c>
      <c r="W278" s="182">
        <f>ROUND(#REF!+#REF!+#REF!+预安排!#REF!+#REF!+'6月'!W278,5)</f>
        <v/>
      </c>
      <c r="X278" s="182">
        <f>ROUND(#REF!+#REF!+#REF!+预安排!#REF!+#REF!+'6月'!X278,5)</f>
        <v/>
      </c>
      <c r="Y278" s="182">
        <f>ROUND(#REF!+#REF!+#REF!+预安排!#REF!+#REF!+'6月'!Y278,5)</f>
        <v/>
      </c>
      <c r="Z278" s="182">
        <f>ROUND(#REF!+#REF!+#REF!+预安排!#REF!+#REF!+'6月'!Z278,5)</f>
        <v/>
      </c>
      <c r="AA278" s="182">
        <f>ROUND(#REF!+#REF!+#REF!+预安排!#REF!+#REF!+'6月'!AA278,5)</f>
        <v/>
      </c>
      <c r="AB278" s="182">
        <f>ROUND(#REF!+#REF!+#REF!+预安排!#REF!+#REF!+'6月'!AB278,5)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193">
        <f>计划!O278-O278</f>
        <v/>
      </c>
      <c r="AH278" s="193">
        <f>ROUND(AG278/$AH$1,2)</f>
        <v/>
      </c>
    </row>
    <row r="279" customFormat="1" s="1">
      <c r="A279" s="234" t="n"/>
      <c r="B279" s="231" t="inlineStr">
        <is>
          <t>SKU-3267BBE9</t>
        </is>
      </c>
      <c r="C279" s="231" t="inlineStr">
        <is>
          <t>是</t>
        </is>
      </c>
      <c r="D279" s="231" t="n">
        <v>8</v>
      </c>
      <c r="E279" s="231" t="inlineStr">
        <is>
          <t>是</t>
        </is>
      </c>
      <c r="F279" s="231" t="inlineStr"/>
      <c r="G279" s="231" t="inlineStr"/>
      <c r="H279" s="231" t="inlineStr"/>
      <c r="I279" s="231" t="inlineStr">
        <is>
          <t>是</t>
        </is>
      </c>
      <c r="J279" s="27" t="inlineStr">
        <is>
          <t>共</t>
        </is>
      </c>
      <c r="K279" s="27" t="inlineStr"/>
      <c r="L279" s="231" t="n">
        <v>100</v>
      </c>
      <c r="M279" s="19" t="inlineStr">
        <is>
          <t>Product-0D2637FC</t>
        </is>
      </c>
      <c r="N279" s="231" t="n">
        <v>1</v>
      </c>
      <c r="O279" s="181">
        <f>SUM(P279:AB279)</f>
        <v/>
      </c>
      <c r="P279" s="182">
        <f>ROUND(#REF!+#REF!+#REF!+预安排!#REF!+#REF!+'6月'!P279,5)</f>
        <v/>
      </c>
      <c r="Q279" s="182">
        <f>ROUND(#REF!+#REF!+#REF!+预安排!#REF!+#REF!+'6月'!Q279,5)</f>
        <v/>
      </c>
      <c r="R279" s="182">
        <f>ROUND(#REF!+#REF!+#REF!+预安排!#REF!+#REF!+'6月'!R279,5)</f>
        <v/>
      </c>
      <c r="S279" s="182">
        <f>ROUND(#REF!+#REF!+#REF!+预安排!#REF!+#REF!+'6月'!S279,5)</f>
        <v/>
      </c>
      <c r="T279" s="182">
        <f>ROUND(#REF!+#REF!+#REF!+预安排!#REF!+#REF!+'6月'!T279,5)</f>
        <v/>
      </c>
      <c r="U279" s="182">
        <f>ROUND(#REF!+#REF!+#REF!+预安排!#REF!+#REF!+'6月'!U279,5)</f>
        <v/>
      </c>
      <c r="V279" s="182">
        <f>ROUND(#REF!+#REF!+#REF!+预安排!#REF!+#REF!+'6月'!V279,5)</f>
        <v/>
      </c>
      <c r="W279" s="182">
        <f>ROUND(#REF!+#REF!+#REF!+预安排!#REF!+#REF!+'6月'!W279,5)</f>
        <v/>
      </c>
      <c r="X279" s="182">
        <f>ROUND(#REF!+#REF!+#REF!+预安排!#REF!+#REF!+'6月'!X279,5)</f>
        <v/>
      </c>
      <c r="Y279" s="182">
        <f>ROUND(#REF!+#REF!+#REF!+预安排!#REF!+#REF!+'6月'!Y279,5)</f>
        <v/>
      </c>
      <c r="Z279" s="182">
        <f>ROUND(#REF!+#REF!+#REF!+预安排!#REF!+#REF!+'6月'!Z279,5)</f>
        <v/>
      </c>
      <c r="AA279" s="182">
        <f>ROUND(#REF!+#REF!+#REF!+预安排!#REF!+#REF!+'6月'!AA279,5)</f>
        <v/>
      </c>
      <c r="AB279" s="182">
        <f>ROUND(#REF!+#REF!+#REF!+预安排!#REF!+#REF!+'6月'!AB279,5)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193">
        <f>计划!O279-O279</f>
        <v/>
      </c>
      <c r="AH279" s="193">
        <f>ROUND(AG279/$AH$1,2)</f>
        <v/>
      </c>
    </row>
    <row r="280" customFormat="1" s="1">
      <c r="A280" s="234" t="n"/>
      <c r="B280" s="231" t="inlineStr">
        <is>
          <t>SKU-AA71A4AF</t>
        </is>
      </c>
      <c r="C280" s="231" t="inlineStr">
        <is>
          <t>是</t>
        </is>
      </c>
      <c r="D280" s="231" t="n">
        <v>10</v>
      </c>
      <c r="E280" s="231" t="inlineStr"/>
      <c r="F280" s="231" t="inlineStr"/>
      <c r="G280" s="231" t="inlineStr"/>
      <c r="H280" s="231" t="inlineStr"/>
      <c r="I280" s="231" t="inlineStr"/>
      <c r="J280" s="27" t="inlineStr"/>
      <c r="K280" s="27" t="inlineStr"/>
      <c r="L280" s="231" t="n">
        <v>100</v>
      </c>
      <c r="M280" s="19" t="inlineStr">
        <is>
          <t>Product-190D85FA</t>
        </is>
      </c>
      <c r="N280" s="231" t="n">
        <v>3</v>
      </c>
      <c r="O280" s="181">
        <f>SUM(P280:AB280)</f>
        <v/>
      </c>
      <c r="P280" s="182">
        <f>ROUND(#REF!+#REF!+#REF!+预安排!#REF!+#REF!+'6月'!P280,5)</f>
        <v/>
      </c>
      <c r="Q280" s="182">
        <f>ROUND(#REF!+#REF!+#REF!+预安排!#REF!+#REF!+'6月'!Q280,5)</f>
        <v/>
      </c>
      <c r="R280" s="182">
        <f>ROUND(#REF!+#REF!+#REF!+预安排!#REF!+#REF!+'6月'!R280,5)</f>
        <v/>
      </c>
      <c r="S280" s="182">
        <f>ROUND(#REF!+#REF!+#REF!+预安排!#REF!+#REF!+'6月'!S280,5)</f>
        <v/>
      </c>
      <c r="T280" s="182">
        <f>ROUND(#REF!+#REF!+#REF!+预安排!#REF!+#REF!+'6月'!T280,5)</f>
        <v/>
      </c>
      <c r="U280" s="182">
        <f>ROUND(#REF!+#REF!+#REF!+预安排!#REF!+#REF!+'6月'!U280,5)</f>
        <v/>
      </c>
      <c r="V280" s="182">
        <f>ROUND(#REF!+#REF!+#REF!+预安排!#REF!+#REF!+'6月'!V280,5)</f>
        <v/>
      </c>
      <c r="W280" s="182">
        <f>ROUND(#REF!+#REF!+#REF!+预安排!#REF!+#REF!+'6月'!W280,5)</f>
        <v/>
      </c>
      <c r="X280" s="182">
        <f>ROUND(#REF!+#REF!+#REF!+预安排!#REF!+#REF!+'6月'!X280,5)</f>
        <v/>
      </c>
      <c r="Y280" s="182">
        <f>ROUND(#REF!+#REF!+#REF!+预安排!#REF!+#REF!+'6月'!Y280,5)</f>
        <v/>
      </c>
      <c r="Z280" s="182">
        <f>ROUND(#REF!+#REF!+#REF!+预安排!#REF!+#REF!+'6月'!Z280,5)</f>
        <v/>
      </c>
      <c r="AA280" s="182">
        <f>ROUND(#REF!+#REF!+#REF!+预安排!#REF!+#REF!+'6月'!AA280,5)</f>
        <v/>
      </c>
      <c r="AB280" s="182">
        <f>ROUND(#REF!+#REF!+#REF!+预安排!#REF!+#REF!+'6月'!AB280,5)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193">
        <f>计划!O280-O280</f>
        <v/>
      </c>
      <c r="AH280" s="193">
        <f>ROUND(AG280/$AH$1,2)</f>
        <v/>
      </c>
    </row>
    <row r="281" customFormat="1" s="1">
      <c r="A281" s="234" t="n"/>
      <c r="B281" s="231" t="inlineStr">
        <is>
          <t>SKU-C9A37CA3</t>
        </is>
      </c>
      <c r="C281" s="231" t="inlineStr">
        <is>
          <t>是</t>
        </is>
      </c>
      <c r="D281" s="231" t="n">
        <v>11</v>
      </c>
      <c r="E281" s="231" t="inlineStr"/>
      <c r="F281" s="231" t="inlineStr"/>
      <c r="G281" s="231" t="inlineStr"/>
      <c r="H281" s="231" t="inlineStr"/>
      <c r="I281" s="231" t="inlineStr"/>
      <c r="J281" s="27" t="inlineStr"/>
      <c r="K281" s="27" t="inlineStr"/>
      <c r="L281" s="231" t="n">
        <v>100</v>
      </c>
      <c r="M281" s="43" t="inlineStr">
        <is>
          <t>Product-8E1B07F9</t>
        </is>
      </c>
      <c r="N281" s="231" t="n">
        <v>3</v>
      </c>
      <c r="O281" s="181">
        <f>SUM(P281:AB281)</f>
        <v/>
      </c>
      <c r="P281" s="182">
        <f>ROUND(#REF!+#REF!+#REF!+预安排!#REF!+#REF!+'6月'!P281,5)</f>
        <v/>
      </c>
      <c r="Q281" s="182">
        <f>ROUND(#REF!+#REF!+#REF!+预安排!#REF!+#REF!+'6月'!Q281,5)</f>
        <v/>
      </c>
      <c r="R281" s="182">
        <f>ROUND(#REF!+#REF!+#REF!+预安排!#REF!+#REF!+'6月'!R281,5)</f>
        <v/>
      </c>
      <c r="S281" s="182">
        <f>ROUND(#REF!+#REF!+#REF!+预安排!#REF!+#REF!+'6月'!S281,5)</f>
        <v/>
      </c>
      <c r="T281" s="182">
        <f>ROUND(#REF!+#REF!+#REF!+预安排!#REF!+#REF!+'6月'!T281,5)</f>
        <v/>
      </c>
      <c r="U281" s="182">
        <f>ROUND(#REF!+#REF!+#REF!+预安排!#REF!+#REF!+'6月'!U281,5)</f>
        <v/>
      </c>
      <c r="V281" s="182">
        <f>ROUND(#REF!+#REF!+#REF!+预安排!#REF!+#REF!+'6月'!V281,5)</f>
        <v/>
      </c>
      <c r="W281" s="182">
        <f>ROUND(#REF!+#REF!+#REF!+预安排!#REF!+#REF!+'6月'!W281,5)</f>
        <v/>
      </c>
      <c r="X281" s="182">
        <f>ROUND(#REF!+#REF!+#REF!+预安排!#REF!+#REF!+'6月'!X281,5)</f>
        <v/>
      </c>
      <c r="Y281" s="182">
        <f>ROUND(#REF!+#REF!+#REF!+预安排!#REF!+#REF!+'6月'!Y281,5)</f>
        <v/>
      </c>
      <c r="Z281" s="182">
        <f>ROUND(#REF!+#REF!+#REF!+预安排!#REF!+#REF!+'6月'!Z281,5)</f>
        <v/>
      </c>
      <c r="AA281" s="182">
        <f>ROUND(#REF!+#REF!+#REF!+预安排!#REF!+#REF!+'6月'!AA281,5)</f>
        <v/>
      </c>
      <c r="AB281" s="182">
        <f>ROUND(#REF!+#REF!+#REF!+预安排!#REF!+#REF!+'6月'!AB281,5)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193">
        <f>计划!O281-O281</f>
        <v/>
      </c>
      <c r="AH281" s="193">
        <f>ROUND(AG281/$AH$1,2)</f>
        <v/>
      </c>
    </row>
    <row r="282" customFormat="1" s="1">
      <c r="A282" s="235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196">
        <f>计划!O282-O282</f>
        <v/>
      </c>
      <c r="AH282" s="196">
        <f>ROUND(AG282/$AH$1,2)</f>
        <v/>
      </c>
    </row>
    <row r="283" customFormat="1" s="1">
      <c r="A283" s="25" t="inlineStr">
        <is>
          <t>陕西</t>
        </is>
      </c>
      <c r="B283" s="231" t="inlineStr">
        <is>
          <t>SKU-63BD75F8</t>
        </is>
      </c>
      <c r="C283" s="231" t="inlineStr">
        <is>
          <t>是</t>
        </is>
      </c>
      <c r="D283" s="231" t="n">
        <v>7</v>
      </c>
      <c r="E283" s="231" t="inlineStr">
        <is>
          <t>是</t>
        </is>
      </c>
      <c r="F283" s="231" t="inlineStr"/>
      <c r="G283" s="231" t="inlineStr"/>
      <c r="H283" s="231" t="inlineStr"/>
      <c r="I283" s="231" t="inlineStr">
        <is>
          <t>是</t>
        </is>
      </c>
      <c r="J283" s="27" t="inlineStr"/>
      <c r="K283" s="27" t="inlineStr"/>
      <c r="L283" s="231" t="n">
        <v>100</v>
      </c>
      <c r="M283" s="19" t="inlineStr">
        <is>
          <t>Product-17474100</t>
        </is>
      </c>
      <c r="N283" s="231" t="n">
        <v>2</v>
      </c>
      <c r="O283" s="181">
        <f>SUM(P283:AB283)</f>
        <v/>
      </c>
      <c r="P283" s="182">
        <f>ROUND(#REF!+#REF!+#REF!+预安排!#REF!+#REF!+'6月'!P283,5)</f>
        <v/>
      </c>
      <c r="Q283" s="182">
        <f>ROUND(#REF!+#REF!+#REF!+预安排!#REF!+#REF!+'6月'!Q283,5)</f>
        <v/>
      </c>
      <c r="R283" s="182">
        <f>ROUND(#REF!+#REF!+#REF!+预安排!#REF!+#REF!+'6月'!R283,5)</f>
        <v/>
      </c>
      <c r="S283" s="182">
        <f>ROUND(#REF!+#REF!+#REF!+预安排!#REF!+#REF!+'6月'!S283,5)</f>
        <v/>
      </c>
      <c r="T283" s="182">
        <f>ROUND(#REF!+#REF!+#REF!+预安排!#REF!+#REF!+'6月'!T283,5)</f>
        <v/>
      </c>
      <c r="U283" s="182">
        <f>ROUND(#REF!+#REF!+#REF!+预安排!#REF!+#REF!+'6月'!U283,5)</f>
        <v/>
      </c>
      <c r="V283" s="182">
        <f>ROUND(#REF!+#REF!+#REF!+预安排!#REF!+#REF!+'6月'!V283,5)</f>
        <v/>
      </c>
      <c r="W283" s="182">
        <f>ROUND(#REF!+#REF!+#REF!+预安排!#REF!+#REF!+'6月'!W283,5)</f>
        <v/>
      </c>
      <c r="X283" s="182">
        <f>ROUND(#REF!+#REF!+#REF!+预安排!#REF!+#REF!+'6月'!X283,5)</f>
        <v/>
      </c>
      <c r="Y283" s="182">
        <f>ROUND(#REF!+#REF!+#REF!+预安排!#REF!+#REF!+'6月'!Y283,5)</f>
        <v/>
      </c>
      <c r="Z283" s="182">
        <f>ROUND(#REF!+#REF!+#REF!+预安排!#REF!+#REF!+'6月'!Z283,5)</f>
        <v/>
      </c>
      <c r="AA283" s="182">
        <f>ROUND(#REF!+#REF!+#REF!+预安排!#REF!+#REF!+'6月'!AA283,5)</f>
        <v/>
      </c>
      <c r="AB283" s="182">
        <f>ROUND(#REF!+#REF!+#REF!+预安排!#REF!+#REF!+'6月'!AB283,5)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193">
        <f>计划!O283-O283</f>
        <v/>
      </c>
      <c r="AH283" s="193">
        <f>ROUND(AG283/$AH$1,2)</f>
        <v/>
      </c>
    </row>
    <row r="284" customFormat="1" s="1">
      <c r="A284" s="234" t="n"/>
      <c r="B284" s="231" t="inlineStr">
        <is>
          <t>SKU-45A85F68</t>
        </is>
      </c>
      <c r="C284" s="231" t="inlineStr">
        <is>
          <t>是</t>
        </is>
      </c>
      <c r="D284" s="231" t="n">
        <v>10</v>
      </c>
      <c r="E284" s="231" t="inlineStr"/>
      <c r="F284" s="231" t="inlineStr">
        <is>
          <t>是</t>
        </is>
      </c>
      <c r="G284" s="231" t="inlineStr"/>
      <c r="H284" s="231" t="inlineStr"/>
      <c r="I284" s="231" t="inlineStr">
        <is>
          <t>是</t>
        </is>
      </c>
      <c r="J284" s="27" t="inlineStr">
        <is>
          <t>共</t>
        </is>
      </c>
      <c r="K284" s="27" t="inlineStr"/>
      <c r="L284" s="231" t="n">
        <v>100</v>
      </c>
      <c r="M284" s="19" t="inlineStr">
        <is>
          <t>Product-9701A12C</t>
        </is>
      </c>
      <c r="N284" s="231" t="n">
        <v>1</v>
      </c>
      <c r="O284" s="181">
        <f>SUM(P284:AB284)</f>
        <v/>
      </c>
      <c r="P284" s="182">
        <f>ROUND(#REF!+#REF!+#REF!+预安排!#REF!+#REF!+'6月'!P284,5)</f>
        <v/>
      </c>
      <c r="Q284" s="182">
        <f>ROUND(#REF!+#REF!+#REF!+预安排!#REF!+#REF!+'6月'!Q284,5)</f>
        <v/>
      </c>
      <c r="R284" s="182">
        <f>ROUND(#REF!+#REF!+#REF!+预安排!#REF!+#REF!+'6月'!R284,5)</f>
        <v/>
      </c>
      <c r="S284" s="182">
        <f>ROUND(#REF!+#REF!+#REF!+预安排!#REF!+#REF!+'6月'!S284,5)</f>
        <v/>
      </c>
      <c r="T284" s="182">
        <f>ROUND(#REF!+#REF!+#REF!+预安排!#REF!+#REF!+'6月'!T284,5)</f>
        <v/>
      </c>
      <c r="U284" s="182">
        <f>ROUND(#REF!+#REF!+#REF!+预安排!#REF!+#REF!+'6月'!U284,5)</f>
        <v/>
      </c>
      <c r="V284" s="182">
        <f>ROUND(#REF!+#REF!+#REF!+预安排!#REF!+#REF!+'6月'!V284,5)</f>
        <v/>
      </c>
      <c r="W284" s="182">
        <f>ROUND(#REF!+#REF!+#REF!+预安排!#REF!+#REF!+'6月'!W284,5)</f>
        <v/>
      </c>
      <c r="X284" s="182">
        <f>ROUND(#REF!+#REF!+#REF!+预安排!#REF!+#REF!+'6月'!X284,5)</f>
        <v/>
      </c>
      <c r="Y284" s="182">
        <f>ROUND(#REF!+#REF!+#REF!+预安排!#REF!+#REF!+'6月'!Y284,5)</f>
        <v/>
      </c>
      <c r="Z284" s="182">
        <f>ROUND(#REF!+#REF!+#REF!+预安排!#REF!+#REF!+'6月'!Z284,5)</f>
        <v/>
      </c>
      <c r="AA284" s="182">
        <f>ROUND(#REF!+#REF!+#REF!+预安排!#REF!+#REF!+'6月'!AA284,5)</f>
        <v/>
      </c>
      <c r="AB284" s="182">
        <f>ROUND(#REF!+#REF!+#REF!+预安排!#REF!+#REF!+'6月'!AB284,5)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193">
        <f>计划!O284-O284</f>
        <v/>
      </c>
      <c r="AH284" s="193">
        <f>ROUND(AG284/$AH$1,2)</f>
        <v/>
      </c>
    </row>
    <row r="285" customFormat="1" s="1">
      <c r="A285" s="234" t="n"/>
      <c r="B285" s="231" t="inlineStr">
        <is>
          <t>SKU-1BB078B2</t>
        </is>
      </c>
      <c r="C285" s="231" t="inlineStr">
        <is>
          <t>是</t>
        </is>
      </c>
      <c r="D285" s="231" t="n">
        <v>10</v>
      </c>
      <c r="E285" s="231" t="inlineStr"/>
      <c r="F285" s="231" t="inlineStr"/>
      <c r="G285" s="231" t="inlineStr"/>
      <c r="H285" s="231" t="inlineStr">
        <is>
          <t>是</t>
        </is>
      </c>
      <c r="I285" s="231" t="inlineStr">
        <is>
          <t>是</t>
        </is>
      </c>
      <c r="J285" s="27" t="inlineStr"/>
      <c r="K285" s="27" t="inlineStr"/>
      <c r="L285" s="231" t="n">
        <v>100</v>
      </c>
      <c r="M285" s="19" t="inlineStr">
        <is>
          <t>Product-1AC91157</t>
        </is>
      </c>
      <c r="N285" s="231" t="n">
        <v>1</v>
      </c>
      <c r="O285" s="181">
        <f>SUM(P285:AB285)</f>
        <v/>
      </c>
      <c r="P285" s="182">
        <f>ROUND(#REF!+#REF!+#REF!+预安排!#REF!+#REF!+'6月'!P285,5)</f>
        <v/>
      </c>
      <c r="Q285" s="182">
        <f>ROUND(#REF!+#REF!+#REF!+预安排!#REF!+#REF!+'6月'!Q285,5)</f>
        <v/>
      </c>
      <c r="R285" s="182">
        <f>ROUND(#REF!+#REF!+#REF!+预安排!#REF!+#REF!+'6月'!R285,5)</f>
        <v/>
      </c>
      <c r="S285" s="182">
        <f>ROUND(#REF!+#REF!+#REF!+预安排!#REF!+#REF!+'6月'!S285,5)</f>
        <v/>
      </c>
      <c r="T285" s="182">
        <f>ROUND(#REF!+#REF!+#REF!+预安排!#REF!+#REF!+'6月'!T285,5)</f>
        <v/>
      </c>
      <c r="U285" s="182">
        <f>ROUND(#REF!+#REF!+#REF!+预安排!#REF!+#REF!+'6月'!U285,5)</f>
        <v/>
      </c>
      <c r="V285" s="182">
        <f>ROUND(#REF!+#REF!+#REF!+预安排!#REF!+#REF!+'6月'!V285,5)</f>
        <v/>
      </c>
      <c r="W285" s="182">
        <f>ROUND(#REF!+#REF!+#REF!+预安排!#REF!+#REF!+'6月'!W285,5)</f>
        <v/>
      </c>
      <c r="X285" s="182">
        <f>ROUND(#REF!+#REF!+#REF!+预安排!#REF!+#REF!+'6月'!X285,5)</f>
        <v/>
      </c>
      <c r="Y285" s="182">
        <f>ROUND(#REF!+#REF!+#REF!+预安排!#REF!+#REF!+'6月'!Y285,5)</f>
        <v/>
      </c>
      <c r="Z285" s="182">
        <f>ROUND(#REF!+#REF!+#REF!+预安排!#REF!+#REF!+'6月'!Z285,5)</f>
        <v/>
      </c>
      <c r="AA285" s="182">
        <f>ROUND(#REF!+#REF!+#REF!+预安排!#REF!+#REF!+'6月'!AA285,5)</f>
        <v/>
      </c>
      <c r="AB285" s="182">
        <f>ROUND(#REF!+#REF!+#REF!+预安排!#REF!+#REF!+'6月'!AB285,5)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193">
        <f>计划!O285-O285</f>
        <v/>
      </c>
      <c r="AH285" s="193">
        <f>ROUND(AG285/$AH$1,2)</f>
        <v/>
      </c>
    </row>
    <row r="286" customFormat="1" s="1">
      <c r="A286" s="235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196">
        <f>计划!O286-O286</f>
        <v/>
      </c>
      <c r="AH286" s="196">
        <f>ROUND(AG286/$AH$1,2)</f>
        <v/>
      </c>
    </row>
    <row r="287" customFormat="1" s="1">
      <c r="A287" s="60" t="inlineStr">
        <is>
          <t>菲莫</t>
        </is>
      </c>
      <c r="B287" s="231" t="inlineStr">
        <is>
          <t>SKU-8118963E</t>
        </is>
      </c>
      <c r="C287" s="231" t="inlineStr"/>
      <c r="D287" s="231" t="n">
        <v>10</v>
      </c>
      <c r="E287" s="231" t="inlineStr"/>
      <c r="F287" s="231" t="inlineStr"/>
      <c r="G287" s="231" t="inlineStr"/>
      <c r="H287" s="231" t="inlineStr"/>
      <c r="I287" s="231" t="inlineStr"/>
      <c r="J287" s="27" t="inlineStr"/>
      <c r="K287" s="27" t="inlineStr"/>
      <c r="L287" s="231" t="n">
        <v>100</v>
      </c>
      <c r="M287" s="19" t="inlineStr">
        <is>
          <t>Product-8818E616</t>
        </is>
      </c>
      <c r="N287" s="231" t="n">
        <v>2</v>
      </c>
      <c r="O287" s="181">
        <f>SUM(P287:AB287)</f>
        <v/>
      </c>
      <c r="P287" s="182">
        <f>ROUND(#REF!+#REF!+#REF!+预安排!#REF!+#REF!+'6月'!P287,5)</f>
        <v/>
      </c>
      <c r="Q287" s="182">
        <f>ROUND(#REF!+#REF!+#REF!+预安排!#REF!+#REF!+'6月'!Q287,5)</f>
        <v/>
      </c>
      <c r="R287" s="182">
        <f>ROUND(#REF!+#REF!+#REF!+预安排!#REF!+#REF!+'6月'!R287,5)</f>
        <v/>
      </c>
      <c r="S287" s="182">
        <f>ROUND(#REF!+#REF!+#REF!+预安排!#REF!+#REF!+'6月'!S287,5)</f>
        <v/>
      </c>
      <c r="T287" s="182">
        <f>ROUND(#REF!+#REF!+#REF!+预安排!#REF!+#REF!+'6月'!T287,5)</f>
        <v/>
      </c>
      <c r="U287" s="182">
        <f>ROUND(#REF!+#REF!+#REF!+预安排!#REF!+#REF!+'6月'!U287,5)</f>
        <v/>
      </c>
      <c r="V287" s="182">
        <f>ROUND(#REF!+#REF!+#REF!+预安排!#REF!+#REF!+'6月'!V287,5)</f>
        <v/>
      </c>
      <c r="W287" s="182">
        <f>ROUND(#REF!+#REF!+#REF!+预安排!#REF!+#REF!+'6月'!W287,5)</f>
        <v/>
      </c>
      <c r="X287" s="182">
        <f>ROUND(#REF!+#REF!+#REF!+预安排!#REF!+#REF!+'6月'!X287,5)</f>
        <v/>
      </c>
      <c r="Y287" s="182">
        <f>ROUND(#REF!+#REF!+#REF!+预安排!#REF!+#REF!+'6月'!Y287,5)</f>
        <v/>
      </c>
      <c r="Z287" s="182">
        <f>ROUND(#REF!+#REF!+#REF!+预安排!#REF!+#REF!+'6月'!Z287,5)</f>
        <v/>
      </c>
      <c r="AA287" s="182">
        <f>ROUND(#REF!+#REF!+#REF!+预安排!#REF!+#REF!+'6月'!AA287,5)</f>
        <v/>
      </c>
      <c r="AB287" s="182">
        <f>ROUND(#REF!+#REF!+#REF!+预安排!#REF!+#REF!+'6月'!AB287,5)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193">
        <f>计划!O287-O287</f>
        <v/>
      </c>
      <c r="AH287" s="193">
        <f>ROUND(AG287/$AH$1,2)</f>
        <v/>
      </c>
    </row>
    <row r="288" customFormat="1" s="1">
      <c r="A288" s="234" t="n"/>
      <c r="B288" s="231" t="inlineStr">
        <is>
          <t>SKU-3A21B87C</t>
        </is>
      </c>
      <c r="C288" s="231" t="inlineStr"/>
      <c r="D288" s="231" t="n">
        <v>10</v>
      </c>
      <c r="E288" s="231" t="inlineStr"/>
      <c r="F288" s="231" t="inlineStr"/>
      <c r="G288" s="231" t="inlineStr"/>
      <c r="H288" s="231" t="inlineStr"/>
      <c r="I288" s="231" t="inlineStr"/>
      <c r="J288" s="27" t="inlineStr"/>
      <c r="K288" s="27" t="inlineStr"/>
      <c r="L288" s="231" t="n">
        <v>100</v>
      </c>
      <c r="M288" s="19" t="inlineStr">
        <is>
          <t>Product-6BF10868</t>
        </is>
      </c>
      <c r="N288" s="231" t="n">
        <v>1</v>
      </c>
      <c r="O288" s="181">
        <f>SUM(P288:AB288)</f>
        <v/>
      </c>
      <c r="P288" s="182">
        <f>ROUND(#REF!+#REF!+#REF!+预安排!#REF!+#REF!+'6月'!P288,5)</f>
        <v/>
      </c>
      <c r="Q288" s="182">
        <f>ROUND(#REF!+#REF!+#REF!+预安排!#REF!+#REF!+'6月'!Q288,5)</f>
        <v/>
      </c>
      <c r="R288" s="182">
        <f>ROUND(#REF!+#REF!+#REF!+预安排!#REF!+#REF!+'6月'!R288,5)</f>
        <v/>
      </c>
      <c r="S288" s="182">
        <f>ROUND(#REF!+#REF!+#REF!+预安排!#REF!+#REF!+'6月'!S288,5)</f>
        <v/>
      </c>
      <c r="T288" s="182">
        <f>ROUND(#REF!+#REF!+#REF!+预安排!#REF!+#REF!+'6月'!T288,5)</f>
        <v/>
      </c>
      <c r="U288" s="182">
        <f>ROUND(#REF!+#REF!+#REF!+预安排!#REF!+#REF!+'6月'!U288,5)</f>
        <v/>
      </c>
      <c r="V288" s="182">
        <f>ROUND(#REF!+#REF!+#REF!+预安排!#REF!+#REF!+'6月'!V288,5)</f>
        <v/>
      </c>
      <c r="W288" s="182">
        <f>ROUND(#REF!+#REF!+#REF!+预安排!#REF!+#REF!+'6月'!W288,5)</f>
        <v/>
      </c>
      <c r="X288" s="182">
        <f>ROUND(#REF!+#REF!+#REF!+预安排!#REF!+#REF!+'6月'!X288,5)</f>
        <v/>
      </c>
      <c r="Y288" s="182">
        <f>ROUND(#REF!+#REF!+#REF!+预安排!#REF!+#REF!+'6月'!Y288,5)</f>
        <v/>
      </c>
      <c r="Z288" s="182">
        <f>ROUND(#REF!+#REF!+#REF!+预安排!#REF!+#REF!+'6月'!Z288,5)</f>
        <v/>
      </c>
      <c r="AA288" s="182">
        <f>ROUND(#REF!+#REF!+#REF!+预安排!#REF!+#REF!+'6月'!AA288,5)</f>
        <v/>
      </c>
      <c r="AB288" s="182">
        <f>ROUND(#REF!+#REF!+#REF!+预安排!#REF!+#REF!+'6月'!AB288,5)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193">
        <f>计划!O288-O288</f>
        <v/>
      </c>
      <c r="AH288" s="193">
        <f>ROUND(AG288/$AH$1,2)</f>
        <v/>
      </c>
    </row>
    <row r="289" customFormat="1" s="1">
      <c r="A289" s="234" t="n"/>
      <c r="B289" s="231" t="inlineStr">
        <is>
          <t>SKU-4673CF27</t>
        </is>
      </c>
      <c r="C289" s="231" t="inlineStr"/>
      <c r="D289" s="231" t="n">
        <v>8</v>
      </c>
      <c r="E289" s="231" t="inlineStr"/>
      <c r="F289" s="231" t="inlineStr"/>
      <c r="G289" s="231" t="inlineStr"/>
      <c r="H289" s="231" t="inlineStr">
        <is>
          <t>是</t>
        </is>
      </c>
      <c r="I289" s="231" t="inlineStr">
        <is>
          <t>是</t>
        </is>
      </c>
      <c r="J289" s="27" t="inlineStr"/>
      <c r="K289" s="27" t="inlineStr"/>
      <c r="L289" s="231" t="n">
        <v>100</v>
      </c>
      <c r="M289" s="59" t="inlineStr">
        <is>
          <t>Product-1B473E88</t>
        </is>
      </c>
      <c r="N289" s="231" t="n">
        <v>1</v>
      </c>
      <c r="O289" s="181">
        <f>SUM(P289:AB289)</f>
        <v/>
      </c>
      <c r="P289" s="182">
        <f>ROUND(#REF!+#REF!+#REF!+预安排!#REF!+#REF!+'6月'!P289,5)</f>
        <v/>
      </c>
      <c r="Q289" s="182">
        <f>ROUND(#REF!+#REF!+#REF!+预安排!#REF!+#REF!+'6月'!Q289,5)</f>
        <v/>
      </c>
      <c r="R289" s="182">
        <f>ROUND(#REF!+#REF!+#REF!+预安排!#REF!+#REF!+'6月'!R289,5)</f>
        <v/>
      </c>
      <c r="S289" s="182">
        <f>ROUND(#REF!+#REF!+#REF!+预安排!#REF!+#REF!+'6月'!S289,5)</f>
        <v/>
      </c>
      <c r="T289" s="182">
        <f>ROUND(#REF!+#REF!+#REF!+预安排!#REF!+#REF!+'6月'!T289,5)</f>
        <v/>
      </c>
      <c r="U289" s="182">
        <f>ROUND(#REF!+#REF!+#REF!+预安排!#REF!+#REF!+'6月'!U289,5)</f>
        <v/>
      </c>
      <c r="V289" s="182">
        <f>ROUND(#REF!+#REF!+#REF!+预安排!#REF!+#REF!+'6月'!V289,5)</f>
        <v/>
      </c>
      <c r="W289" s="182">
        <f>ROUND(#REF!+#REF!+#REF!+预安排!#REF!+#REF!+'6月'!W289,5)</f>
        <v/>
      </c>
      <c r="X289" s="182">
        <f>ROUND(#REF!+#REF!+#REF!+预安排!#REF!+#REF!+'6月'!X289,5)</f>
        <v/>
      </c>
      <c r="Y289" s="182">
        <f>ROUND(#REF!+#REF!+#REF!+预安排!#REF!+#REF!+'6月'!Y289,5)</f>
        <v/>
      </c>
      <c r="Z289" s="182">
        <f>ROUND(#REF!+#REF!+#REF!+预安排!#REF!+#REF!+'6月'!Z289,5)</f>
        <v/>
      </c>
      <c r="AA289" s="182">
        <f>ROUND(#REF!+#REF!+#REF!+预安排!#REF!+#REF!+'6月'!AA289,5)</f>
        <v/>
      </c>
      <c r="AB289" s="182">
        <f>ROUND(#REF!+#REF!+#REF!+预安排!#REF!+#REF!+'6月'!AB289,5)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193">
        <f>计划!O289-O289</f>
        <v/>
      </c>
      <c r="AH289" s="193">
        <f>ROUND(AG289/$AH$1,2)</f>
        <v/>
      </c>
    </row>
    <row r="290" customFormat="1" s="1">
      <c r="A290" s="235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196">
        <f>计划!O290-O290</f>
        <v/>
      </c>
      <c r="AH290" s="196">
        <f>ROUND(AG290/$AH$1,2)</f>
        <v/>
      </c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197">
        <f>计划!O291-O291</f>
        <v/>
      </c>
      <c r="AH291" s="197">
        <f>ROUND(AG291/$AH$1,2)</f>
        <v/>
      </c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189" t="n"/>
      <c r="AH292" s="189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189" t="n"/>
      <c r="AH293" s="189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98" t="n"/>
      <c r="AH294" s="198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31" t="n">
        <v>2</v>
      </c>
      <c r="O295" s="51">
        <f>SUM(P295:AB295)</f>
        <v/>
      </c>
      <c r="P295" s="184">
        <f>ROUND(#REF!+#REF!+#REF!+预安排!F271+#REF!+'6月'!P295,5)</f>
        <v/>
      </c>
      <c r="Q295" s="184">
        <f>ROUND(#REF!+#REF!+#REF!+预安排!#REF!+#REF!+'6月'!Q295,5)</f>
        <v/>
      </c>
      <c r="R295" s="184">
        <f>ROUND(#REF!+#REF!+#REF!+预安排!G271+#REF!+'6月'!R295,5)</f>
        <v/>
      </c>
      <c r="S295" s="184">
        <f>ROUND(#REF!+#REF!+#REF!+预安排!#REF!+#REF!+'6月'!S295,5)</f>
        <v/>
      </c>
      <c r="T295" s="184">
        <f>ROUND(#REF!+#REF!+#REF!+预安排!#REF!+#REF!+'6月'!T295,5)</f>
        <v/>
      </c>
      <c r="U295" s="184">
        <f>ROUND(#REF!+#REF!+#REF!+预安排!O271+#REF!+'6月'!U295,5)</f>
        <v/>
      </c>
      <c r="V295" s="184">
        <f>ROUND(#REF!+#REF!+#REF!+预安排!P271+#REF!+'6月'!V295,5)</f>
        <v/>
      </c>
      <c r="W295" s="184">
        <f>ROUND(#REF!+#REF!+#REF!+预安排!Q271+#REF!+'6月'!W295,5)</f>
        <v/>
      </c>
      <c r="X295" s="184">
        <f>ROUND(#REF!+#REF!+#REF!+预安排!R271+#REF!+'6月'!X295,5)</f>
        <v/>
      </c>
      <c r="Y295" s="184">
        <f>ROUND(#REF!+#REF!+#REF!+预安排!S271+#REF!+'6月'!Y295,5)</f>
        <v/>
      </c>
      <c r="Z295" s="184">
        <f>ROUND(#REF!+#REF!+#REF!+预安排!#REF!+#REF!+'6月'!Z295,5)</f>
        <v/>
      </c>
      <c r="AA295" s="184">
        <f>ROUND(#REF!+#REF!+#REF!+预安排!#REF!+#REF!+'6月'!AA295,5)</f>
        <v/>
      </c>
      <c r="AB295" s="184">
        <f>ROUND(#REF!+#REF!+#REF!+预安排!#REF!+#REF!+'6月'!AB295,5)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194" t="n"/>
      <c r="AH295" s="194" t="n"/>
    </row>
    <row r="296" customFormat="1" s="1">
      <c r="A296" s="234" t="n"/>
      <c r="B296" s="231" t="inlineStr">
        <is>
          <t>SKU-6F3D6830</t>
        </is>
      </c>
      <c r="C296" s="231" t="inlineStr"/>
      <c r="D296" s="231" t="n">
        <v>11</v>
      </c>
      <c r="E296" s="231" t="inlineStr"/>
      <c r="F296" s="231" t="inlineStr"/>
      <c r="G296" s="231" t="inlineStr"/>
      <c r="H296" s="231" t="inlineStr"/>
      <c r="I296" s="231" t="inlineStr"/>
      <c r="J296" s="27" t="inlineStr"/>
      <c r="K296" s="27" t="inlineStr">
        <is>
          <t>是</t>
        </is>
      </c>
      <c r="L296" s="231" t="n">
        <v>100</v>
      </c>
      <c r="M296" s="44" t="inlineStr">
        <is>
          <t>Product-739BC315</t>
        </is>
      </c>
      <c r="N296" s="231" t="n">
        <v>2</v>
      </c>
      <c r="O296" s="51">
        <f>SUM(P296:AB296)</f>
        <v/>
      </c>
      <c r="P296" s="184">
        <f>ROUND(#REF!+#REF!+#REF!+预安排!F272+#REF!+'6月'!P296,5)</f>
        <v/>
      </c>
      <c r="Q296" s="184">
        <f>ROUND(#REF!+#REF!+#REF!+预安排!#REF!+#REF!+'6月'!Q296,5)</f>
        <v/>
      </c>
      <c r="R296" s="184">
        <f>ROUND(#REF!+#REF!+#REF!+预安排!G272+#REF!+'6月'!R296,5)</f>
        <v/>
      </c>
      <c r="S296" s="184">
        <f>ROUND(#REF!+#REF!+#REF!+预安排!#REF!+#REF!+'6月'!S296,5)</f>
        <v/>
      </c>
      <c r="T296" s="184">
        <f>ROUND(#REF!+#REF!+#REF!+预安排!#REF!+#REF!+'6月'!T296,5)</f>
        <v/>
      </c>
      <c r="U296" s="184">
        <f>ROUND(#REF!+#REF!+#REF!+预安排!O272+#REF!+'6月'!U296,5)</f>
        <v/>
      </c>
      <c r="V296" s="184">
        <f>ROUND(#REF!+#REF!+#REF!+预安排!P272+#REF!+'6月'!V296,5)</f>
        <v/>
      </c>
      <c r="W296" s="184">
        <f>ROUND(#REF!+#REF!+#REF!+预安排!Q272+#REF!+'6月'!W296,5)</f>
        <v/>
      </c>
      <c r="X296" s="184">
        <f>ROUND(#REF!+#REF!+#REF!+预安排!R272+#REF!+'6月'!X296,5)</f>
        <v/>
      </c>
      <c r="Y296" s="184">
        <f>ROUND(#REF!+#REF!+#REF!+预安排!S272+#REF!+'6月'!Y296,5)</f>
        <v/>
      </c>
      <c r="Z296" s="184">
        <f>ROUND(#REF!+#REF!+#REF!+预安排!#REF!+#REF!+'6月'!Z296,5)</f>
        <v/>
      </c>
      <c r="AA296" s="184">
        <f>ROUND(#REF!+#REF!+#REF!+预安排!#REF!+#REF!+'6月'!AA296,5)</f>
        <v/>
      </c>
      <c r="AB296" s="184">
        <f>ROUND(#REF!+#REF!+#REF!+预安排!#REF!+#REF!+'6月'!AB296,5)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194" t="n"/>
      <c r="AH296" s="194" t="n"/>
    </row>
    <row r="297" customFormat="1" s="1">
      <c r="A297" s="234" t="n"/>
      <c r="B297" s="231" t="inlineStr">
        <is>
          <t>SKU-5ABCA7A6</t>
        </is>
      </c>
      <c r="C297" s="231" t="inlineStr"/>
      <c r="D297" s="231" t="n">
        <v>5</v>
      </c>
      <c r="E297" s="231" t="inlineStr">
        <is>
          <t>是</t>
        </is>
      </c>
      <c r="F297" s="231" t="inlineStr"/>
      <c r="G297" s="231" t="inlineStr"/>
      <c r="H297" s="231" t="inlineStr">
        <is>
          <t>是</t>
        </is>
      </c>
      <c r="I297" s="231" t="inlineStr"/>
      <c r="J297" s="27" t="inlineStr"/>
      <c r="K297" s="27" t="inlineStr">
        <is>
          <t>是</t>
        </is>
      </c>
      <c r="L297" s="231" t="n">
        <v>100</v>
      </c>
      <c r="M297" s="19" t="inlineStr">
        <is>
          <t>Product-4B89105C</t>
        </is>
      </c>
      <c r="N297" s="231" t="n">
        <v>1</v>
      </c>
      <c r="O297" s="51">
        <f>SUM(P297:AB297)</f>
        <v/>
      </c>
      <c r="P297" s="184">
        <f>ROUND(#REF!+#REF!+#REF!+预安排!F273+#REF!+'6月'!P297,5)</f>
        <v/>
      </c>
      <c r="Q297" s="184">
        <f>ROUND(#REF!+#REF!+#REF!+预安排!#REF!+#REF!+'6月'!Q297,5)</f>
        <v/>
      </c>
      <c r="R297" s="184">
        <f>ROUND(#REF!+#REF!+#REF!+预安排!G273+#REF!+'6月'!R297,5)</f>
        <v/>
      </c>
      <c r="S297" s="184">
        <f>ROUND(#REF!+#REF!+#REF!+预安排!#REF!+#REF!+'6月'!S297,5)</f>
        <v/>
      </c>
      <c r="T297" s="184">
        <f>ROUND(#REF!+#REF!+#REF!+预安排!#REF!+#REF!+'6月'!T297,5)</f>
        <v/>
      </c>
      <c r="U297" s="184">
        <f>ROUND(#REF!+#REF!+#REF!+预安排!O273+#REF!+'6月'!U297,5)</f>
        <v/>
      </c>
      <c r="V297" s="184">
        <f>ROUND(#REF!+#REF!+#REF!+预安排!P273+#REF!+'6月'!V297,5)</f>
        <v/>
      </c>
      <c r="W297" s="184">
        <f>ROUND(#REF!+#REF!+#REF!+预安排!Q273+#REF!+'6月'!W297,5)</f>
        <v/>
      </c>
      <c r="X297" s="184">
        <f>ROUND(#REF!+#REF!+#REF!+预安排!R273+#REF!+'6月'!X297,5)</f>
        <v/>
      </c>
      <c r="Y297" s="184">
        <f>ROUND(#REF!+#REF!+#REF!+预安排!S273+#REF!+'6月'!Y297,5)</f>
        <v/>
      </c>
      <c r="Z297" s="184">
        <f>ROUND(#REF!+#REF!+#REF!+预安排!#REF!+#REF!+'6月'!Z297,5)</f>
        <v/>
      </c>
      <c r="AA297" s="184">
        <f>ROUND(#REF!+#REF!+#REF!+预安排!#REF!+#REF!+'6月'!AA297,5)</f>
        <v/>
      </c>
      <c r="AB297" s="184">
        <f>ROUND(#REF!+#REF!+#REF!+预安排!#REF!+#REF!+'6月'!AB297,5)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194" t="n"/>
      <c r="AH297" s="194" t="n"/>
    </row>
    <row r="298" customFormat="1" s="1">
      <c r="A298" s="234" t="n"/>
      <c r="B298" s="231" t="inlineStr">
        <is>
          <t>SKU-11ADC9CE</t>
        </is>
      </c>
      <c r="C298" s="231" t="inlineStr"/>
      <c r="D298" s="231" t="n">
        <v>11</v>
      </c>
      <c r="E298" s="231" t="inlineStr"/>
      <c r="F298" s="231" t="inlineStr"/>
      <c r="G298" s="231" t="inlineStr"/>
      <c r="H298" s="231" t="inlineStr"/>
      <c r="I298" s="231" t="inlineStr"/>
      <c r="J298" s="27" t="inlineStr"/>
      <c r="K298" s="27" t="inlineStr">
        <is>
          <t>是</t>
        </is>
      </c>
      <c r="L298" s="231" t="n">
        <v>100</v>
      </c>
      <c r="M298" s="19" t="inlineStr">
        <is>
          <t>Product-21261DDB</t>
        </is>
      </c>
      <c r="N298" s="231" t="n">
        <v>2</v>
      </c>
      <c r="O298" s="51">
        <f>SUM(P298:AB298)</f>
        <v/>
      </c>
      <c r="P298" s="184">
        <f>ROUND(#REF!+#REF!+#REF!+预安排!F274+#REF!+'6月'!P298,5)</f>
        <v/>
      </c>
      <c r="Q298" s="184">
        <f>ROUND(#REF!+#REF!+#REF!+预安排!#REF!+#REF!+'6月'!Q298,5)</f>
        <v/>
      </c>
      <c r="R298" s="184">
        <f>ROUND(#REF!+#REF!+#REF!+预安排!G274+#REF!+'6月'!R298,5)</f>
        <v/>
      </c>
      <c r="S298" s="184">
        <f>ROUND(#REF!+#REF!+#REF!+预安排!#REF!+#REF!+'6月'!S298,5)</f>
        <v/>
      </c>
      <c r="T298" s="184">
        <f>ROUND(#REF!+#REF!+#REF!+预安排!#REF!+#REF!+'6月'!T298,5)</f>
        <v/>
      </c>
      <c r="U298" s="184">
        <f>ROUND(#REF!+#REF!+#REF!+预安排!O274+#REF!+'6月'!U298,5)</f>
        <v/>
      </c>
      <c r="V298" s="184">
        <f>ROUND(#REF!+#REF!+#REF!+预安排!P274+#REF!+'6月'!V298,5)</f>
        <v/>
      </c>
      <c r="W298" s="184">
        <f>ROUND(#REF!+#REF!+#REF!+预安排!Q274+#REF!+'6月'!W298,5)</f>
        <v/>
      </c>
      <c r="X298" s="184">
        <f>ROUND(#REF!+#REF!+#REF!+预安排!R274+#REF!+'6月'!X298,5)</f>
        <v/>
      </c>
      <c r="Y298" s="184">
        <f>ROUND(#REF!+#REF!+#REF!+预安排!S274+#REF!+'6月'!Y298,5)</f>
        <v/>
      </c>
      <c r="Z298" s="184">
        <f>ROUND(#REF!+#REF!+#REF!+预安排!#REF!+#REF!+'6月'!Z298,5)</f>
        <v/>
      </c>
      <c r="AA298" s="184">
        <f>ROUND(#REF!+#REF!+#REF!+预安排!#REF!+#REF!+'6月'!AA298,5)</f>
        <v/>
      </c>
      <c r="AB298" s="184">
        <f>ROUND(#REF!+#REF!+#REF!+预安排!#REF!+#REF!+'6月'!AB298,5)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194" t="n"/>
      <c r="AH298" s="194" t="n"/>
    </row>
    <row r="299" customFormat="1" s="1">
      <c r="A299" s="234" t="n"/>
      <c r="B299" s="231" t="inlineStr">
        <is>
          <t>SKU-644F171E</t>
        </is>
      </c>
      <c r="C299" s="231" t="inlineStr"/>
      <c r="D299" s="231" t="n">
        <v>9</v>
      </c>
      <c r="E299" s="231" t="inlineStr"/>
      <c r="F299" s="231" t="inlineStr"/>
      <c r="G299" s="231" t="inlineStr"/>
      <c r="H299" s="231" t="inlineStr">
        <is>
          <t>是</t>
        </is>
      </c>
      <c r="I299" s="231" t="inlineStr"/>
      <c r="J299" s="27" t="inlineStr"/>
      <c r="K299" s="27" t="inlineStr">
        <is>
          <t>是</t>
        </is>
      </c>
      <c r="L299" s="231" t="n">
        <v>100</v>
      </c>
      <c r="M299" s="19" t="inlineStr">
        <is>
          <t>Product-1BA50314</t>
        </is>
      </c>
      <c r="N299" s="231" t="n">
        <v>1</v>
      </c>
      <c r="O299" s="51">
        <f>SUM(P299:AB299)</f>
        <v/>
      </c>
      <c r="P299" s="184">
        <f>ROUND(#REF!+#REF!+#REF!+预安排!F275+#REF!+'6月'!P299,5)</f>
        <v/>
      </c>
      <c r="Q299" s="184">
        <f>ROUND(#REF!+#REF!+#REF!+预安排!#REF!+#REF!+'6月'!Q299,5)</f>
        <v/>
      </c>
      <c r="R299" s="184">
        <f>ROUND(#REF!+#REF!+#REF!+预安排!G275+#REF!+'6月'!R299,5)</f>
        <v/>
      </c>
      <c r="S299" s="184">
        <f>ROUND(#REF!+#REF!+#REF!+预安排!#REF!+#REF!+'6月'!S299,5)</f>
        <v/>
      </c>
      <c r="T299" s="184">
        <f>ROUND(#REF!+#REF!+#REF!+预安排!#REF!+#REF!+'6月'!T299,5)</f>
        <v/>
      </c>
      <c r="U299" s="184">
        <f>ROUND(#REF!+#REF!+#REF!+预安排!O275+#REF!+'6月'!U299,5)</f>
        <v/>
      </c>
      <c r="V299" s="184">
        <f>ROUND(#REF!+#REF!+#REF!+预安排!P275+#REF!+'6月'!V299,5)</f>
        <v/>
      </c>
      <c r="W299" s="184">
        <f>ROUND(#REF!+#REF!+#REF!+预安排!Q275+#REF!+'6月'!W299,5)</f>
        <v/>
      </c>
      <c r="X299" s="184">
        <f>ROUND(#REF!+#REF!+#REF!+预安排!R275+#REF!+'6月'!X299,5)</f>
        <v/>
      </c>
      <c r="Y299" s="184">
        <f>ROUND(#REF!+#REF!+#REF!+预安排!S275+#REF!+'6月'!Y299,5)</f>
        <v/>
      </c>
      <c r="Z299" s="184">
        <f>ROUND(#REF!+#REF!+#REF!+预安排!#REF!+#REF!+'6月'!Z299,5)</f>
        <v/>
      </c>
      <c r="AA299" s="184">
        <f>ROUND(#REF!+#REF!+#REF!+预安排!#REF!+#REF!+'6月'!AA299,5)</f>
        <v/>
      </c>
      <c r="AB299" s="184">
        <f>ROUND(#REF!+#REF!+#REF!+预安排!#REF!+#REF!+'6月'!AB299,5)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194" t="n"/>
      <c r="AH299" s="194" t="n"/>
    </row>
    <row r="300" customFormat="1" s="1">
      <c r="A300" s="234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196" t="n"/>
      <c r="AH300" s="196" t="n"/>
    </row>
    <row r="301" customFormat="1" s="1">
      <c r="A301" s="234" t="n"/>
      <c r="B301" s="55" t="inlineStr">
        <is>
          <t>SKU-AEC97CC2</t>
        </is>
      </c>
      <c r="C301" s="231" t="inlineStr"/>
      <c r="D301" s="231" t="n">
        <v>4</v>
      </c>
      <c r="E301" s="231" t="inlineStr">
        <is>
          <t>是</t>
        </is>
      </c>
      <c r="F301" s="231" t="inlineStr"/>
      <c r="G301" s="231" t="inlineStr"/>
      <c r="H301" s="231" t="inlineStr"/>
      <c r="I301" s="231" t="inlineStr"/>
      <c r="J301" s="56" t="inlineStr"/>
      <c r="K301" s="56" t="inlineStr">
        <is>
          <t>是</t>
        </is>
      </c>
      <c r="L301" s="231" t="n">
        <v>100</v>
      </c>
      <c r="M301" s="77" t="inlineStr">
        <is>
          <t>Product-B78F5436</t>
        </is>
      </c>
      <c r="N301" s="231" t="n">
        <v>1</v>
      </c>
      <c r="O301" s="51">
        <f>SUM(P301:AB301)</f>
        <v/>
      </c>
      <c r="P301" s="184">
        <f>ROUND(#REF!+#REF!+#REF!+预安排!F276+#REF!+'6月'!P301,5)</f>
        <v/>
      </c>
      <c r="Q301" s="184">
        <f>ROUND(#REF!+#REF!+#REF!+预安排!#REF!+#REF!+'6月'!Q301,5)</f>
        <v/>
      </c>
      <c r="R301" s="184">
        <f>ROUND(#REF!+#REF!+#REF!+预安排!G276+#REF!+'6月'!R301,5)</f>
        <v/>
      </c>
      <c r="S301" s="184">
        <f>ROUND(#REF!+#REF!+#REF!+预安排!#REF!+#REF!+'6月'!S301,5)</f>
        <v/>
      </c>
      <c r="T301" s="184">
        <f>ROUND(#REF!+#REF!+#REF!+预安排!#REF!+#REF!+'6月'!T301,5)</f>
        <v/>
      </c>
      <c r="U301" s="184">
        <f>ROUND(#REF!+#REF!+#REF!+预安排!O276+#REF!+'6月'!U301,5)</f>
        <v/>
      </c>
      <c r="V301" s="184">
        <f>ROUND(#REF!+#REF!+#REF!+预安排!P276+#REF!+'6月'!V301,5)</f>
        <v/>
      </c>
      <c r="W301" s="184">
        <f>ROUND(#REF!+#REF!+#REF!+预安排!Q276+#REF!+'6月'!W301,5)</f>
        <v/>
      </c>
      <c r="X301" s="184">
        <f>ROUND(#REF!+#REF!+#REF!+预安排!R276+#REF!+'6月'!X301,5)</f>
        <v/>
      </c>
      <c r="Y301" s="184">
        <f>ROUND(#REF!+#REF!+#REF!+预安排!S276+#REF!+'6月'!Y301,5)</f>
        <v/>
      </c>
      <c r="Z301" s="184">
        <f>ROUND(#REF!+#REF!+#REF!+预安排!#REF!+#REF!+'6月'!Z301,5)</f>
        <v/>
      </c>
      <c r="AA301" s="184">
        <f>ROUND(#REF!+#REF!+#REF!+预安排!#REF!+#REF!+'6月'!AA301,5)</f>
        <v/>
      </c>
      <c r="AB301" s="184">
        <f>ROUND(#REF!+#REF!+#REF!+预安排!#REF!+#REF!+'6月'!AB301,5)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194" t="n"/>
      <c r="AH301" s="194" t="n"/>
    </row>
    <row r="302" customFormat="1" s="1">
      <c r="A302" s="234" t="n"/>
      <c r="B302" s="55" t="inlineStr">
        <is>
          <t>SKU-472FCFCF</t>
        </is>
      </c>
      <c r="C302" s="231" t="inlineStr"/>
      <c r="D302" s="231" t="n">
        <v>1</v>
      </c>
      <c r="E302" s="231" t="inlineStr">
        <is>
          <t>是</t>
        </is>
      </c>
      <c r="F302" s="231" t="inlineStr"/>
      <c r="G302" s="231" t="inlineStr"/>
      <c r="H302" s="231" t="inlineStr">
        <is>
          <t>是</t>
        </is>
      </c>
      <c r="I302" s="231" t="inlineStr"/>
      <c r="J302" s="56" t="inlineStr"/>
      <c r="K302" s="56" t="inlineStr">
        <is>
          <t>是</t>
        </is>
      </c>
      <c r="L302" s="231" t="n">
        <v>100</v>
      </c>
      <c r="M302" s="77" t="inlineStr">
        <is>
          <t>Product-5367E8C9</t>
        </is>
      </c>
      <c r="N302" s="231" t="n">
        <v>1</v>
      </c>
      <c r="O302" s="51">
        <f>SUM(P302:AB302)</f>
        <v/>
      </c>
      <c r="P302" s="184">
        <f>ROUND(#REF!+#REF!+#REF!+预安排!F277+#REF!+'6月'!P302,5)</f>
        <v/>
      </c>
      <c r="Q302" s="184">
        <f>ROUND(#REF!+#REF!+#REF!+预安排!#REF!+#REF!+'6月'!Q302,5)</f>
        <v/>
      </c>
      <c r="R302" s="184">
        <f>ROUND(#REF!+#REF!+#REF!+预安排!G277+#REF!+'6月'!R302,5)</f>
        <v/>
      </c>
      <c r="S302" s="184">
        <f>ROUND(#REF!+#REF!+#REF!+预安排!#REF!+#REF!+'6月'!S302,5)</f>
        <v/>
      </c>
      <c r="T302" s="184">
        <f>ROUND(#REF!+#REF!+#REF!+预安排!#REF!+#REF!+'6月'!T302,5)</f>
        <v/>
      </c>
      <c r="U302" s="184">
        <f>ROUND(#REF!+#REF!+#REF!+预安排!O277+#REF!+'6月'!U302,5)</f>
        <v/>
      </c>
      <c r="V302" s="184">
        <f>ROUND(#REF!+#REF!+#REF!+预安排!P277+#REF!+'6月'!V302,5)</f>
        <v/>
      </c>
      <c r="W302" s="184">
        <f>ROUND(#REF!+#REF!+#REF!+预安排!Q277+#REF!+'6月'!W302,5)</f>
        <v/>
      </c>
      <c r="X302" s="184">
        <f>ROUND(#REF!+#REF!+#REF!+预安排!R277+#REF!+'6月'!X302,5)</f>
        <v/>
      </c>
      <c r="Y302" s="184">
        <f>ROUND(#REF!+#REF!+#REF!+预安排!S277+#REF!+'6月'!Y302,5)</f>
        <v/>
      </c>
      <c r="Z302" s="184">
        <f>ROUND(#REF!+#REF!+#REF!+预安排!#REF!+#REF!+'6月'!Z302,5)</f>
        <v/>
      </c>
      <c r="AA302" s="184">
        <f>ROUND(#REF!+#REF!+#REF!+预安排!#REF!+#REF!+'6月'!AA302,5)</f>
        <v/>
      </c>
      <c r="AB302" s="184">
        <f>ROUND(#REF!+#REF!+#REF!+预安排!#REF!+#REF!+'6月'!AB302,5)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194" t="n"/>
      <c r="AH302" s="194" t="n"/>
    </row>
    <row r="303" customFormat="1" s="1">
      <c r="A303" s="234" t="n"/>
      <c r="B303" s="231" t="inlineStr">
        <is>
          <t>SKU-74226566</t>
        </is>
      </c>
      <c r="C303" s="231" t="inlineStr"/>
      <c r="D303" s="231" t="n">
        <v>1</v>
      </c>
      <c r="E303" s="231" t="inlineStr">
        <is>
          <t>是</t>
        </is>
      </c>
      <c r="F303" s="231" t="inlineStr"/>
      <c r="G303" s="231" t="inlineStr"/>
      <c r="H303" s="231" t="inlineStr"/>
      <c r="I303" s="231" t="inlineStr"/>
      <c r="J303" s="27" t="inlineStr"/>
      <c r="K303" s="27" t="inlineStr">
        <is>
          <t>是</t>
        </is>
      </c>
      <c r="L303" s="231" t="n">
        <v>100</v>
      </c>
      <c r="M303" s="19" t="inlineStr">
        <is>
          <t>Product-5CBC2173</t>
        </is>
      </c>
      <c r="N303" s="231" t="n">
        <v>1</v>
      </c>
      <c r="O303" s="181">
        <f>SUM(P303:AB303)</f>
        <v/>
      </c>
      <c r="P303" s="182">
        <f>ROUND(#REF!+#REF!+#REF!+预安排!F278+#REF!+'6月'!P303,5)</f>
        <v/>
      </c>
      <c r="Q303" s="182">
        <f>ROUND(#REF!+#REF!+#REF!+预安排!#REF!+#REF!+'6月'!Q303,5)</f>
        <v/>
      </c>
      <c r="R303" s="182">
        <f>ROUND(#REF!+#REF!+#REF!+预安排!G278+#REF!+'6月'!R303,5)</f>
        <v/>
      </c>
      <c r="S303" s="182">
        <f>ROUND(#REF!+#REF!+#REF!+预安排!#REF!+#REF!+'6月'!S303,5)</f>
        <v/>
      </c>
      <c r="T303" s="182">
        <f>ROUND(#REF!+#REF!+#REF!+预安排!#REF!+#REF!+'6月'!T303,5)</f>
        <v/>
      </c>
      <c r="U303" s="182">
        <f>ROUND(#REF!+#REF!+#REF!+预安排!O278+#REF!+'6月'!U303,5)</f>
        <v/>
      </c>
      <c r="V303" s="182">
        <f>ROUND(#REF!+#REF!+#REF!+预安排!P278+#REF!+'6月'!V303,5)</f>
        <v/>
      </c>
      <c r="W303" s="182">
        <f>ROUND(#REF!+#REF!+#REF!+预安排!Q278+#REF!+'6月'!W303,5)</f>
        <v/>
      </c>
      <c r="X303" s="182">
        <f>ROUND(#REF!+#REF!+#REF!+预安排!R278+#REF!+'6月'!X303,5)</f>
        <v/>
      </c>
      <c r="Y303" s="182">
        <f>ROUND(#REF!+#REF!+#REF!+预安排!S278+#REF!+'6月'!Y303,5)</f>
        <v/>
      </c>
      <c r="Z303" s="182">
        <f>ROUND(#REF!+#REF!+#REF!+预安排!#REF!+#REF!+'6月'!Z303,5)</f>
        <v/>
      </c>
      <c r="AA303" s="182">
        <f>ROUND(#REF!+#REF!+#REF!+预安排!#REF!+#REF!+'6月'!AA303,5)</f>
        <v/>
      </c>
      <c r="AB303" s="182">
        <f>ROUND(#REF!+#REF!+#REF!+预安排!#REF!+#REF!+'6月'!AB303,5)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193" t="n"/>
      <c r="AH303" s="193" t="n"/>
    </row>
    <row r="304" customFormat="1" s="1">
      <c r="A304" s="234" t="n"/>
      <c r="B304" s="231" t="inlineStr">
        <is>
          <t>SKU-C8F1C563</t>
        </is>
      </c>
      <c r="C304" s="231" t="inlineStr"/>
      <c r="D304" s="231" t="n">
        <v>4</v>
      </c>
      <c r="E304" s="231" t="inlineStr">
        <is>
          <t>是</t>
        </is>
      </c>
      <c r="F304" s="231" t="inlineStr"/>
      <c r="G304" s="231" t="inlineStr"/>
      <c r="H304" s="231" t="inlineStr"/>
      <c r="I304" s="231" t="inlineStr"/>
      <c r="J304" s="27" t="inlineStr"/>
      <c r="K304" s="27" t="inlineStr">
        <is>
          <t>是</t>
        </is>
      </c>
      <c r="L304" s="231" t="n">
        <v>100</v>
      </c>
      <c r="M304" s="19" t="inlineStr">
        <is>
          <t>Product-CB94403F</t>
        </is>
      </c>
      <c r="N304" s="231" t="n">
        <v>1</v>
      </c>
      <c r="O304" s="181">
        <f>SUM(P304:AB304)</f>
        <v/>
      </c>
      <c r="P304" s="182">
        <f>ROUND(#REF!+#REF!+#REF!+预安排!F279+#REF!+'6月'!P304,5)</f>
        <v/>
      </c>
      <c r="Q304" s="182">
        <f>ROUND(#REF!+#REF!+#REF!+预安排!#REF!+#REF!+'6月'!Q304,5)</f>
        <v/>
      </c>
      <c r="R304" s="182">
        <f>ROUND(#REF!+#REF!+#REF!+预安排!G279+#REF!+'6月'!R304,5)</f>
        <v/>
      </c>
      <c r="S304" s="182">
        <f>ROUND(#REF!+#REF!+#REF!+预安排!#REF!+#REF!+'6月'!S304,5)</f>
        <v/>
      </c>
      <c r="T304" s="182">
        <f>ROUND(#REF!+#REF!+#REF!+预安排!#REF!+#REF!+'6月'!T304,5)</f>
        <v/>
      </c>
      <c r="U304" s="182">
        <f>ROUND(#REF!+#REF!+#REF!+预安排!O279+#REF!+'6月'!U304,5)</f>
        <v/>
      </c>
      <c r="V304" s="182">
        <f>ROUND(#REF!+#REF!+#REF!+预安排!P279+#REF!+'6月'!V304,5)</f>
        <v/>
      </c>
      <c r="W304" s="182">
        <f>ROUND(#REF!+#REF!+#REF!+预安排!Q279+#REF!+'6月'!W304,5)</f>
        <v/>
      </c>
      <c r="X304" s="182">
        <f>ROUND(#REF!+#REF!+#REF!+预安排!R279+#REF!+'6月'!X304,5)</f>
        <v/>
      </c>
      <c r="Y304" s="182">
        <f>ROUND(#REF!+#REF!+#REF!+预安排!S279+#REF!+'6月'!Y304,5)</f>
        <v/>
      </c>
      <c r="Z304" s="182">
        <f>ROUND(#REF!+#REF!+#REF!+预安排!#REF!+#REF!+'6月'!Z304,5)</f>
        <v/>
      </c>
      <c r="AA304" s="182">
        <f>ROUND(#REF!+#REF!+#REF!+预安排!#REF!+#REF!+'6月'!AA304,5)</f>
        <v/>
      </c>
      <c r="AB304" s="182">
        <f>ROUND(#REF!+#REF!+#REF!+预安排!#REF!+#REF!+'6月'!AB304,5)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193" t="n"/>
      <c r="AH304" s="193" t="n"/>
    </row>
    <row r="305" customFormat="1" s="1">
      <c r="A305" s="234" t="n"/>
      <c r="B305" s="55" t="inlineStr">
        <is>
          <t>SKU-3612A067</t>
        </is>
      </c>
      <c r="C305" s="231" t="inlineStr"/>
      <c r="D305" s="231" t="n">
        <v>4</v>
      </c>
      <c r="E305" s="231" t="inlineStr"/>
      <c r="F305" s="231" t="inlineStr"/>
      <c r="G305" s="231" t="inlineStr"/>
      <c r="H305" s="231" t="inlineStr"/>
      <c r="I305" s="231" t="inlineStr"/>
      <c r="J305" s="56" t="inlineStr"/>
      <c r="K305" s="56" t="inlineStr">
        <is>
          <t>是</t>
        </is>
      </c>
      <c r="L305" s="231" t="n">
        <v>100</v>
      </c>
      <c r="M305" s="59" t="inlineStr">
        <is>
          <t>Product-00361644</t>
        </is>
      </c>
      <c r="N305" s="231" t="n">
        <v>1</v>
      </c>
      <c r="O305" s="51">
        <f>SUM(P305:AB305)</f>
        <v/>
      </c>
      <c r="P305" s="184">
        <f>ROUND(#REF!+#REF!+#REF!+预安排!F280+#REF!+'6月'!P305,5)</f>
        <v/>
      </c>
      <c r="Q305" s="184">
        <f>ROUND(#REF!+#REF!+#REF!+预安排!#REF!+#REF!+'6月'!Q305,5)</f>
        <v/>
      </c>
      <c r="R305" s="184">
        <f>ROUND(#REF!+#REF!+#REF!+预安排!G280+#REF!+'6月'!R305,5)</f>
        <v/>
      </c>
      <c r="S305" s="184">
        <f>ROUND(#REF!+#REF!+#REF!+预安排!#REF!+#REF!+'6月'!S305,5)</f>
        <v/>
      </c>
      <c r="T305" s="184">
        <f>ROUND(#REF!+#REF!+#REF!+预安排!#REF!+#REF!+'6月'!T305,5)</f>
        <v/>
      </c>
      <c r="U305" s="184">
        <f>ROUND(#REF!+#REF!+#REF!+预安排!O280+#REF!+'6月'!U305,5)</f>
        <v/>
      </c>
      <c r="V305" s="184">
        <f>ROUND(#REF!+#REF!+#REF!+预安排!P280+#REF!+'6月'!V305,5)</f>
        <v/>
      </c>
      <c r="W305" s="184">
        <f>ROUND(#REF!+#REF!+#REF!+预安排!Q280+#REF!+'6月'!W305,5)</f>
        <v/>
      </c>
      <c r="X305" s="184">
        <f>ROUND(#REF!+#REF!+#REF!+预安排!R280+#REF!+'6月'!X305,5)</f>
        <v/>
      </c>
      <c r="Y305" s="184">
        <f>ROUND(#REF!+#REF!+#REF!+预安排!S280+#REF!+'6月'!Y305,5)</f>
        <v/>
      </c>
      <c r="Z305" s="184">
        <f>ROUND(#REF!+#REF!+#REF!+预安排!#REF!+#REF!+'6月'!Z305,5)</f>
        <v/>
      </c>
      <c r="AA305" s="184">
        <f>ROUND(#REF!+#REF!+#REF!+预安排!#REF!+#REF!+'6月'!AA305,5)</f>
        <v/>
      </c>
      <c r="AB305" s="184">
        <f>ROUND(#REF!+#REF!+#REF!+预安排!#REF!+#REF!+'6月'!AB305,5)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194" t="n"/>
      <c r="AH305" s="194" t="n"/>
    </row>
    <row r="306" customFormat="1" s="1">
      <c r="A306" s="234" t="n"/>
      <c r="B306" s="55" t="inlineStr">
        <is>
          <t>SKU-CBB84AFA</t>
        </is>
      </c>
      <c r="C306" s="231" t="inlineStr"/>
      <c r="D306" s="231" t="n">
        <v>7</v>
      </c>
      <c r="E306" s="231" t="inlineStr"/>
      <c r="F306" s="231" t="inlineStr"/>
      <c r="G306" s="231" t="inlineStr"/>
      <c r="H306" s="231" t="inlineStr"/>
      <c r="I306" s="231" t="inlineStr"/>
      <c r="J306" s="56" t="inlineStr"/>
      <c r="K306" s="56" t="inlineStr">
        <is>
          <t>是</t>
        </is>
      </c>
      <c r="L306" s="231" t="n">
        <v>100</v>
      </c>
      <c r="M306" s="44" t="inlineStr">
        <is>
          <t>Product-9FF98A5E</t>
        </is>
      </c>
      <c r="N306" s="231" t="n">
        <v>1</v>
      </c>
      <c r="O306" s="51">
        <f>SUM(P306:AB306)</f>
        <v/>
      </c>
      <c r="P306" s="184">
        <f>ROUND(#REF!+#REF!+#REF!+预安排!F281+#REF!+'6月'!P306,5)</f>
        <v/>
      </c>
      <c r="Q306" s="184">
        <f>ROUND(#REF!+#REF!+#REF!+预安排!#REF!+#REF!+'6月'!Q306,5)</f>
        <v/>
      </c>
      <c r="R306" s="184">
        <f>ROUND(#REF!+#REF!+#REF!+预安排!G281+#REF!+'6月'!R306,5)</f>
        <v/>
      </c>
      <c r="S306" s="184">
        <f>ROUND(#REF!+#REF!+#REF!+预安排!#REF!+#REF!+'6月'!S306,5)</f>
        <v/>
      </c>
      <c r="T306" s="184">
        <f>ROUND(#REF!+#REF!+#REF!+预安排!#REF!+#REF!+'6月'!T306,5)</f>
        <v/>
      </c>
      <c r="U306" s="184">
        <f>ROUND(#REF!+#REF!+#REF!+预安排!O281+#REF!+'6月'!U306,5)</f>
        <v/>
      </c>
      <c r="V306" s="184">
        <f>ROUND(#REF!+#REF!+#REF!+预安排!P281+#REF!+'6月'!V306,5)</f>
        <v/>
      </c>
      <c r="W306" s="184">
        <f>ROUND(#REF!+#REF!+#REF!+预安排!Q281+#REF!+'6月'!W306,5)</f>
        <v/>
      </c>
      <c r="X306" s="184">
        <f>ROUND(#REF!+#REF!+#REF!+预安排!R281+#REF!+'6月'!X306,5)</f>
        <v/>
      </c>
      <c r="Y306" s="184">
        <f>ROUND(#REF!+#REF!+#REF!+预安排!S281+#REF!+'6月'!Y306,5)</f>
        <v/>
      </c>
      <c r="Z306" s="184">
        <f>ROUND(#REF!+#REF!+#REF!+预安排!#REF!+#REF!+'6月'!Z306,5)</f>
        <v/>
      </c>
      <c r="AA306" s="184">
        <f>ROUND(#REF!+#REF!+#REF!+预安排!#REF!+#REF!+'6月'!AA306,5)</f>
        <v/>
      </c>
      <c r="AB306" s="184">
        <f>ROUND(#REF!+#REF!+#REF!+预安排!#REF!+#REF!+'6月'!AB306,5)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194" t="n"/>
      <c r="AH306" s="194" t="n"/>
    </row>
    <row r="307" customFormat="1" s="1">
      <c r="A307" s="234" t="n"/>
      <c r="B307" s="231" t="inlineStr">
        <is>
          <t>SKU-64173031</t>
        </is>
      </c>
      <c r="C307" s="231" t="inlineStr"/>
      <c r="D307" s="231" t="n">
        <v>5</v>
      </c>
      <c r="E307" s="231" t="inlineStr"/>
      <c r="F307" s="231" t="inlineStr"/>
      <c r="G307" s="231" t="inlineStr"/>
      <c r="H307" s="231" t="inlineStr"/>
      <c r="I307" s="231" t="inlineStr"/>
      <c r="J307" s="56" t="inlineStr"/>
      <c r="K307" s="56" t="inlineStr">
        <is>
          <t>是</t>
        </is>
      </c>
      <c r="L307" s="231" t="n">
        <v>100</v>
      </c>
      <c r="M307" s="19" t="inlineStr">
        <is>
          <t>Product-CE4A3DBB</t>
        </is>
      </c>
      <c r="N307" s="231" t="n">
        <v>1</v>
      </c>
      <c r="O307" s="51">
        <f>SUM(P307:AB307)</f>
        <v/>
      </c>
      <c r="P307" s="184">
        <f>ROUND(#REF!+#REF!+#REF!+预安排!F282+#REF!+'6月'!P307,5)</f>
        <v/>
      </c>
      <c r="Q307" s="184">
        <f>ROUND(#REF!+#REF!+#REF!+预安排!#REF!+#REF!+'6月'!Q307,5)</f>
        <v/>
      </c>
      <c r="R307" s="184">
        <f>ROUND(#REF!+#REF!+#REF!+预安排!G282+#REF!+'6月'!R307,5)</f>
        <v/>
      </c>
      <c r="S307" s="184">
        <f>ROUND(#REF!+#REF!+#REF!+预安排!#REF!+#REF!+'6月'!S307,5)</f>
        <v/>
      </c>
      <c r="T307" s="184">
        <f>ROUND(#REF!+#REF!+#REF!+预安排!#REF!+#REF!+'6月'!T307,5)</f>
        <v/>
      </c>
      <c r="U307" s="184">
        <f>ROUND(#REF!+#REF!+#REF!+预安排!O282+#REF!+'6月'!U307,5)</f>
        <v/>
      </c>
      <c r="V307" s="184">
        <f>ROUND(#REF!+#REF!+#REF!+预安排!P282+#REF!+'6月'!V307,5)</f>
        <v/>
      </c>
      <c r="W307" s="184">
        <f>ROUND(#REF!+#REF!+#REF!+预安排!Q282+#REF!+'6月'!W307,5)</f>
        <v/>
      </c>
      <c r="X307" s="184">
        <f>ROUND(#REF!+#REF!+#REF!+预安排!R282+#REF!+'6月'!X307,5)</f>
        <v/>
      </c>
      <c r="Y307" s="184">
        <f>ROUND(#REF!+#REF!+#REF!+预安排!S282+#REF!+'6月'!Y307,5)</f>
        <v/>
      </c>
      <c r="Z307" s="184">
        <f>ROUND(#REF!+#REF!+#REF!+预安排!#REF!+#REF!+'6月'!Z307,5)</f>
        <v/>
      </c>
      <c r="AA307" s="184">
        <f>ROUND(#REF!+#REF!+#REF!+预安排!#REF!+#REF!+'6月'!AA307,5)</f>
        <v/>
      </c>
      <c r="AB307" s="184">
        <f>ROUND(#REF!+#REF!+#REF!+预安排!#REF!+#REF!+'6月'!AB307,5)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194" t="n"/>
      <c r="AH307" s="194" t="n"/>
    </row>
    <row r="308" customFormat="1" s="1">
      <c r="A308" s="234" t="n"/>
      <c r="B308" s="55" t="inlineStr">
        <is>
          <t>SKU-79156780</t>
        </is>
      </c>
      <c r="C308" s="231" t="inlineStr"/>
      <c r="D308" s="231" t="n">
        <v>11</v>
      </c>
      <c r="E308" s="231" t="inlineStr"/>
      <c r="F308" s="231" t="inlineStr"/>
      <c r="G308" s="231" t="inlineStr"/>
      <c r="H308" s="231" t="inlineStr"/>
      <c r="I308" s="231" t="inlineStr"/>
      <c r="J308" s="56" t="inlineStr"/>
      <c r="K308" s="56" t="inlineStr">
        <is>
          <t>是</t>
        </is>
      </c>
      <c r="L308" s="231" t="n">
        <v>100</v>
      </c>
      <c r="M308" s="59" t="inlineStr">
        <is>
          <t>Product-D8310139</t>
        </is>
      </c>
      <c r="N308" s="231" t="n">
        <v>3</v>
      </c>
      <c r="O308" s="51">
        <f>SUM(P308:AB308)</f>
        <v/>
      </c>
      <c r="P308" s="184">
        <f>ROUND(#REF!+#REF!+#REF!+预安排!F283+#REF!+'6月'!P308,5)</f>
        <v/>
      </c>
      <c r="Q308" s="184">
        <f>ROUND(#REF!+#REF!+#REF!+预安排!#REF!+#REF!+'6月'!Q308,5)</f>
        <v/>
      </c>
      <c r="R308" s="184">
        <f>ROUND(#REF!+#REF!+#REF!+预安排!G283+#REF!+'6月'!R308,5)</f>
        <v/>
      </c>
      <c r="S308" s="184">
        <f>ROUND(#REF!+#REF!+#REF!+预安排!#REF!+#REF!+'6月'!S308,5)</f>
        <v/>
      </c>
      <c r="T308" s="184">
        <f>ROUND(#REF!+#REF!+#REF!+预安排!#REF!+#REF!+'6月'!T308,5)</f>
        <v/>
      </c>
      <c r="U308" s="184">
        <f>ROUND(#REF!+#REF!+#REF!+预安排!O283+#REF!+'6月'!U308,5)</f>
        <v/>
      </c>
      <c r="V308" s="184">
        <f>ROUND(#REF!+#REF!+#REF!+预安排!P283+#REF!+'6月'!V308,5)</f>
        <v/>
      </c>
      <c r="W308" s="184">
        <f>ROUND(#REF!+#REF!+#REF!+预安排!Q283+#REF!+'6月'!W308,5)</f>
        <v/>
      </c>
      <c r="X308" s="184">
        <f>ROUND(#REF!+#REF!+#REF!+预安排!R283+#REF!+'6月'!X308,5)</f>
        <v/>
      </c>
      <c r="Y308" s="184">
        <f>ROUND(#REF!+#REF!+#REF!+预安排!S283+#REF!+'6月'!Y308,5)</f>
        <v/>
      </c>
      <c r="Z308" s="184">
        <f>ROUND(#REF!+#REF!+#REF!+预安排!#REF!+#REF!+'6月'!Z308,5)</f>
        <v/>
      </c>
      <c r="AA308" s="184">
        <f>ROUND(#REF!+#REF!+#REF!+预安排!#REF!+#REF!+'6月'!AA308,5)</f>
        <v/>
      </c>
      <c r="AB308" s="184">
        <f>ROUND(#REF!+#REF!+#REF!+预安排!#REF!+#REF!+'6月'!AB308,5)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194" t="n"/>
      <c r="AH308" s="194" t="n"/>
    </row>
    <row r="309" customFormat="1" s="1">
      <c r="A309" s="234" t="n"/>
      <c r="B309" s="55" t="inlineStr">
        <is>
          <t>SKU-5E2193C8</t>
        </is>
      </c>
      <c r="C309" s="231" t="inlineStr"/>
      <c r="D309" s="231" t="n">
        <v>11</v>
      </c>
      <c r="E309" s="231" t="inlineStr"/>
      <c r="F309" s="231" t="inlineStr"/>
      <c r="G309" s="231" t="inlineStr"/>
      <c r="H309" s="231" t="inlineStr"/>
      <c r="I309" s="231" t="inlineStr"/>
      <c r="J309" s="56" t="inlineStr"/>
      <c r="K309" s="56" t="inlineStr">
        <is>
          <t>是</t>
        </is>
      </c>
      <c r="L309" s="231" t="n">
        <v>100</v>
      </c>
      <c r="M309" s="59" t="inlineStr">
        <is>
          <t>Product-B1BCBBF1</t>
        </is>
      </c>
      <c r="N309" s="231" t="n">
        <v>2</v>
      </c>
      <c r="O309" s="51">
        <f>SUM(P309:AB309)</f>
        <v/>
      </c>
      <c r="P309" s="184">
        <f>ROUND(#REF!+#REF!+#REF!+预安排!F284+#REF!+'6月'!P309,5)</f>
        <v/>
      </c>
      <c r="Q309" s="184">
        <f>ROUND(#REF!+#REF!+#REF!+预安排!#REF!+#REF!+'6月'!Q309,5)</f>
        <v/>
      </c>
      <c r="R309" s="184">
        <f>ROUND(#REF!+#REF!+#REF!+预安排!G284+#REF!+'6月'!R309,5)</f>
        <v/>
      </c>
      <c r="S309" s="184">
        <f>ROUND(#REF!+#REF!+#REF!+预安排!#REF!+#REF!+'6月'!S309,5)</f>
        <v/>
      </c>
      <c r="T309" s="184">
        <f>ROUND(#REF!+#REF!+#REF!+预安排!#REF!+#REF!+'6月'!T309,5)</f>
        <v/>
      </c>
      <c r="U309" s="184">
        <f>ROUND(#REF!+#REF!+#REF!+预安排!O284+#REF!+'6月'!U309,5)</f>
        <v/>
      </c>
      <c r="V309" s="184">
        <f>ROUND(#REF!+#REF!+#REF!+预安排!P284+#REF!+'6月'!V309,5)</f>
        <v/>
      </c>
      <c r="W309" s="184">
        <f>ROUND(#REF!+#REF!+#REF!+预安排!Q284+#REF!+'6月'!W309,5)</f>
        <v/>
      </c>
      <c r="X309" s="184">
        <f>ROUND(#REF!+#REF!+#REF!+预安排!R284+#REF!+'6月'!X309,5)</f>
        <v/>
      </c>
      <c r="Y309" s="184">
        <f>ROUND(#REF!+#REF!+#REF!+预安排!S284+#REF!+'6月'!Y309,5)</f>
        <v/>
      </c>
      <c r="Z309" s="184">
        <f>ROUND(#REF!+#REF!+#REF!+预安排!#REF!+#REF!+'6月'!Z309,5)</f>
        <v/>
      </c>
      <c r="AA309" s="184">
        <f>ROUND(#REF!+#REF!+#REF!+预安排!#REF!+#REF!+'6月'!AA309,5)</f>
        <v/>
      </c>
      <c r="AB309" s="184">
        <f>ROUND(#REF!+#REF!+#REF!+预安排!#REF!+#REF!+'6月'!AB309,5)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194" t="n"/>
      <c r="AH309" s="194" t="n"/>
    </row>
    <row r="310" customFormat="1" s="1">
      <c r="A310" s="234" t="n"/>
      <c r="B310" s="55" t="inlineStr">
        <is>
          <t>SKU-E0B7650A</t>
        </is>
      </c>
      <c r="C310" s="231" t="inlineStr"/>
      <c r="D310" s="231" t="n">
        <v>9</v>
      </c>
      <c r="E310" s="231" t="inlineStr"/>
      <c r="F310" s="231" t="inlineStr">
        <is>
          <t>是</t>
        </is>
      </c>
      <c r="G310" s="231" t="inlineStr"/>
      <c r="H310" s="231" t="inlineStr"/>
      <c r="I310" s="231" t="inlineStr"/>
      <c r="J310" s="56" t="inlineStr"/>
      <c r="K310" s="56" t="inlineStr">
        <is>
          <t>是</t>
        </is>
      </c>
      <c r="L310" s="231" t="n">
        <v>100</v>
      </c>
      <c r="M310" s="59" t="inlineStr">
        <is>
          <t>Product-6CE7F780</t>
        </is>
      </c>
      <c r="N310" s="231" t="n">
        <v>1</v>
      </c>
      <c r="O310" s="51">
        <f>SUM(P310:AB310)</f>
        <v/>
      </c>
      <c r="P310" s="184">
        <f>ROUND(#REF!+#REF!+#REF!+预安排!F285+#REF!+'6月'!P310,5)</f>
        <v/>
      </c>
      <c r="Q310" s="184">
        <f>ROUND(#REF!+#REF!+#REF!+预安排!#REF!+#REF!+'6月'!Q310,5)</f>
        <v/>
      </c>
      <c r="R310" s="184">
        <f>ROUND(#REF!+#REF!+#REF!+预安排!G285+#REF!+'6月'!R310,5)</f>
        <v/>
      </c>
      <c r="S310" s="184">
        <f>ROUND(#REF!+#REF!+#REF!+预安排!#REF!+#REF!+'6月'!S310,5)</f>
        <v/>
      </c>
      <c r="T310" s="184">
        <f>ROUND(#REF!+#REF!+#REF!+预安排!#REF!+#REF!+'6月'!T310,5)</f>
        <v/>
      </c>
      <c r="U310" s="184">
        <f>ROUND(#REF!+#REF!+#REF!+预安排!O285+#REF!+'6月'!U310,5)</f>
        <v/>
      </c>
      <c r="V310" s="184">
        <f>ROUND(#REF!+#REF!+#REF!+预安排!P285+#REF!+'6月'!V310,5)</f>
        <v/>
      </c>
      <c r="W310" s="184">
        <f>ROUND(#REF!+#REF!+#REF!+预安排!Q285+#REF!+'6月'!W310,5)</f>
        <v/>
      </c>
      <c r="X310" s="184">
        <f>ROUND(#REF!+#REF!+#REF!+预安排!R285+#REF!+'6月'!X310,5)</f>
        <v/>
      </c>
      <c r="Y310" s="184">
        <f>ROUND(#REF!+#REF!+#REF!+预安排!S285+#REF!+'6月'!Y310,5)</f>
        <v/>
      </c>
      <c r="Z310" s="184">
        <f>ROUND(#REF!+#REF!+#REF!+预安排!#REF!+#REF!+'6月'!Z310,5)</f>
        <v/>
      </c>
      <c r="AA310" s="184">
        <f>ROUND(#REF!+#REF!+#REF!+预安排!#REF!+#REF!+'6月'!AA310,5)</f>
        <v/>
      </c>
      <c r="AB310" s="184">
        <f>ROUND(#REF!+#REF!+#REF!+预安排!#REF!+#REF!+'6月'!AB310,5)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194" t="n"/>
      <c r="AH310" s="194" t="n"/>
    </row>
    <row r="311" customFormat="1" s="1">
      <c r="A311" s="234" t="n"/>
      <c r="B311" s="55" t="inlineStr">
        <is>
          <t>SKU-843C0510</t>
        </is>
      </c>
      <c r="C311" s="231" t="inlineStr"/>
      <c r="D311" s="231" t="n">
        <v>5</v>
      </c>
      <c r="E311" s="231" t="inlineStr"/>
      <c r="F311" s="231" t="inlineStr"/>
      <c r="G311" s="231" t="inlineStr"/>
      <c r="H311" s="231" t="inlineStr"/>
      <c r="I311" s="231" t="inlineStr"/>
      <c r="J311" s="27" t="inlineStr"/>
      <c r="K311" s="27" t="inlineStr">
        <is>
          <t>是</t>
        </is>
      </c>
      <c r="L311" s="231" t="n">
        <v>100</v>
      </c>
      <c r="M311" s="77" t="inlineStr">
        <is>
          <t>Product-8E98715E</t>
        </is>
      </c>
      <c r="N311" s="231" t="n">
        <v>1</v>
      </c>
      <c r="O311" s="51">
        <f>SUM(P311:AB311)</f>
        <v/>
      </c>
      <c r="P311" s="184">
        <f>ROUND(#REF!+#REF!+#REF!+预安排!F286+#REF!+'6月'!P311,5)</f>
        <v/>
      </c>
      <c r="Q311" s="184">
        <f>ROUND(#REF!+#REF!+#REF!+预安排!#REF!+#REF!+'6月'!Q311,5)</f>
        <v/>
      </c>
      <c r="R311" s="184">
        <f>ROUND(#REF!+#REF!+#REF!+预安排!G286+#REF!+'6月'!R311,5)</f>
        <v/>
      </c>
      <c r="S311" s="184">
        <f>ROUND(#REF!+#REF!+#REF!+预安排!#REF!+#REF!+'6月'!S311,5)</f>
        <v/>
      </c>
      <c r="T311" s="184">
        <f>ROUND(#REF!+#REF!+#REF!+预安排!#REF!+#REF!+'6月'!T311,5)</f>
        <v/>
      </c>
      <c r="U311" s="184">
        <f>ROUND(#REF!+#REF!+#REF!+预安排!O286+#REF!+'6月'!U311,5)</f>
        <v/>
      </c>
      <c r="V311" s="184">
        <f>ROUND(#REF!+#REF!+#REF!+预安排!P286+#REF!+'6月'!V311,5)</f>
        <v/>
      </c>
      <c r="W311" s="184">
        <f>ROUND(#REF!+#REF!+#REF!+预安排!Q286+#REF!+'6月'!W311,5)</f>
        <v/>
      </c>
      <c r="X311" s="184">
        <f>ROUND(#REF!+#REF!+#REF!+预安排!R286+#REF!+'6月'!X311,5)</f>
        <v/>
      </c>
      <c r="Y311" s="184">
        <f>ROUND(#REF!+#REF!+#REF!+预安排!S286+#REF!+'6月'!Y311,5)</f>
        <v/>
      </c>
      <c r="Z311" s="184">
        <f>ROUND(#REF!+#REF!+#REF!+预安排!#REF!+#REF!+'6月'!Z311,5)</f>
        <v/>
      </c>
      <c r="AA311" s="184">
        <f>ROUND(#REF!+#REF!+#REF!+预安排!#REF!+#REF!+'6月'!AA311,5)</f>
        <v/>
      </c>
      <c r="AB311" s="184">
        <f>ROUND(#REF!+#REF!+#REF!+预安排!#REF!+#REF!+'6月'!AB311,5)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194" t="n"/>
      <c r="AH311" s="194" t="n"/>
    </row>
    <row r="312" customFormat="1" s="1">
      <c r="A312" s="234" t="n"/>
      <c r="B312" s="55" t="inlineStr">
        <is>
          <t>SKU-24B633DE</t>
        </is>
      </c>
      <c r="C312" s="231" t="inlineStr"/>
      <c r="D312" s="55" t="n">
        <v>4</v>
      </c>
      <c r="E312" s="231" t="inlineStr"/>
      <c r="F312" s="231" t="inlineStr"/>
      <c r="G312" s="231" t="inlineStr"/>
      <c r="H312" s="231" t="inlineStr"/>
      <c r="I312" s="231" t="inlineStr"/>
      <c r="J312" s="27" t="inlineStr"/>
      <c r="K312" s="27" t="inlineStr">
        <is>
          <t>是</t>
        </is>
      </c>
      <c r="L312" s="231" t="n">
        <v>100</v>
      </c>
      <c r="M312" s="59" t="inlineStr">
        <is>
          <t>Product-7888AB17</t>
        </is>
      </c>
      <c r="N312" s="231" t="n">
        <v>1</v>
      </c>
      <c r="O312" s="51">
        <f>SUM(P312:AB312)</f>
        <v/>
      </c>
      <c r="P312" s="184">
        <f>ROUND(#REF!+#REF!+#REF!+预安排!F287+#REF!+'6月'!P312,5)</f>
        <v/>
      </c>
      <c r="Q312" s="184">
        <f>ROUND(#REF!+#REF!+#REF!+预安排!#REF!+#REF!+'6月'!Q312,5)</f>
        <v/>
      </c>
      <c r="R312" s="184">
        <f>ROUND(#REF!+#REF!+#REF!+预安排!G287+#REF!+'6月'!R312,5)</f>
        <v/>
      </c>
      <c r="S312" s="184">
        <f>ROUND(#REF!+#REF!+#REF!+预安排!#REF!+#REF!+'6月'!S312,5)</f>
        <v/>
      </c>
      <c r="T312" s="184">
        <f>ROUND(#REF!+#REF!+#REF!+预安排!#REF!+#REF!+'6月'!T312,5)</f>
        <v/>
      </c>
      <c r="U312" s="184">
        <f>ROUND(#REF!+#REF!+#REF!+预安排!O287+#REF!+'6月'!U312,5)</f>
        <v/>
      </c>
      <c r="V312" s="184">
        <f>ROUND(#REF!+#REF!+#REF!+预安排!P287+#REF!+'6月'!V312,5)</f>
        <v/>
      </c>
      <c r="W312" s="184">
        <f>ROUND(#REF!+#REF!+#REF!+预安排!Q287+#REF!+'6月'!W312,5)</f>
        <v/>
      </c>
      <c r="X312" s="184">
        <f>ROUND(#REF!+#REF!+#REF!+预安排!R287+#REF!+'6月'!X312,5)</f>
        <v/>
      </c>
      <c r="Y312" s="184">
        <f>ROUND(#REF!+#REF!+#REF!+预安排!S287+#REF!+'6月'!Y312,5)</f>
        <v/>
      </c>
      <c r="Z312" s="184">
        <f>ROUND(#REF!+#REF!+#REF!+预安排!#REF!+#REF!+'6月'!Z312,5)</f>
        <v/>
      </c>
      <c r="AA312" s="184">
        <f>ROUND(#REF!+#REF!+#REF!+预安排!#REF!+#REF!+'6月'!AA312,5)</f>
        <v/>
      </c>
      <c r="AB312" s="184">
        <f>ROUND(#REF!+#REF!+#REF!+预安排!#REF!+#REF!+'6月'!AB312,5)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194" t="n"/>
      <c r="AH312" s="194" t="n"/>
    </row>
    <row r="313" customFormat="1" s="1">
      <c r="A313" s="234" t="n"/>
      <c r="B313" s="231" t="inlineStr">
        <is>
          <t>SKU-0408BC7B</t>
        </is>
      </c>
      <c r="C313" s="231" t="inlineStr"/>
      <c r="D313" s="231" t="n">
        <v>4</v>
      </c>
      <c r="E313" s="231" t="inlineStr">
        <is>
          <t>是</t>
        </is>
      </c>
      <c r="F313" s="231" t="inlineStr"/>
      <c r="G313" s="231" t="inlineStr"/>
      <c r="H313" s="231" t="inlineStr">
        <is>
          <t>是</t>
        </is>
      </c>
      <c r="I313" s="231" t="inlineStr"/>
      <c r="J313" s="27" t="inlineStr"/>
      <c r="K313" s="27" t="inlineStr">
        <is>
          <t>是</t>
        </is>
      </c>
      <c r="L313" s="231" t="n">
        <v>100</v>
      </c>
      <c r="M313" s="19" t="inlineStr">
        <is>
          <t>Product-5A027F0E</t>
        </is>
      </c>
      <c r="N313" s="231" t="n">
        <v>1</v>
      </c>
      <c r="O313" s="181">
        <f>SUM(P313:AB313)</f>
        <v/>
      </c>
      <c r="P313" s="182">
        <f>ROUND(#REF!+#REF!+#REF!+预安排!F288+#REF!+'6月'!P313,5)</f>
        <v/>
      </c>
      <c r="Q313" s="182">
        <f>ROUND(#REF!+#REF!+#REF!+预安排!#REF!+#REF!+'6月'!Q313,5)</f>
        <v/>
      </c>
      <c r="R313" s="182">
        <f>ROUND(#REF!+#REF!+#REF!+预安排!G288+#REF!+'6月'!R313,5)</f>
        <v/>
      </c>
      <c r="S313" s="182">
        <f>ROUND(#REF!+#REF!+#REF!+预安排!#REF!+#REF!+'6月'!S313,5)</f>
        <v/>
      </c>
      <c r="T313" s="182">
        <f>ROUND(#REF!+#REF!+#REF!+预安排!#REF!+#REF!+'6月'!T313,5)</f>
        <v/>
      </c>
      <c r="U313" s="182">
        <f>ROUND(#REF!+#REF!+#REF!+预安排!O288+#REF!+'6月'!U313,5)</f>
        <v/>
      </c>
      <c r="V313" s="182">
        <f>ROUND(#REF!+#REF!+#REF!+预安排!P288+#REF!+'6月'!V313,5)</f>
        <v/>
      </c>
      <c r="W313" s="182">
        <f>ROUND(#REF!+#REF!+#REF!+预安排!Q288+#REF!+'6月'!W313,5)</f>
        <v/>
      </c>
      <c r="X313" s="182">
        <f>ROUND(#REF!+#REF!+#REF!+预安排!R288+#REF!+'6月'!X313,5)</f>
        <v/>
      </c>
      <c r="Y313" s="182">
        <f>ROUND(#REF!+#REF!+#REF!+预安排!S288+#REF!+'6月'!Y313,5)</f>
        <v/>
      </c>
      <c r="Z313" s="182">
        <f>ROUND(#REF!+#REF!+#REF!+预安排!#REF!+#REF!+'6月'!Z313,5)</f>
        <v/>
      </c>
      <c r="AA313" s="182">
        <f>ROUND(#REF!+#REF!+#REF!+预安排!#REF!+#REF!+'6月'!AA313,5)</f>
        <v/>
      </c>
      <c r="AB313" s="182">
        <f>ROUND(#REF!+#REF!+#REF!+预安排!#REF!+#REF!+'6月'!AB313,5)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193" t="n"/>
      <c r="AH313" s="193" t="n"/>
    </row>
    <row r="314" customFormat="1" s="1">
      <c r="A314" s="235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196" t="n"/>
      <c r="AH314" s="196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199" t="n"/>
      <c r="AH315" s="199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196" t="n"/>
      <c r="AH316" s="196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196" t="n"/>
      <c r="AH317" s="196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197" t="n"/>
      <c r="AH318" s="197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189" t="n"/>
      <c r="AH319" s="189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00" t="n"/>
      <c r="AH320" s="198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01" t="n"/>
      <c r="AH321" s="201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02" t="n"/>
      <c r="AH322" s="20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03" t="n"/>
      <c r="AH323" s="203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31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04" t="n"/>
      <c r="AH324" s="204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05" t="n"/>
      <c r="AH325" s="205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31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04" t="n"/>
      <c r="AH326" s="204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05" t="n"/>
      <c r="AH327" s="205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03" t="n"/>
      <c r="AH328" s="203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06" t="n"/>
      <c r="AH329" s="206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05" t="n"/>
      <c r="AH330" s="205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07" t="n"/>
      <c r="AH331" s="207" t="n"/>
    </row>
    <row r="332" customFormat="1" s="1">
      <c r="J332" s="220" t="n"/>
      <c r="K332" s="220" t="n"/>
      <c r="M332" s="118" t="inlineStr">
        <is>
          <t>低焦油</t>
        </is>
      </c>
      <c r="N332" s="231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04" t="n"/>
      <c r="AH332" s="204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05" t="n"/>
      <c r="AH333" s="205" t="n"/>
    </row>
    <row r="334" customFormat="1" s="1">
      <c r="J334" s="220" t="n"/>
      <c r="K334" s="220" t="n"/>
      <c r="M334" s="118" t="inlineStr">
        <is>
          <t>细支</t>
        </is>
      </c>
      <c r="N334" s="231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04" t="n"/>
      <c r="AH334" s="204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05" t="n"/>
      <c r="AH335" s="205" t="n"/>
    </row>
    <row r="336" customFormat="1" s="1">
      <c r="J336" s="220" t="n"/>
      <c r="K336" s="220" t="n"/>
      <c r="M336" s="118" t="inlineStr">
        <is>
          <t>短支</t>
        </is>
      </c>
      <c r="N336" s="231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04" t="n"/>
      <c r="AH336" s="204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05" t="n"/>
      <c r="AH337" s="205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05" t="n"/>
      <c r="AH338" s="205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05" t="n"/>
      <c r="AH339" s="205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08" t="n"/>
      <c r="AH340" s="208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05" t="n"/>
      <c r="AH341" s="205" t="n"/>
    </row>
    <row r="342" customFormat="1" s="1">
      <c r="J342" s="220" t="n"/>
      <c r="K342" s="220" t="n"/>
      <c r="M342" s="118" t="inlineStr">
        <is>
          <t>三类烟</t>
        </is>
      </c>
      <c r="N342" s="231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04" t="n"/>
      <c r="AH342" s="204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09" t="n"/>
      <c r="AH343" s="209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10" t="n"/>
      <c r="AH344" s="21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11" t="n"/>
      <c r="AH345" s="211" t="n"/>
    </row>
    <row r="346" customFormat="1" s="1">
      <c r="J346" s="220" t="n"/>
      <c r="K346" s="220" t="n"/>
      <c r="M346" s="160" t="inlineStr">
        <is>
          <t>三类烟比重%</t>
        </is>
      </c>
      <c r="N346" s="231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11" t="n"/>
      <c r="AH346" s="211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12" t="n"/>
      <c r="AH347" s="212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08" t="n"/>
      <c r="AH348" s="208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13" t="n"/>
      <c r="AH349" s="213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14" t="n"/>
      <c r="AH350" s="214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05" t="n"/>
      <c r="AH351" s="205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>
        <f>SUMIF($AD$2:$AD$318,"=标",P2:P318)</f>
        <v/>
      </c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15" t="n"/>
      <c r="AH352" s="215" t="n"/>
    </row>
  </sheetData>
  <autoFilter ref="AC1:AC352"/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84" operator="lessThan" dxfId="0">
      <formula>0</formula>
    </cfRule>
  </conditionalFormatting>
  <conditionalFormatting sqref="P2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W2">
    <cfRule type="cellIs" priority="347" operator="lessThan" dxfId="0" stopIfTrue="1">
      <formula>0</formula>
    </cfRule>
  </conditionalFormatting>
  <conditionalFormatting sqref="AG2">
    <cfRule type="cellIs" priority="53" operator="lessThan" dxfId="0">
      <formula>0</formula>
    </cfRule>
    <cfRule type="cellIs" priority="54" operator="lessThan" dxfId="0" stopIfTrue="1">
      <formula>0</formula>
    </cfRule>
  </conditionalFormatting>
  <conditionalFormatting sqref="AH2">
    <cfRule type="cellIs" priority="97" operator="lessThan" dxfId="0" stopIfTrue="1">
      <formula>0</formula>
    </cfRule>
  </conditionalFormatting>
  <conditionalFormatting sqref="J3:K3">
    <cfRule type="cellIs" priority="346" operator="lessThan" dxfId="0" stopIfTrue="1">
      <formula>0</formula>
    </cfRule>
  </conditionalFormatting>
  <conditionalFormatting sqref="AC34">
    <cfRule type="cellIs" priority="193" operator="lessThan" dxfId="0" stopIfTrue="1">
      <formula>0</formula>
    </cfRule>
  </conditionalFormatting>
  <conditionalFormatting sqref="O37:AC37">
    <cfRule type="cellIs" priority="183" operator="lessThan" dxfId="0" stopIfTrue="1">
      <formula>0</formula>
    </cfRule>
  </conditionalFormatting>
  <conditionalFormatting sqref="AE37:AF37">
    <cfRule type="cellIs" priority="309" operator="lessThan" dxfId="0" stopIfTrue="1">
      <formula>0</formula>
    </cfRule>
  </conditionalFormatting>
  <conditionalFormatting sqref="AG37:AH37">
    <cfRule type="cellIs" priority="74" operator="lessThan" dxfId="0" stopIfTrue="1">
      <formula>0</formula>
    </cfRule>
  </conditionalFormatting>
  <conditionalFormatting sqref="AC49">
    <cfRule type="cellIs" priority="198" operator="lessThan" dxfId="0" stopIfTrue="1">
      <formula>0</formula>
    </cfRule>
  </conditionalFormatting>
  <conditionalFormatting sqref="AC51">
    <cfRule type="cellIs" priority="206" operator="lessThan" dxfId="0" stopIfTrue="1">
      <formula>0</formula>
    </cfRule>
  </conditionalFormatting>
  <conditionalFormatting sqref="AC52">
    <cfRule type="cellIs" priority="195" operator="lessThan" dxfId="0" stopIfTrue="1">
      <formula>0</formula>
    </cfRule>
  </conditionalFormatting>
  <conditionalFormatting sqref="AC59">
    <cfRule type="cellIs" priority="216" operator="lessThan" dxfId="0" stopIfTrue="1">
      <formula>0</formula>
    </cfRule>
  </conditionalFormatting>
  <conditionalFormatting sqref="AE59:AF59">
    <cfRule type="cellIs" priority="307" operator="lessThan" dxfId="0" stopIfTrue="1">
      <formula>0</formula>
    </cfRule>
  </conditionalFormatting>
  <conditionalFormatting sqref="AC60">
    <cfRule type="cellIs" priority="210" operator="lessThan" dxfId="0" stopIfTrue="1">
      <formula>0</formula>
    </cfRule>
  </conditionalFormatting>
  <conditionalFormatting sqref="AC61">
    <cfRule type="cellIs" priority="197" operator="lessThan" dxfId="0" stopIfTrue="1">
      <formula>0</formula>
    </cfRule>
  </conditionalFormatting>
  <conditionalFormatting sqref="AC63">
    <cfRule type="cellIs" priority="215" operator="lessThan" dxfId="0" stopIfTrue="1">
      <formula>0</formula>
    </cfRule>
  </conditionalFormatting>
  <conditionalFormatting sqref="AC69">
    <cfRule type="cellIs" priority="212" operator="lessThan" dxfId="0" stopIfTrue="1">
      <formula>0</formula>
    </cfRule>
  </conditionalFormatting>
  <conditionalFormatting sqref="AE69:AF69">
    <cfRule type="cellIs" priority="305" operator="lessThan" dxfId="0" stopIfTrue="1">
      <formula>0</formula>
    </cfRule>
  </conditionalFormatting>
  <conditionalFormatting sqref="AC71">
    <cfRule type="cellIs" priority="191" operator="lessThan" dxfId="0" stopIfTrue="1">
      <formula>0</formula>
    </cfRule>
  </conditionalFormatting>
  <conditionalFormatting sqref="AC78">
    <cfRule type="cellIs" priority="196" operator="lessThan" dxfId="0" stopIfTrue="1">
      <formula>0</formula>
    </cfRule>
  </conditionalFormatting>
  <conditionalFormatting sqref="AC81">
    <cfRule type="cellIs" priority="192" operator="lessThan" dxfId="0" stopIfTrue="1">
      <formula>0</formula>
    </cfRule>
  </conditionalFormatting>
  <conditionalFormatting sqref="AE81:AF81">
    <cfRule type="cellIs" priority="303" operator="lessThan" dxfId="0" stopIfTrue="1">
      <formula>0</formula>
    </cfRule>
  </conditionalFormatting>
  <conditionalFormatting sqref="O82:AB82">
    <cfRule type="cellIs" priority="177" operator="lessThan" dxfId="0">
      <formula>0</formula>
    </cfRule>
    <cfRule type="cellIs" priority="178" operator="lessThan" dxfId="0" stopIfTrue="1">
      <formula>0</formula>
    </cfRule>
  </conditionalFormatting>
  <conditionalFormatting sqref="AE82:AF82">
    <cfRule type="cellIs" priority="278" operator="lessThan" dxfId="0" stopIfTrue="1">
      <formula>0</formula>
    </cfRule>
  </conditionalFormatting>
  <conditionalFormatting sqref="AG82:AH82">
    <cfRule type="cellIs" priority="68" operator="lessThan" dxfId="0">
      <formula>0</formula>
    </cfRule>
    <cfRule type="cellIs" priority="69" operator="lessThan" dxfId="0" stopIfTrue="1">
      <formula>0</formula>
    </cfRule>
  </conditionalFormatting>
  <conditionalFormatting sqref="O84:AC84">
    <cfRule type="cellIs" priority="107" operator="lessThan" dxfId="0" stopIfTrue="1">
      <formula>0</formula>
    </cfRule>
  </conditionalFormatting>
  <conditionalFormatting sqref="AG84:AH84">
    <cfRule type="cellIs" priority="1" operator="lessThan" dxfId="0" stopIfTrue="1">
      <formula>0</formula>
    </cfRule>
  </conditionalFormatting>
  <conditionalFormatting sqref="AC95">
    <cfRule type="cellIs" priority="190" operator="lessThan" dxfId="0" stopIfTrue="1">
      <formula>0</formula>
    </cfRule>
  </conditionalFormatting>
  <conditionalFormatting sqref="O96:AB96">
    <cfRule type="cellIs" priority="175" operator="lessThan" dxfId="0">
      <formula>0</formula>
    </cfRule>
    <cfRule type="cellIs" priority="176" operator="lessThan" dxfId="0" stopIfTrue="1">
      <formula>0</formula>
    </cfRule>
  </conditionalFormatting>
  <conditionalFormatting sqref="AE96:AF96">
    <cfRule type="cellIs" priority="275" operator="lessThan" dxfId="0" stopIfTrue="1">
      <formula>0</formula>
    </cfRule>
  </conditionalFormatting>
  <conditionalFormatting sqref="AG96:AH96">
    <cfRule type="cellIs" priority="66" operator="lessThan" dxfId="0">
      <formula>0</formula>
    </cfRule>
    <cfRule type="cellIs" priority="67" operator="lessThan" dxfId="0" stopIfTrue="1">
      <formula>0</formula>
    </cfRule>
  </conditionalFormatting>
  <conditionalFormatting sqref="O97:AB97">
    <cfRule type="cellIs" priority="173" operator="lessThan" dxfId="0">
      <formula>0</formula>
    </cfRule>
    <cfRule type="cellIs" priority="174" operator="lessThan" dxfId="0" stopIfTrue="1">
      <formula>0</formula>
    </cfRule>
  </conditionalFormatting>
  <conditionalFormatting sqref="AE97:AF97">
    <cfRule type="cellIs" priority="272" operator="lessThan" dxfId="0" stopIfTrue="1">
      <formula>0</formula>
    </cfRule>
  </conditionalFormatting>
  <conditionalFormatting sqref="AG97:AH97">
    <cfRule type="cellIs" priority="64" operator="lessThan" dxfId="0">
      <formula>0</formula>
    </cfRule>
    <cfRule type="cellIs" priority="65" operator="lessThan" dxfId="0" stopIfTrue="1">
      <formula>0</formula>
    </cfRule>
  </conditionalFormatting>
  <conditionalFormatting sqref="M100">
    <cfRule type="cellIs" priority="104" operator="lessThan" dxfId="0">
      <formula>0</formula>
    </cfRule>
  </conditionalFormatting>
  <conditionalFormatting sqref="M101">
    <cfRule type="cellIs" priority="105" operator="lessThan" dxfId="0">
      <formula>0</formula>
    </cfRule>
  </conditionalFormatting>
  <conditionalFormatting sqref="AE101:AF101">
    <cfRule type="cellIs" priority="302" operator="lessThan" dxfId="0" stopIfTrue="1">
      <formula>0</formula>
    </cfRule>
  </conditionalFormatting>
  <conditionalFormatting sqref="O102:AB102">
    <cfRule type="cellIs" priority="171" operator="lessThan" dxfId="0">
      <formula>0</formula>
    </cfRule>
    <cfRule type="cellIs" priority="172" operator="lessThan" dxfId="0" stopIfTrue="1">
      <formula>0</formula>
    </cfRule>
  </conditionalFormatting>
  <conditionalFormatting sqref="AE102:AF102">
    <cfRule type="cellIs" priority="269" operator="lessThan" dxfId="0" stopIfTrue="1">
      <formula>0</formula>
    </cfRule>
  </conditionalFormatting>
  <conditionalFormatting sqref="AG102:AH102">
    <cfRule type="cellIs" priority="62" operator="lessThan" dxfId="0">
      <formula>0</formula>
    </cfRule>
    <cfRule type="cellIs" priority="63" operator="lessThan" dxfId="0" stopIfTrue="1">
      <formula>0</formula>
    </cfRule>
  </conditionalFormatting>
  <conditionalFormatting sqref="M112">
    <cfRule type="cellIs" priority="103" operator="lessThan" dxfId="0">
      <formula>0</formula>
    </cfRule>
  </conditionalFormatting>
  <conditionalFormatting sqref="AC113">
    <cfRule type="cellIs" priority="208" operator="lessThan" dxfId="0" stopIfTrue="1">
      <formula>0</formula>
    </cfRule>
  </conditionalFormatting>
  <conditionalFormatting sqref="AE113:AF113">
    <cfRule type="cellIs" priority="301" operator="lessThan" dxfId="0" stopIfTrue="1">
      <formula>0</formula>
    </cfRule>
  </conditionalFormatting>
  <conditionalFormatting sqref="AC116">
    <cfRule type="cellIs" priority="201" operator="lessThan" dxfId="0" stopIfTrue="1">
      <formula>0</formula>
    </cfRule>
  </conditionalFormatting>
  <conditionalFormatting sqref="AC117">
    <cfRule type="cellIs" priority="200" operator="lessThan" dxfId="0" stopIfTrue="1">
      <formula>0</formula>
    </cfRule>
  </conditionalFormatting>
  <conditionalFormatting sqref="O118:AB118">
    <cfRule type="cellIs" priority="169" operator="lessThan" dxfId="0">
      <formula>0</formula>
    </cfRule>
    <cfRule type="cellIs" priority="170" operator="lessThan" dxfId="0" stopIfTrue="1">
      <formula>0</formula>
    </cfRule>
  </conditionalFormatting>
  <conditionalFormatting sqref="AE118:AF118">
    <cfRule type="cellIs" priority="266" operator="lessThan" dxfId="0" stopIfTrue="1">
      <formula>0</formula>
    </cfRule>
  </conditionalFormatting>
  <conditionalFormatting sqref="AG118:AH118">
    <cfRule type="cellIs" priority="60" operator="lessThan" dxfId="0">
      <formula>0</formula>
    </cfRule>
    <cfRule type="cellIs" priority="61" operator="lessThan" dxfId="0" stopIfTrue="1">
      <formula>0</formula>
    </cfRule>
  </conditionalFormatting>
  <conditionalFormatting sqref="AC138">
    <cfRule type="cellIs" priority="214" operator="lessThan" dxfId="0" stopIfTrue="1">
      <formula>0</formula>
    </cfRule>
  </conditionalFormatting>
  <conditionalFormatting sqref="AE141:AF141">
    <cfRule type="cellIs" priority="287" operator="lessThan" dxfId="0" stopIfTrue="1">
      <formula>0</formula>
    </cfRule>
  </conditionalFormatting>
  <conditionalFormatting sqref="M146">
    <cfRule type="cellIs" priority="102" operator="lessThan" dxfId="0">
      <formula>0</formula>
    </cfRule>
  </conditionalFormatting>
  <conditionalFormatting sqref="AC147">
    <cfRule type="cellIs" priority="209" operator="lessThan" dxfId="0" stopIfTrue="1">
      <formula>0</formula>
    </cfRule>
  </conditionalFormatting>
  <conditionalFormatting sqref="AC148">
    <cfRule type="cellIs" priority="199" operator="lessThan" dxfId="0" stopIfTrue="1">
      <formula>0</formula>
    </cfRule>
  </conditionalFormatting>
  <conditionalFormatting sqref="AC149">
    <cfRule type="cellIs" priority="194" operator="lessThan" dxfId="0" stopIfTrue="1">
      <formula>0</formula>
    </cfRule>
  </conditionalFormatting>
  <conditionalFormatting sqref="M175">
    <cfRule type="cellIs" priority="101" operator="lessThan" dxfId="0">
      <formula>0</formula>
    </cfRule>
  </conditionalFormatting>
  <conditionalFormatting sqref="AC216">
    <cfRule type="cellIs" priority="185" operator="lessThan" dxfId="0" stopIfTrue="1">
      <formula>0</formula>
    </cfRule>
  </conditionalFormatting>
  <conditionalFormatting sqref="AE216:AF216">
    <cfRule type="cellIs" priority="310" operator="lessThan" dxfId="0" stopIfTrue="1">
      <formula>0</formula>
    </cfRule>
  </conditionalFormatting>
  <conditionalFormatting sqref="M218">
    <cfRule type="cellIs" priority="100" operator="lessThan" dxfId="0">
      <formula>0</formula>
    </cfRule>
  </conditionalFormatting>
  <conditionalFormatting sqref="AE218:AF218">
    <cfRule type="cellIs" priority="296" operator="lessThan" dxfId="0" stopIfTrue="1">
      <formula>0</formula>
    </cfRule>
  </conditionalFormatting>
  <conditionalFormatting sqref="O220:AC220">
    <cfRule type="cellIs" priority="182" operator="lessThan" dxfId="0" stopIfTrue="1">
      <formula>0</formula>
    </cfRule>
  </conditionalFormatting>
  <conditionalFormatting sqref="AE220:AF220">
    <cfRule type="cellIs" priority="286" operator="lessThan" dxfId="0" stopIfTrue="1">
      <formula>0</formula>
    </cfRule>
  </conditionalFormatting>
  <conditionalFormatting sqref="AG220:AH220">
    <cfRule type="cellIs" priority="73" operator="lessThan" dxfId="0" stopIfTrue="1">
      <formula>0</formula>
    </cfRule>
  </conditionalFormatting>
  <conditionalFormatting sqref="AC222">
    <cfRule type="cellIs" priority="213" operator="lessThan" dxfId="0" stopIfTrue="1">
      <formula>0</formula>
    </cfRule>
  </conditionalFormatting>
  <conditionalFormatting sqref="AE222:AF222">
    <cfRule type="cellIs" priority="295" operator="lessThan" dxfId="0" stopIfTrue="1">
      <formula>0</formula>
    </cfRule>
  </conditionalFormatting>
  <conditionalFormatting sqref="AE226:AF226">
    <cfRule type="cellIs" priority="294" operator="lessThan" dxfId="0" stopIfTrue="1">
      <formula>0</formula>
    </cfRule>
  </conditionalFormatting>
  <conditionalFormatting sqref="AC235">
    <cfRule type="cellIs" priority="188" operator="lessThan" dxfId="0" stopIfTrue="1">
      <formula>0</formula>
    </cfRule>
  </conditionalFormatting>
  <conditionalFormatting sqref="AC236">
    <cfRule type="cellIs" priority="205" operator="lessThan" dxfId="0" stopIfTrue="1">
      <formula>0</formula>
    </cfRule>
  </conditionalFormatting>
  <conditionalFormatting sqref="AC237">
    <cfRule type="cellIs" priority="189" operator="lessThan" dxfId="0" stopIfTrue="1">
      <formula>0</formula>
    </cfRule>
  </conditionalFormatting>
  <conditionalFormatting sqref="AC238">
    <cfRule type="cellIs" priority="187" operator="lessThan" dxfId="0" stopIfTrue="1">
      <formula>0</formula>
    </cfRule>
  </conditionalFormatting>
  <conditionalFormatting sqref="AC271">
    <cfRule type="cellIs" priority="186" operator="lessThan" dxfId="0" stopIfTrue="1">
      <formula>0</formula>
    </cfRule>
  </conditionalFormatting>
  <conditionalFormatting sqref="AC279">
    <cfRule type="cellIs" priority="202" operator="lessThan" dxfId="0" stopIfTrue="1">
      <formula>0</formula>
    </cfRule>
  </conditionalFormatting>
  <conditionalFormatting sqref="AC280">
    <cfRule type="cellIs" priority="211" operator="lessThan" dxfId="0" stopIfTrue="1">
      <formula>0</formula>
    </cfRule>
  </conditionalFormatting>
  <conditionalFormatting sqref="AE285:AF285">
    <cfRule type="cellIs" priority="293" operator="lessThan" dxfId="0" stopIfTrue="1">
      <formula>0</formula>
    </cfRule>
  </conditionalFormatting>
  <conditionalFormatting sqref="O290:AC290">
    <cfRule type="cellIs" priority="181" operator="lessThan" dxfId="0" stopIfTrue="1">
      <formula>0</formula>
    </cfRule>
  </conditionalFormatting>
  <conditionalFormatting sqref="AE290:AF290">
    <cfRule type="cellIs" priority="285" operator="lessThan" dxfId="0" stopIfTrue="1">
      <formula>0</formula>
    </cfRule>
  </conditionalFormatting>
  <conditionalFormatting sqref="AG290:AH290">
    <cfRule type="cellIs" priority="72" operator="lessThan" dxfId="0" stopIfTrue="1">
      <formula>0</formula>
    </cfRule>
  </conditionalFormatting>
  <conditionalFormatting sqref="O291:AC291">
    <cfRule type="cellIs" priority="164" operator="lessThan" dxfId="0" stopIfTrue="1">
      <formula>0</formula>
    </cfRule>
  </conditionalFormatting>
  <conditionalFormatting sqref="AG291:AH291">
    <cfRule type="cellIs" priority="55" operator="lessThan" dxfId="0" stopIfTrue="1">
      <formula>0</formula>
    </cfRule>
  </conditionalFormatting>
  <conditionalFormatting sqref="J294:K29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O294:AB294">
    <cfRule type="cellIs" priority="180" operator="lessThan" dxfId="0" stopIfTrue="1">
      <formula>0</formula>
    </cfRule>
  </conditionalFormatting>
  <conditionalFormatting sqref="AD294">
    <cfRule type="cellIs" priority="256" operator="lessThan" dxfId="0" stopIfTrue="1">
      <formula>0</formula>
    </cfRule>
  </conditionalFormatting>
  <conditionalFormatting sqref="AE294">
    <cfRule type="cellIs" priority="283" operator="lessThan" dxfId="0" stopIfTrue="1">
      <formula>0</formula>
    </cfRule>
  </conditionalFormatting>
  <conditionalFormatting sqref="AF294">
    <cfRule type="cellIs" priority="257" operator="lessThan" dxfId="0" stopIfTrue="1">
      <formula>0</formula>
    </cfRule>
  </conditionalFormatting>
  <conditionalFormatting sqref="AG294:AH294">
    <cfRule type="cellIs" priority="71" operator="lessThan" dxfId="0" stopIfTrue="1">
      <formula>0</formula>
    </cfRule>
  </conditionalFormatting>
  <conditionalFormatting sqref="B316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B318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O319">
    <cfRule type="cellIs" priority="352" operator="lessThan" dxfId="0" stopIfTrue="1">
      <formula>0</formula>
    </cfRule>
  </conditionalFormatting>
  <conditionalFormatting sqref="AE319:AF319">
    <cfRule type="cellIs" priority="314" operator="lessThan" dxfId="0" stopIfTrue="1">
      <formula>0</formula>
    </cfRule>
  </conditionalFormatting>
  <conditionalFormatting sqref="AG319:AH319">
    <cfRule type="cellIs" priority="99" operator="lessThan" dxfId="0" stopIfTrue="1">
      <formula>0</formula>
    </cfRule>
  </conditionalFormatting>
  <conditionalFormatting sqref="M320">
    <cfRule type="cellIs" priority="236" operator="lessThan" dxfId="0">
      <formula>0</formula>
    </cfRule>
  </conditionalFormatting>
  <conditionalFormatting sqref="O320">
    <cfRule type="cellIs" priority="237" operator="lessThan" dxfId="0">
      <formula>0</formula>
    </cfRule>
    <cfRule type="cellIs" priority="238" operator="lessThan" dxfId="0" stopIfTrue="1">
      <formula>0</formula>
    </cfRule>
  </conditionalFormatting>
  <conditionalFormatting sqref="P320:AB320">
    <cfRule type="cellIs" priority="253" operator="lessThan" dxfId="0">
      <formula>0</formula>
    </cfRule>
  </conditionalFormatting>
  <conditionalFormatting sqref="W320">
    <cfRule type="cellIs" priority="254" operator="lessThan" dxfId="0" stopIfTrue="1">
      <formula>0</formula>
    </cfRule>
  </conditionalFormatting>
  <conditionalFormatting sqref="AG320:AH320">
    <cfRule type="cellIs" priority="94" operator="lessThan" dxfId="0">
      <formula>0</formula>
    </cfRule>
    <cfRule type="cellIs" priority="95" operator="lessThan" dxfId="0" stopIfTrue="1">
      <formula>0</formula>
    </cfRule>
  </conditionalFormatting>
  <conditionalFormatting sqref="O324:AB324">
    <cfRule type="cellIs" priority="158" operator="lessThan" dxfId="0">
      <formula>0</formula>
    </cfRule>
  </conditionalFormatting>
  <conditionalFormatting sqref="AG324:AH324">
    <cfRule type="cellIs" priority="51" operator="lessThan" dxfId="0">
      <formula>0</formula>
    </cfRule>
  </conditionalFormatting>
  <conditionalFormatting sqref="O326:AB326">
    <cfRule type="cellIs" priority="155" operator="lessThan" dxfId="0">
      <formula>0</formula>
    </cfRule>
  </conditionalFormatting>
  <conditionalFormatting sqref="AG326:AH326">
    <cfRule type="cellIs" priority="48" operator="lessThan" dxfId="0">
      <formula>0</formula>
    </cfRule>
  </conditionalFormatting>
  <conditionalFormatting sqref="M328">
    <cfRule type="cellIs" priority="219" operator="lessThan" dxfId="0">
      <formula>0</formula>
    </cfRule>
  </conditionalFormatting>
  <conditionalFormatting sqref="O328:AB328">
    <cfRule type="cellIs" priority="228" operator="lessThan" dxfId="0">
      <formula>0</formula>
    </cfRule>
  </conditionalFormatting>
  <conditionalFormatting sqref="AG328:AH328">
    <cfRule type="cellIs" priority="84" operator="lessThan" dxfId="0">
      <formula>0</formula>
    </cfRule>
  </conditionalFormatting>
  <conditionalFormatting sqref="O329:AB329">
    <cfRule type="cellIs" priority="225" operator="lessThan" dxfId="0">
      <formula>0</formula>
    </cfRule>
  </conditionalFormatting>
  <conditionalFormatting sqref="AG329:AH329">
    <cfRule type="cellIs" priority="81" operator="lessThan" dxfId="0">
      <formula>0</formula>
    </cfRule>
  </conditionalFormatting>
  <conditionalFormatting sqref="O330:AB330">
    <cfRule type="cellIs" priority="223" operator="lessThan" dxfId="0">
      <formula>0</formula>
    </cfRule>
  </conditionalFormatting>
  <conditionalFormatting sqref="AG330:AH330">
    <cfRule type="cellIs" priority="79" operator="lessThan" dxfId="0">
      <formula>0</formula>
    </cfRule>
  </conditionalFormatting>
  <conditionalFormatting sqref="O331:AB331">
    <cfRule type="cellIs" priority="220" operator="lessThan" dxfId="0">
      <formula>0</formula>
    </cfRule>
  </conditionalFormatting>
  <conditionalFormatting sqref="AG331:AH331">
    <cfRule type="cellIs" priority="76" operator="lessThan" dxfId="0">
      <formula>0</formula>
    </cfRule>
  </conditionalFormatting>
  <conditionalFormatting sqref="M332:AB332">
    <cfRule type="cellIs" priority="154" operator="lessThan" dxfId="0">
      <formula>0</formula>
    </cfRule>
  </conditionalFormatting>
  <conditionalFormatting sqref="O332:AB332">
    <cfRule type="cellIs" priority="145" operator="lessThan" dxfId="0">
      <formula>0</formula>
    </cfRule>
  </conditionalFormatting>
  <conditionalFormatting sqref="AG332:AH332">
    <cfRule type="cellIs" priority="38" operator="lessThan" dxfId="0">
      <formula>0</formula>
    </cfRule>
  </conditionalFormatting>
  <conditionalFormatting sqref="M333:AB333">
    <cfRule type="cellIs" priority="142" operator="lessThan" dxfId="0">
      <formula>0</formula>
    </cfRule>
  </conditionalFormatting>
  <conditionalFormatting sqref="O333:AB333">
    <cfRule type="cellIs" priority="139" operator="lessThan" dxfId="0">
      <formula>0</formula>
    </cfRule>
  </conditionalFormatting>
  <conditionalFormatting sqref="AG333:AH333">
    <cfRule type="cellIs" priority="32" operator="lessThan" dxfId="0">
      <formula>0</formula>
    </cfRule>
  </conditionalFormatting>
  <conditionalFormatting sqref="M334:AB334">
    <cfRule type="cellIs" priority="153" operator="lessThan" dxfId="0">
      <formula>0</formula>
    </cfRule>
  </conditionalFormatting>
  <conditionalFormatting sqref="O334:AB334">
    <cfRule type="cellIs" priority="144" operator="lessThan" dxfId="0">
      <formula>0</formula>
    </cfRule>
  </conditionalFormatting>
  <conditionalFormatting sqref="AG334:AH334">
    <cfRule type="cellIs" priority="37" operator="lessThan" dxfId="0">
      <formula>0</formula>
    </cfRule>
  </conditionalFormatting>
  <conditionalFormatting sqref="M335:AB335">
    <cfRule type="cellIs" priority="141" operator="lessThan" dxfId="0">
      <formula>0</formula>
    </cfRule>
  </conditionalFormatting>
  <conditionalFormatting sqref="O335:AB335">
    <cfRule type="cellIs" priority="138" operator="lessThan" dxfId="0">
      <formula>0</formula>
    </cfRule>
  </conditionalFormatting>
  <conditionalFormatting sqref="AG335:AH335">
    <cfRule type="cellIs" priority="31" operator="lessThan" dxfId="0">
      <formula>0</formula>
    </cfRule>
  </conditionalFormatting>
  <conditionalFormatting sqref="M336:AB336">
    <cfRule type="cellIs" priority="152" operator="lessThan" dxfId="0">
      <formula>0</formula>
    </cfRule>
  </conditionalFormatting>
  <conditionalFormatting sqref="O336:AB336">
    <cfRule type="cellIs" priority="143" operator="lessThan" dxfId="0">
      <formula>0</formula>
    </cfRule>
  </conditionalFormatting>
  <conditionalFormatting sqref="AG336:AH336">
    <cfRule type="cellIs" priority="36" operator="lessThan" dxfId="0">
      <formula>0</formula>
    </cfRule>
  </conditionalFormatting>
  <conditionalFormatting sqref="M337:AB337">
    <cfRule type="cellIs" priority="140" operator="lessThan" dxfId="0">
      <formula>0</formula>
    </cfRule>
  </conditionalFormatting>
  <conditionalFormatting sqref="O337:AB337">
    <cfRule type="cellIs" priority="137" operator="lessThan" dxfId="0">
      <formula>0</formula>
    </cfRule>
  </conditionalFormatting>
  <conditionalFormatting sqref="AG337:AH337">
    <cfRule type="cellIs" priority="30" operator="lessThan" dxfId="0">
      <formula>0</formula>
    </cfRule>
  </conditionalFormatting>
  <conditionalFormatting sqref="M338:AB338">
    <cfRule type="cellIs" priority="135" operator="lessThan" dxfId="0">
      <formula>0</formula>
    </cfRule>
  </conditionalFormatting>
  <conditionalFormatting sqref="O338:AB338">
    <cfRule type="cellIs" priority="134" operator="lessThan" dxfId="0">
      <formula>0</formula>
    </cfRule>
  </conditionalFormatting>
  <conditionalFormatting sqref="AG338:AH338">
    <cfRule type="cellIs" priority="28" operator="lessThan" dxfId="0">
      <formula>0</formula>
    </cfRule>
  </conditionalFormatting>
  <conditionalFormatting sqref="M339:N339">
    <cfRule type="cellIs" priority="136" operator="lessThan" dxfId="0">
      <formula>0</formula>
    </cfRule>
  </conditionalFormatting>
  <conditionalFormatting sqref="O339:AB339">
    <cfRule type="cellIs" priority="108" operator="lessThan" dxfId="0">
      <formula>0</formula>
    </cfRule>
  </conditionalFormatting>
  <conditionalFormatting sqref="AG339:AH339">
    <cfRule type="cellIs" priority="2" operator="lessThan" dxfId="0">
      <formula>0</formula>
    </cfRule>
  </conditionalFormatting>
  <conditionalFormatting sqref="M340:AB340">
    <cfRule type="cellIs" priority="133" operator="lessThan" dxfId="0">
      <formula>0</formula>
    </cfRule>
  </conditionalFormatting>
  <conditionalFormatting sqref="O340:AB340">
    <cfRule type="cellIs" priority="127" operator="lessThan" dxfId="0">
      <formula>0</formula>
    </cfRule>
  </conditionalFormatting>
  <conditionalFormatting sqref="AG340:AH340">
    <cfRule type="cellIs" priority="21" operator="lessThan" dxfId="0">
      <formula>0</formula>
    </cfRule>
  </conditionalFormatting>
  <conditionalFormatting sqref="M341:AB341">
    <cfRule type="cellIs" priority="125" operator="lessThan" dxfId="0">
      <formula>0</formula>
    </cfRule>
  </conditionalFormatting>
  <conditionalFormatting sqref="O341:AB341">
    <cfRule type="cellIs" priority="123" operator="lessThan" dxfId="0">
      <formula>0</formula>
    </cfRule>
  </conditionalFormatting>
  <conditionalFormatting sqref="AG341:AH341">
    <cfRule type="cellIs" priority="17" operator="lessThan" dxfId="0">
      <formula>0</formula>
    </cfRule>
  </conditionalFormatting>
  <conditionalFormatting sqref="M342:AB342">
    <cfRule type="cellIs" priority="132" operator="lessThan" dxfId="0">
      <formula>0</formula>
    </cfRule>
  </conditionalFormatting>
  <conditionalFormatting sqref="O342:AB342">
    <cfRule type="cellIs" priority="126" operator="lessThan" dxfId="0">
      <formula>0</formula>
    </cfRule>
  </conditionalFormatting>
  <conditionalFormatting sqref="AG342:AH342">
    <cfRule type="cellIs" priority="20" operator="lessThan" dxfId="0">
      <formula>0</formula>
    </cfRule>
  </conditionalFormatting>
  <conditionalFormatting sqref="M343:AB343">
    <cfRule type="cellIs" priority="124" operator="lessThan" dxfId="0">
      <formula>0</formula>
    </cfRule>
  </conditionalFormatting>
  <conditionalFormatting sqref="O343:AB343">
    <cfRule type="cellIs" priority="122" operator="lessThan" dxfId="0">
      <formula>0</formula>
    </cfRule>
  </conditionalFormatting>
  <conditionalFormatting sqref="AG343:AH343">
    <cfRule type="cellIs" priority="16" operator="lessThan" dxfId="0">
      <formula>0</formula>
    </cfRule>
  </conditionalFormatting>
  <conditionalFormatting sqref="M348:AB348">
    <cfRule type="cellIs" priority="121" operator="lessThan" dxfId="0">
      <formula>0</formula>
    </cfRule>
  </conditionalFormatting>
  <conditionalFormatting sqref="O348:AB348">
    <cfRule type="cellIs" priority="115" operator="lessThan" dxfId="0">
      <formula>0</formula>
    </cfRule>
  </conditionalFormatting>
  <conditionalFormatting sqref="AG348:AH348">
    <cfRule type="cellIs" priority="9" operator="lessThan" dxfId="0">
      <formula>0</formula>
    </cfRule>
  </conditionalFormatting>
  <conditionalFormatting sqref="M349:AB349">
    <cfRule type="cellIs" priority="113" operator="lessThan" dxfId="0">
      <formula>0</formula>
    </cfRule>
  </conditionalFormatting>
  <conditionalFormatting sqref="O349:AB349">
    <cfRule type="cellIs" priority="111" operator="lessThan" dxfId="0">
      <formula>0</formula>
    </cfRule>
  </conditionalFormatting>
  <conditionalFormatting sqref="AG349:AH349">
    <cfRule type="cellIs" priority="5" operator="lessThan" dxfId="0">
      <formula>0</formula>
    </cfRule>
  </conditionalFormatting>
  <conditionalFormatting sqref="M350:AB350">
    <cfRule type="cellIs" priority="120" operator="lessThan" dxfId="0">
      <formula>0</formula>
    </cfRule>
  </conditionalFormatting>
  <conditionalFormatting sqref="O350:AB350">
    <cfRule type="cellIs" priority="114" operator="lessThan" dxfId="0">
      <formula>0</formula>
    </cfRule>
  </conditionalFormatting>
  <conditionalFormatting sqref="AG350:AH350">
    <cfRule type="cellIs" priority="8" operator="lessThan" dxfId="0">
      <formula>0</formula>
    </cfRule>
  </conditionalFormatting>
  <conditionalFormatting sqref="M351:AB351">
    <cfRule type="cellIs" priority="112" operator="lessThan" dxfId="0">
      <formula>0</formula>
    </cfRule>
  </conditionalFormatting>
  <conditionalFormatting sqref="O351:AB351">
    <cfRule type="cellIs" priority="110" operator="lessThan" dxfId="0">
      <formula>0</formula>
    </cfRule>
  </conditionalFormatting>
  <conditionalFormatting sqref="AG351:AH351">
    <cfRule type="cellIs" priority="4" operator="lessThan" dxfId="0">
      <formula>0</formula>
    </cfRule>
  </conditionalFormatting>
  <conditionalFormatting sqref="M352">
    <cfRule type="cellIs" priority="248" operator="lessThan" dxfId="0">
      <formula>0</formula>
    </cfRule>
  </conditionalFormatting>
  <conditionalFormatting sqref="M352:AB352">
    <cfRule type="cellIs" priority="245" operator="lessThan" dxfId="0">
      <formula>0</formula>
    </cfRule>
  </conditionalFormatting>
  <conditionalFormatting sqref="N352">
    <cfRule type="cellIs" priority="247" operator="lessThan" dxfId="0">
      <formula>0</formula>
    </cfRule>
  </conditionalFormatting>
  <conditionalFormatting sqref="O352:AB352">
    <cfRule type="cellIs" priority="244" operator="lessThan" dxfId="0">
      <formula>0</formula>
    </cfRule>
  </conditionalFormatting>
  <conditionalFormatting sqref="AG352:AH352">
    <cfRule type="cellIs" priority="87" operator="lessThan" dxfId="0">
      <formula>0</formula>
    </cfRule>
  </conditionalFormatting>
  <conditionalFormatting sqref="N314:N318">
    <cfRule type="cellIs" priority="235" operator="lessThan" dxfId="0">
      <formula>0</formula>
    </cfRule>
  </conditionalFormatting>
  <conditionalFormatting sqref="O2:O8">
    <cfRule type="cellIs" priority="349" operator="lessThan" dxfId="0" stopIfTrue="1">
      <formula>0</formula>
    </cfRule>
  </conditionalFormatting>
  <conditionalFormatting sqref="W3:W8">
    <cfRule type="cellIs" priority="348" operator="lessThan" dxfId="0" stopIfTrue="1">
      <formula>0</formula>
    </cfRule>
  </conditionalFormatting>
  <conditionalFormatting sqref="AC43:AC44">
    <cfRule type="cellIs" priority="217" operator="lessThan" dxfId="0" stopIfTrue="1">
      <formula>0</formula>
    </cfRule>
  </conditionalFormatting>
  <conditionalFormatting sqref="AC129:AC130">
    <cfRule type="cellIs" priority="207" operator="lessThan" dxfId="0" stopIfTrue="1">
      <formula>0</formula>
    </cfRule>
  </conditionalFormatting>
  <conditionalFormatting sqref="AC195:AC196">
    <cfRule type="cellIs" priority="204" operator="lessThan" dxfId="0" stopIfTrue="1">
      <formula>0</formula>
    </cfRule>
  </conditionalFormatting>
  <conditionalFormatting sqref="AC260:AC265">
    <cfRule type="cellIs" priority="203" operator="lessThan" dxfId="0" stopIfTrue="1">
      <formula>0</formula>
    </cfRule>
  </conditionalFormatting>
  <conditionalFormatting sqref="AC295:AC299">
    <cfRule type="cellIs" priority="281" operator="lessThan" dxfId="0" stopIfTrue="1">
      <formula>0</formula>
    </cfRule>
  </conditionalFormatting>
  <conditionalFormatting sqref="AH3:AH8">
    <cfRule type="cellIs" priority="98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AF339 AC340:AC352 AD1:AF81 AD83:AF95 AD98:AF101 AD103:AF117 AD119:AF149 AD151:AF176 AD179:AF199 AD201:AF203 AD205:AF218 AD220:AF302 AD314:AF337 AD340:AF65536 AI1:IV65536">
    <cfRule type="cellIs" priority="280" operator="lessThan" dxfId="0">
      <formula>0</formula>
    </cfRule>
  </conditionalFormatting>
  <conditionalFormatting sqref="J1:K1 AD1">
    <cfRule type="cellIs" priority="315" operator="lessThan" dxfId="0">
      <formula>0</formula>
    </cfRule>
  </conditionalFormatting>
  <conditionalFormatting sqref="AG1:AH1 AG319:AH319 AG353:AH65536 AH2:AH8">
    <cfRule type="cellIs" priority="9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42" operator="lessThan" dxfId="0" stopIfTrue="1">
      <formula>0</formula>
    </cfRule>
  </conditionalFormatting>
  <conditionalFormatting sqref="M2 M4:M87 M96:M97 M102 M118 M150 M177:M178 M200 M204 M219">
    <cfRule type="cellIs" priority="106" operator="lessThan" dxfId="0">
      <formula>0</formula>
    </cfRule>
  </conditionalFormatting>
  <conditionalFormatting sqref="Q2:V2 X2:AB2">
    <cfRule type="cellIs" priority="350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218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311" operator="lessThan" dxfId="0" stopIfTrue="1">
      <formula>0</formula>
    </cfRule>
  </conditionalFormatting>
  <conditionalFormatting sqref="O9:O36 O38:AC38 O39:AB46 O47:AC47 O48:AB52 O53:AC53 O54:AB61 O62:AC62 O63:AB64 O65:AC65 O66:AB69 O70:AC70 O71:AB73 O74:AC74 O75:AB79 O80:AC80 O81:AB81 O83:AC83 O85:AB95 O98:AB101 O103:AC103 O104:AB117 O119:AC119 O120:AB130 O131:AC131 O132:AB141 O142:AC142 O143:AB149 O151:AC151 O152:AB163 O164:AC164 O165:AB176 O179:AC179 O180:AB196 O197:AC197 O198:AB199 O201:AB203 O205:AB214 O215:AC215 O216:AB218 O221:AB222 O223:AC223 O224:AB226 O227:AC227 O228:AB238 O239:AC239 O240:AB246 O247:AC247 O248:AB281 O282:AC282 O283:AB285 O286:AC286 O287:AB289 O295:AB299 O300:AC300 O301:AB302 O305:AB312 P3:P9 P10:AB36 Q9:AC9">
    <cfRule type="cellIs" priority="184" operator="lessThan" dxfId="0" stopIfTrue="1">
      <formula>0</formula>
    </cfRule>
  </conditionalFormatting>
  <conditionalFormatting sqref="O9:O81 O83:AC83 O85:AB95 O98:AB101 O103:AC103 O104:AB117 O119:AC119 O120:AB130 O131:AC131 O132:AB141 O142:AC142 O143:AB149 O151:AC151 O152:AB163 O164:AC164 O165:AB176 O179:AC179 O180:AB196 O197:AC197 O198:AB199 O201:AB203 O205:AB214 O215:AC215 O216:AB218 O220:AC220 O221:AB222 O223:AC223 O224:AB226 O227:AC227 O228:AB238 O239:AC239 O240:AB246 O247:AC247 O248:AB281 O282:AC282 O283:AB285 O286:AC286 O287:AB289 O290:AC290 O292:AB299 O300:AC300 O301:AB302 O305:AB312 P3:P9 P10:AB46 P47:AC47 P48:AB52 P53:AC53 P54:AB61 P62:AC62 P63:AB64 P65:AC65 P66:AB69 P70:AC70 P71:AB73 P74:AC74 P75:AB79 P80:AC80 P81:AB81 Q9:AC9 AC37:AC38">
    <cfRule type="cellIs" priority="179" operator="lessThan" dxfId="0">
      <formula>0</formula>
    </cfRule>
  </conditionalFormatting>
  <conditionalFormatting sqref="Q3:V8 X3:AB8">
    <cfRule type="cellIs" priority="351" operator="lessThan" dxfId="0" stopIfTrue="1">
      <formula>0</formula>
    </cfRule>
  </conditionalFormatting>
  <conditionalFormatting sqref="AG3:AG9 AG10:AH36 AG38:AH38 AG39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1:AH222 AG223:AH223 AG224:AH226 AG227:AH227 AG228:AH238 AG239:AH239 AG240:AH246 AG247:AH247 AG248:AH281 AG282:AH282 AG283:AH285 AG286:AH286 AG287:AH289 AG295:AH299 AG300:AH300 AG301:AH302 AG305:AH312 AH9">
    <cfRule type="cellIs" priority="75" operator="lessThan" dxfId="0" stopIfTrue="1">
      <formula>0</formula>
    </cfRule>
  </conditionalFormatting>
  <conditionalFormatting sqref="AG3:AG9 AG10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0:AH220 AG221:AH222 AG223:AH223 AG224:AH226 AG227:AH227 AG228:AH238 AG239:AH239 AG240:AH246 AG247:AH247 AG248:AH281 AG282:AH282 AG283:AH285 AG286:AH286 AG287:AH289 AG290:AH290 AG292:AH299 AG300:AH300 AG301:AH302 AG305:AH312 AH9">
    <cfRule type="cellIs" priority="70" operator="lessThan" dxfId="0">
      <formula>0</formula>
    </cfRule>
  </conditionalFormatting>
  <conditionalFormatting sqref="J37:K37 AD37">
    <cfRule type="cellIs" priority="340" operator="lessThan" dxfId="0" stopIfTrue="1">
      <formula>0</formula>
    </cfRule>
  </conditionalFormatting>
  <conditionalFormatting sqref="J43:K44 AD43:AD44">
    <cfRule type="cellIs" priority="339" operator="lessThan" dxfId="0" stopIfTrue="1">
      <formula>0</formula>
    </cfRule>
  </conditionalFormatting>
  <conditionalFormatting sqref="AE43:AF44">
    <cfRule type="cellIs" priority="308" operator="lessThan" dxfId="0" stopIfTrue="1">
      <formula>0</formula>
    </cfRule>
  </conditionalFormatting>
  <conditionalFormatting sqref="J45:K46 AD45:AD46">
    <cfRule type="cellIs" priority="323" operator="lessThan" dxfId="0" stopIfTrue="1">
      <formula>0</formula>
    </cfRule>
  </conditionalFormatting>
  <conditionalFormatting sqref="AE45:AF46">
    <cfRule type="cellIs" priority="292" operator="lessThan" dxfId="0" stopIfTrue="1">
      <formula>0</formula>
    </cfRule>
  </conditionalFormatting>
  <conditionalFormatting sqref="J59:K59 AD59">
    <cfRule type="cellIs" priority="338" operator="lessThan" dxfId="0" stopIfTrue="1">
      <formula>0</formula>
    </cfRule>
  </conditionalFormatting>
  <conditionalFormatting sqref="J60:K61 AD60:AD61">
    <cfRule type="cellIs" priority="322" operator="lessThan" dxfId="0" stopIfTrue="1">
      <formula>0</formula>
    </cfRule>
  </conditionalFormatting>
  <conditionalFormatting sqref="AE60:AF61">
    <cfRule type="cellIs" priority="291" operator="lessThan" dxfId="0" stopIfTrue="1">
      <formula>0</formula>
    </cfRule>
  </conditionalFormatting>
  <conditionalFormatting sqref="J63:K64 AD63:AD64">
    <cfRule type="cellIs" priority="337" operator="lessThan" dxfId="0" stopIfTrue="1">
      <formula>0</formula>
    </cfRule>
  </conditionalFormatting>
  <conditionalFormatting sqref="AE63:AF64">
    <cfRule type="cellIs" priority="306" operator="lessThan" dxfId="0" stopIfTrue="1">
      <formula>0</formula>
    </cfRule>
  </conditionalFormatting>
  <conditionalFormatting sqref="J69:K69 AD69">
    <cfRule type="cellIs" priority="336" operator="lessThan" dxfId="0" stopIfTrue="1">
      <formula>0</formula>
    </cfRule>
  </conditionalFormatting>
  <conditionalFormatting sqref="J71:K73 AD71:AD73">
    <cfRule type="cellIs" priority="335" operator="lessThan" dxfId="0" stopIfTrue="1">
      <formula>0</formula>
    </cfRule>
  </conditionalFormatting>
  <conditionalFormatting sqref="AE71:AF73">
    <cfRule type="cellIs" priority="304" operator="lessThan" dxfId="0" stopIfTrue="1">
      <formula>0</formula>
    </cfRule>
  </conditionalFormatting>
  <conditionalFormatting sqref="J74:K74 J197:K197 J215:K215 AD74 AD197 AD215">
    <cfRule type="cellIs" priority="343" operator="lessThan" dxfId="0" stopIfTrue="1">
      <formula>0</formula>
    </cfRule>
  </conditionalFormatting>
  <conditionalFormatting sqref="AE74:AF74 AE197:AF197 AE215:AF215">
    <cfRule type="cellIs" priority="312" operator="lessThan" dxfId="0" stopIfTrue="1">
      <formula>0</formula>
    </cfRule>
  </conditionalFormatting>
  <conditionalFormatting sqref="J81:K81 AD81">
    <cfRule type="cellIs" priority="334" operator="lessThan" dxfId="0" stopIfTrue="1">
      <formula>0</formula>
    </cfRule>
  </conditionalFormatting>
  <conditionalFormatting sqref="B82:L82 N82 AD82:AF82">
    <cfRule type="cellIs" priority="277" operator="lessThan" dxfId="0">
      <formula>0</formula>
    </cfRule>
  </conditionalFormatting>
  <conditionalFormatting sqref="J82:K82 AD82">
    <cfRule type="cellIs" priority="279" operator="lessThan" dxfId="0" stopIfTrue="1">
      <formula>0</formula>
    </cfRule>
  </conditionalFormatting>
  <conditionalFormatting sqref="B96:L96 N96 AD96:AF96">
    <cfRule type="cellIs" priority="274" operator="lessThan" dxfId="0">
      <formula>0</formula>
    </cfRule>
  </conditionalFormatting>
  <conditionalFormatting sqref="J96:K96 AD96">
    <cfRule type="cellIs" priority="276" operator="lessThan" dxfId="0" stopIfTrue="1">
      <formula>0</formula>
    </cfRule>
  </conditionalFormatting>
  <conditionalFormatting sqref="B97:L97 N97 AD97:AF97">
    <cfRule type="cellIs" priority="271" operator="lessThan" dxfId="0">
      <formula>0</formula>
    </cfRule>
  </conditionalFormatting>
  <conditionalFormatting sqref="J97:K97 AD97">
    <cfRule type="cellIs" priority="273" operator="lessThan" dxfId="0" stopIfTrue="1">
      <formula>0</formula>
    </cfRule>
  </conditionalFormatting>
  <conditionalFormatting sqref="J101:K101 AD101">
    <cfRule type="cellIs" priority="333" operator="lessThan" dxfId="0" stopIfTrue="1">
      <formula>0</formula>
    </cfRule>
  </conditionalFormatting>
  <conditionalFormatting sqref="B102:L102 N102 AD102:AF102">
    <cfRule type="cellIs" priority="268" operator="lessThan" dxfId="0">
      <formula>0</formula>
    </cfRule>
  </conditionalFormatting>
  <conditionalFormatting sqref="J102:K102 AD102">
    <cfRule type="cellIs" priority="270" operator="lessThan" dxfId="0" stopIfTrue="1">
      <formula>0</formula>
    </cfRule>
  </conditionalFormatting>
  <conditionalFormatting sqref="J113:K113 AD113">
    <cfRule type="cellIs" priority="332" operator="lessThan" dxfId="0" stopIfTrue="1">
      <formula>0</formula>
    </cfRule>
  </conditionalFormatting>
  <conditionalFormatting sqref="J114:K117 AD114:AD117">
    <cfRule type="cellIs" priority="319" operator="lessThan" dxfId="0" stopIfTrue="1">
      <formula>0</formula>
    </cfRule>
  </conditionalFormatting>
  <conditionalFormatting sqref="AE114:AF117">
    <cfRule type="cellIs" priority="288" operator="lessThan" dxfId="0" stopIfTrue="1">
      <formula>0</formula>
    </cfRule>
  </conditionalFormatting>
  <conditionalFormatting sqref="B118:L118 N118 AD118:AF118">
    <cfRule type="cellIs" priority="265" operator="lessThan" dxfId="0">
      <formula>0</formula>
    </cfRule>
  </conditionalFormatting>
  <conditionalFormatting sqref="J118:K118 AD118">
    <cfRule type="cellIs" priority="267" operator="lessThan" dxfId="0" stopIfTrue="1">
      <formula>0</formula>
    </cfRule>
  </conditionalFormatting>
  <conditionalFormatting sqref="J138:K140 AD138:AD140">
    <cfRule type="cellIs" priority="331" operator="lessThan" dxfId="0" stopIfTrue="1">
      <formula>0</formula>
    </cfRule>
  </conditionalFormatting>
  <conditionalFormatting sqref="AE138:AF140">
    <cfRule type="cellIs" priority="300" operator="lessThan" dxfId="0" stopIfTrue="1">
      <formula>0</formula>
    </cfRule>
  </conditionalFormatting>
  <conditionalFormatting sqref="J141:K141 AD141">
    <cfRule type="cellIs" priority="318" operator="lessThan" dxfId="0" stopIfTrue="1">
      <formula>0</formula>
    </cfRule>
  </conditionalFormatting>
  <conditionalFormatting sqref="J147:K149 AD147:AD149">
    <cfRule type="cellIs" priority="321" operator="lessThan" dxfId="0" stopIfTrue="1">
      <formula>0</formula>
    </cfRule>
  </conditionalFormatting>
  <conditionalFormatting sqref="AE147:AF149">
    <cfRule type="cellIs" priority="290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262" operator="lessThan" dxfId="0">
      <formula>0</formula>
    </cfRule>
  </conditionalFormatting>
  <conditionalFormatting sqref="J150:K150 J177:K178 J200:K200 J204:K204 J219:K219 AD150 AD177:AD178 AD200 AD204 AD219">
    <cfRule type="cellIs" priority="264" operator="lessThan" dxfId="0" stopIfTrue="1">
      <formula>0</formula>
    </cfRule>
  </conditionalFormatting>
  <conditionalFormatting sqref="O150:AB150 O177:AB178 O200:AB200 O204:AB204 O219:AB219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AE150:AF150 AE177:AF178 AE200:AF200 AE204:AF204 AE219:AF219">
    <cfRule type="cellIs" priority="263" operator="lessThan" dxfId="0" stopIfTrue="1">
      <formula>0</formula>
    </cfRule>
  </conditionalFormatting>
  <conditionalFormatting sqref="AG150:AH150 AG177:AH178 AG200:AH200 AG204:AH204 AG219:AH219">
    <cfRule type="cellIs" priority="59" operator="lessThan" dxfId="0" stopIfTrue="1">
      <formula>0</formula>
    </cfRule>
    <cfRule type="cellIs" priority="58" operator="lessThan" dxfId="0">
      <formula>0</formula>
    </cfRule>
  </conditionalFormatting>
  <conditionalFormatting sqref="J160:K163 AD160:AD163">
    <cfRule type="cellIs" priority="330" operator="lessThan" dxfId="0" stopIfTrue="1">
      <formula>0</formula>
    </cfRule>
  </conditionalFormatting>
  <conditionalFormatting sqref="AE160:AF163">
    <cfRule type="cellIs" priority="299" operator="lessThan" dxfId="0" stopIfTrue="1">
      <formula>0</formula>
    </cfRule>
  </conditionalFormatting>
  <conditionalFormatting sqref="J175:K176 AD175:AD176">
    <cfRule type="cellIs" priority="329" operator="lessThan" dxfId="0" stopIfTrue="1">
      <formula>0</formula>
    </cfRule>
  </conditionalFormatting>
  <conditionalFormatting sqref="AE175:AF176">
    <cfRule type="cellIs" priority="298" operator="lessThan" dxfId="0" stopIfTrue="1">
      <formula>0</formula>
    </cfRule>
  </conditionalFormatting>
  <conditionalFormatting sqref="J193:K196 AD193:AD196">
    <cfRule type="cellIs" priority="320" operator="lessThan" dxfId="0" stopIfTrue="1">
      <formula>0</formula>
    </cfRule>
  </conditionalFormatting>
  <conditionalFormatting sqref="AE193:AF196">
    <cfRule type="cellIs" priority="289" operator="lessThan" dxfId="0" stopIfTrue="1">
      <formula>0</formula>
    </cfRule>
  </conditionalFormatting>
  <conditionalFormatting sqref="J210:K214 AD210:AD214">
    <cfRule type="cellIs" priority="328" operator="lessThan" dxfId="0" stopIfTrue="1">
      <formula>0</formula>
    </cfRule>
  </conditionalFormatting>
  <conditionalFormatting sqref="AE210:AF214">
    <cfRule type="cellIs" priority="297" operator="lessThan" dxfId="0" stopIfTrue="1">
      <formula>0</formula>
    </cfRule>
  </conditionalFormatting>
  <conditionalFormatting sqref="J216:K216 AD216">
    <cfRule type="cellIs" priority="341" operator="lessThan" dxfId="0" stopIfTrue="1">
      <formula>0</formula>
    </cfRule>
  </conditionalFormatting>
  <conditionalFormatting sqref="J218:K218 AD218">
    <cfRule type="cellIs" priority="327" operator="lessThan" dxfId="0" stopIfTrue="1">
      <formula>0</formula>
    </cfRule>
  </conditionalFormatting>
  <conditionalFormatting sqref="J220:K220 AD220">
    <cfRule type="cellIs" priority="317" operator="lessThan" dxfId="0" stopIfTrue="1">
      <formula>0</formula>
    </cfRule>
  </conditionalFormatting>
  <conditionalFormatting sqref="J222:K222 AD222">
    <cfRule type="cellIs" priority="326" operator="lessThan" dxfId="0" stopIfTrue="1">
      <formula>0</formula>
    </cfRule>
  </conditionalFormatting>
  <conditionalFormatting sqref="J226:K226 AD226">
    <cfRule type="cellIs" priority="325" operator="lessThan" dxfId="0" stopIfTrue="1">
      <formula>0</formula>
    </cfRule>
  </conditionalFormatting>
  <conditionalFormatting sqref="J285:K285 AD285">
    <cfRule type="cellIs" priority="324" operator="lessThan" dxfId="0" stopIfTrue="1">
      <formula>0</formula>
    </cfRule>
  </conditionalFormatting>
  <conditionalFormatting sqref="J290:K290 AD290">
    <cfRule type="cellIs" priority="316" operator="lessThan" dxfId="0" stopIfTrue="1">
      <formula>0</formula>
    </cfRule>
  </conditionalFormatting>
  <conditionalFormatting sqref="AC294 AC301:AC302 AC305:AC312">
    <cfRule type="cellIs" priority="282" operator="lessThan" dxfId="0" stopIfTrue="1">
      <formula>0</formula>
    </cfRule>
  </conditionalFormatting>
  <conditionalFormatting sqref="J301:K302 J305:K312 J314:K318 AD301:AD302 AD305:AD312 AD314:AD318">
    <cfRule type="cellIs" priority="344" operator="lessThan" dxfId="0" stopIfTrue="1">
      <formula>0</formula>
    </cfRule>
  </conditionalFormatting>
  <conditionalFormatting sqref="AE301:AF302 AE305:AF312 AE314:AF318">
    <cfRule type="cellIs" priority="313" operator="lessThan" dxfId="0" stopIfTrue="1">
      <formula>0</formula>
    </cfRule>
  </conditionalFormatting>
  <conditionalFormatting sqref="B303:L304 B313:L313 N303:N304 N313 AD303:AF304 AD313:AF313">
    <cfRule type="cellIs" priority="259" operator="lessThan" dxfId="0">
      <formula>0</formula>
    </cfRule>
  </conditionalFormatting>
  <conditionalFormatting sqref="J303:K304 J313:K313 AD303:AD304 AD313">
    <cfRule type="cellIs" priority="261" operator="lessThan" dxfId="0" stopIfTrue="1">
      <formula>0</formula>
    </cfRule>
  </conditionalFormatting>
  <conditionalFormatting sqref="M303:M304 M313">
    <cfRule type="cellIs" priority="234" operator="lessThan" dxfId="0">
      <formula>0</formula>
    </cfRule>
  </conditionalFormatting>
  <conditionalFormatting sqref="O303:AB304 O313:AB313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AC303:AC304 AC313">
    <cfRule type="cellIs" priority="258" operator="lessThan" dxfId="0" stopIfTrue="1">
      <formula>0</formula>
    </cfRule>
  </conditionalFormatting>
  <conditionalFormatting sqref="AE303:AF304 AE313:AF313">
    <cfRule type="cellIs" priority="260" operator="lessThan" dxfId="0" stopIfTrue="1">
      <formula>0</formula>
    </cfRule>
  </conditionalFormatting>
  <conditionalFormatting sqref="AG303:AH304 AG313:AH313">
    <cfRule type="cellIs" priority="57" operator="lessThan" dxfId="0" stopIfTrue="1">
      <formula>0</formula>
    </cfRule>
    <cfRule type="cellIs" priority="56" operator="lessThan" dxfId="0">
      <formula>0</formula>
    </cfRule>
  </conditionalFormatting>
  <conditionalFormatting sqref="O314:AC318">
    <cfRule type="cellIs" priority="251" operator="lessThan" dxfId="0">
      <formula>0</formula>
    </cfRule>
    <cfRule type="cellIs" priority="252" operator="lessThan" dxfId="0" stopIfTrue="1">
      <formula>0</formula>
    </cfRule>
  </conditionalFormatting>
  <conditionalFormatting sqref="AG314:AH318">
    <cfRule type="cellIs" priority="92" operator="lessThan" dxfId="0">
      <formula>0</formula>
    </cfRule>
    <cfRule type="cellIs" priority="93" operator="lessThan" dxfId="0" stopIfTrue="1">
      <formula>0</formula>
    </cfRule>
  </conditionalFormatting>
  <conditionalFormatting sqref="J319:K319 AD319">
    <cfRule type="cellIs" priority="345" operator="lessThan" dxfId="0" stopIfTrue="1">
      <formula>0</formula>
    </cfRule>
  </conditionalFormatting>
  <conditionalFormatting sqref="P319:V319 X319:AA319">
    <cfRule type="cellIs" priority="353" operator="lessThan" dxfId="0" stopIfTrue="1">
      <formula>0</formula>
    </cfRule>
  </conditionalFormatting>
  <conditionalFormatting sqref="W319 AB319">
    <cfRule type="cellIs" priority="354" operator="lessThan" dxfId="0" stopIfTrue="1">
      <formula>0</formula>
    </cfRule>
  </conditionalFormatting>
  <conditionalFormatting sqref="M321:AB327 M344:AB347 N320">
    <cfRule type="cellIs" priority="250" operator="lessThan" dxfId="0">
      <formula>0</formula>
    </cfRule>
  </conditionalFormatting>
  <conditionalFormatting sqref="P320:V320 X320:AB320">
    <cfRule type="cellIs" priority="255" operator="lessThan" dxfId="0" stopIfTrue="1">
      <formula>0</formula>
    </cfRule>
  </conditionalFormatting>
  <conditionalFormatting sqref="O321:AB323 O344:AB347">
    <cfRule type="cellIs" priority="249" operator="lessThan" dxfId="0">
      <formula>0</formula>
    </cfRule>
  </conditionalFormatting>
  <conditionalFormatting sqref="AG321:AH327 AG344:AH347">
    <cfRule type="cellIs" priority="91" operator="lessThan" dxfId="0">
      <formula>0</formula>
    </cfRule>
  </conditionalFormatting>
  <conditionalFormatting sqref="AG321:AH323 AG344:AH347">
    <cfRule type="cellIs" priority="90" operator="lessThan" dxfId="0">
      <formula>0</formula>
    </cfRule>
  </conditionalFormatting>
  <conditionalFormatting sqref="O324:AB325">
    <cfRule type="cellIs" priority="243" operator="lessThan" dxfId="0">
      <formula>0</formula>
    </cfRule>
  </conditionalFormatting>
  <conditionalFormatting sqref="AG324:AH325">
    <cfRule type="cellIs" priority="86" operator="lessThan" dxfId="0">
      <formula>0</formula>
    </cfRule>
  </conditionalFormatting>
  <conditionalFormatting sqref="O326:AB327">
    <cfRule type="cellIs" priority="157" operator="lessThan" dxfId="0">
      <formula>0</formula>
    </cfRule>
  </conditionalFormatting>
  <conditionalFormatting sqref="AG326:AH327">
    <cfRule type="cellIs" priority="50" operator="lessThan" dxfId="0">
      <formula>0</formula>
    </cfRule>
  </conditionalFormatting>
  <conditionalFormatting sqref="M329:AB329 N328:AB328">
    <cfRule type="cellIs" priority="229" operator="lessThan" dxfId="0">
      <formula>0</formula>
    </cfRule>
  </conditionalFormatting>
  <conditionalFormatting sqref="AG328:AH328 AG329:AH329">
    <cfRule type="cellIs" priority="85" operator="lessThan" dxfId="0">
      <formula>0</formula>
    </cfRule>
  </conditionalFormatting>
  <conditionalFormatting sqref="M330:AB331">
    <cfRule type="cellIs" priority="224" operator="lessThan" dxfId="0">
      <formula>0</formula>
    </cfRule>
  </conditionalFormatting>
  <conditionalFormatting sqref="AG330:AH331">
    <cfRule type="cellIs" priority="80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selection activeCell="P3" sqref="P3:AB289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.125" customWidth="1" style="1" min="15" max="15"/>
    <col width="7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>
        <v>37.4</v>
      </c>
      <c r="Q3" s="182" t="n">
        <v>322.5</v>
      </c>
      <c r="R3" s="182" t="n">
        <v>199.2</v>
      </c>
      <c r="S3" s="182" t="n">
        <v>68.5</v>
      </c>
      <c r="T3" s="182" t="n">
        <v>49.8</v>
      </c>
      <c r="U3" s="182" t="n">
        <v>24.9</v>
      </c>
      <c r="V3" s="182" t="n">
        <v>67.2</v>
      </c>
      <c r="W3" s="182" t="n">
        <v>74.90000000000001</v>
      </c>
      <c r="X3" s="182" t="n">
        <v>105.8</v>
      </c>
      <c r="Y3" s="182" t="n">
        <v>92.59999999999999</v>
      </c>
      <c r="Z3" s="182" t="n">
        <v>53.5</v>
      </c>
      <c r="AA3" s="182" t="n">
        <v>146.4</v>
      </c>
      <c r="AB3" s="183" t="n">
        <v>57.3</v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4" t="n"/>
      <c r="B4" s="231" t="inlineStr">
        <is>
          <t>SKU-FEFFF06B</t>
        </is>
      </c>
      <c r="C4" s="231" t="inlineStr">
        <is>
          <t>是</t>
        </is>
      </c>
      <c r="D4" s="231" t="n">
        <v>5</v>
      </c>
      <c r="E4" s="231" t="inlineStr"/>
      <c r="F4" s="231" t="inlineStr"/>
      <c r="G4" s="231" t="inlineStr"/>
      <c r="H4" s="231" t="inlineStr"/>
      <c r="I4" s="231" t="inlineStr"/>
      <c r="J4" s="27" t="inlineStr"/>
      <c r="K4" s="27" t="inlineStr">
        <is>
          <t>是</t>
        </is>
      </c>
      <c r="L4" s="231" t="n">
        <v>100</v>
      </c>
      <c r="M4" s="19" t="inlineStr">
        <is>
          <t>Product-2824E2BD</t>
        </is>
      </c>
      <c r="N4" s="231" t="n">
        <v>2</v>
      </c>
      <c r="O4" s="51">
        <f>SUM(P4:AB4)</f>
        <v/>
      </c>
      <c r="P4" s="182" t="n">
        <v>6</v>
      </c>
      <c r="Q4" s="184" t="n">
        <v>10</v>
      </c>
      <c r="R4" s="184" t="n">
        <v>15</v>
      </c>
      <c r="S4" s="184" t="n">
        <v>30</v>
      </c>
      <c r="T4" s="184" t="n">
        <v>18</v>
      </c>
      <c r="U4" s="184" t="n">
        <v>6</v>
      </c>
      <c r="V4" s="184" t="n">
        <v>10</v>
      </c>
      <c r="W4" s="184" t="n">
        <v>6</v>
      </c>
      <c r="X4" s="184" t="n">
        <v>29</v>
      </c>
      <c r="Y4" s="184" t="n">
        <v>27</v>
      </c>
      <c r="Z4" s="184" t="n">
        <v>3</v>
      </c>
      <c r="AA4" s="184" t="n">
        <v>6</v>
      </c>
      <c r="AB4" s="185" t="n">
        <v>4</v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4" t="n"/>
      <c r="B5" s="231" t="inlineStr">
        <is>
          <t>SKU-2866FD1A</t>
        </is>
      </c>
      <c r="C5" s="231" t="inlineStr">
        <is>
          <t>是</t>
        </is>
      </c>
      <c r="D5" s="231" t="n">
        <v>8</v>
      </c>
      <c r="E5" s="231" t="inlineStr"/>
      <c r="F5" s="231" t="inlineStr"/>
      <c r="G5" s="231" t="inlineStr"/>
      <c r="H5" s="231" t="inlineStr"/>
      <c r="I5" s="231" t="inlineStr"/>
      <c r="J5" s="27" t="inlineStr"/>
      <c r="K5" s="27" t="inlineStr">
        <is>
          <t>是</t>
        </is>
      </c>
      <c r="L5" s="231" t="n">
        <v>100</v>
      </c>
      <c r="M5" s="19" t="inlineStr">
        <is>
          <t>Product-B05D24B5</t>
        </is>
      </c>
      <c r="N5" s="231" t="n">
        <v>3</v>
      </c>
      <c r="O5" s="51">
        <f>SUM(P5:AB5)</f>
        <v/>
      </c>
      <c r="P5" s="182" t="n">
        <v>10</v>
      </c>
      <c r="Q5" s="184" t="n">
        <v>20</v>
      </c>
      <c r="R5" s="184" t="n">
        <v>15</v>
      </c>
      <c r="S5" s="184" t="n">
        <v>25</v>
      </c>
      <c r="T5" s="184" t="n">
        <v>13</v>
      </c>
      <c r="U5" s="184" t="n">
        <v>1</v>
      </c>
      <c r="V5" s="184" t="n">
        <v>4</v>
      </c>
      <c r="W5" s="184" t="n">
        <v>2</v>
      </c>
      <c r="X5" s="184" t="n">
        <v>10.1</v>
      </c>
      <c r="Y5" s="184" t="n">
        <v>0</v>
      </c>
      <c r="Z5" s="184" t="n">
        <v>2</v>
      </c>
      <c r="AA5" s="184" t="n">
        <v>34.6</v>
      </c>
      <c r="AB5" s="185" t="n">
        <v>1</v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4" t="n"/>
      <c r="B6" s="231" t="inlineStr">
        <is>
          <t>SKU-0260B714</t>
        </is>
      </c>
      <c r="C6" s="231" t="inlineStr">
        <is>
          <t>是</t>
        </is>
      </c>
      <c r="D6" s="231" t="n">
        <v>5</v>
      </c>
      <c r="E6" s="231" t="inlineStr"/>
      <c r="F6" s="231" t="inlineStr"/>
      <c r="G6" s="231" t="inlineStr"/>
      <c r="H6" s="231" t="inlineStr"/>
      <c r="I6" s="231" t="inlineStr"/>
      <c r="J6" s="27" t="inlineStr"/>
      <c r="K6" s="27" t="inlineStr">
        <is>
          <t>是</t>
        </is>
      </c>
      <c r="L6" s="231" t="n">
        <v>100</v>
      </c>
      <c r="M6" s="33" t="inlineStr">
        <is>
          <t>Product-9FA41960</t>
        </is>
      </c>
      <c r="N6" s="231" t="n">
        <v>2</v>
      </c>
      <c r="O6" s="51">
        <f>SUM(P6:AB6)</f>
        <v/>
      </c>
      <c r="P6" s="182" t="n">
        <v>0</v>
      </c>
      <c r="Q6" s="184" t="n">
        <v>0</v>
      </c>
      <c r="R6" s="184" t="n">
        <v>0</v>
      </c>
      <c r="S6" s="184" t="n">
        <v>0</v>
      </c>
      <c r="T6" s="184" t="n">
        <v>0</v>
      </c>
      <c r="U6" s="184" t="n">
        <v>0</v>
      </c>
      <c r="V6" s="184" t="n">
        <v>0</v>
      </c>
      <c r="W6" s="184" t="n">
        <v>0</v>
      </c>
      <c r="X6" s="184" t="n">
        <v>0</v>
      </c>
      <c r="Y6" s="184" t="n">
        <v>0</v>
      </c>
      <c r="Z6" s="184" t="n">
        <v>0</v>
      </c>
      <c r="AA6" s="184" t="n">
        <v>0</v>
      </c>
      <c r="AB6" s="185" t="n">
        <v>0</v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4" t="n"/>
      <c r="B7" s="231" t="inlineStr">
        <is>
          <t>SKU-80DD304E</t>
        </is>
      </c>
      <c r="C7" s="231" t="inlineStr">
        <is>
          <t>是</t>
        </is>
      </c>
      <c r="D7" s="231" t="n">
        <v>5</v>
      </c>
      <c r="E7" s="231" t="inlineStr"/>
      <c r="F7" s="231" t="inlineStr">
        <is>
          <t>是</t>
        </is>
      </c>
      <c r="G7" s="231" t="inlineStr"/>
      <c r="H7" s="231" t="inlineStr"/>
      <c r="I7" s="231" t="inlineStr">
        <is>
          <t>是</t>
        </is>
      </c>
      <c r="J7" s="27" t="inlineStr"/>
      <c r="K7" s="27" t="inlineStr">
        <is>
          <t>是</t>
        </is>
      </c>
      <c r="L7" s="231" t="n">
        <v>100</v>
      </c>
      <c r="M7" s="19" t="inlineStr">
        <is>
          <t>Product-104B7147</t>
        </is>
      </c>
      <c r="N7" s="231" t="n">
        <v>2</v>
      </c>
      <c r="O7" s="51">
        <f>SUM(P7:AB7)</f>
        <v/>
      </c>
      <c r="P7" s="182" t="n">
        <v>14</v>
      </c>
      <c r="Q7" s="184" t="n">
        <v>16.7</v>
      </c>
      <c r="R7" s="184" t="n">
        <v>16.4</v>
      </c>
      <c r="S7" s="184" t="n">
        <v>8</v>
      </c>
      <c r="T7" s="184" t="n">
        <v>9.800000000000001</v>
      </c>
      <c r="U7" s="184" t="n">
        <v>8</v>
      </c>
      <c r="V7" s="184" t="n">
        <v>7.8</v>
      </c>
      <c r="W7" s="184" t="n">
        <v>22.1</v>
      </c>
      <c r="X7" s="184" t="n">
        <v>13</v>
      </c>
      <c r="Y7" s="184" t="n">
        <v>9.300000000000001</v>
      </c>
      <c r="Z7" s="184" t="n">
        <v>10.2</v>
      </c>
      <c r="AA7" s="184" t="n">
        <v>8.699999999999999</v>
      </c>
      <c r="AB7" s="185" t="n">
        <v>6</v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4" t="n"/>
      <c r="B8" s="231" t="inlineStr">
        <is>
          <t>SKU-1DE29866</t>
        </is>
      </c>
      <c r="C8" s="231" t="inlineStr">
        <is>
          <t>是</t>
        </is>
      </c>
      <c r="D8" s="231" t="n">
        <v>5</v>
      </c>
      <c r="E8" s="231" t="inlineStr"/>
      <c r="F8" s="231" t="inlineStr">
        <is>
          <t>是</t>
        </is>
      </c>
      <c r="G8" s="231" t="inlineStr"/>
      <c r="H8" s="231" t="inlineStr">
        <is>
          <t>是</t>
        </is>
      </c>
      <c r="I8" s="231" t="inlineStr">
        <is>
          <t>是</t>
        </is>
      </c>
      <c r="J8" s="27" t="inlineStr"/>
      <c r="K8" s="27" t="inlineStr">
        <is>
          <t>是</t>
        </is>
      </c>
      <c r="L8" s="231" t="n">
        <v>100</v>
      </c>
      <c r="M8" s="19" t="inlineStr">
        <is>
          <t>Product-F23B59C1</t>
        </is>
      </c>
      <c r="N8" s="231" t="n">
        <v>1</v>
      </c>
      <c r="O8" s="51">
        <f>SUM(P8:AB8)</f>
        <v/>
      </c>
      <c r="P8" s="182" t="n">
        <v>29</v>
      </c>
      <c r="Q8" s="184" t="n">
        <v>34.5</v>
      </c>
      <c r="R8" s="184" t="n">
        <v>33.9</v>
      </c>
      <c r="S8" s="184" t="n">
        <v>16.5</v>
      </c>
      <c r="T8" s="184" t="n">
        <v>20.2</v>
      </c>
      <c r="U8" s="184" t="n">
        <v>16.5</v>
      </c>
      <c r="V8" s="184" t="n">
        <v>16.2</v>
      </c>
      <c r="W8" s="184" t="n">
        <v>45.7</v>
      </c>
      <c r="X8" s="184" t="n">
        <v>26.8</v>
      </c>
      <c r="Y8" s="184" t="n">
        <v>19.3</v>
      </c>
      <c r="Z8" s="184" t="n">
        <v>21</v>
      </c>
      <c r="AA8" s="184" t="n">
        <v>17.9</v>
      </c>
      <c r="AB8" s="185" t="n">
        <v>12.5</v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4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 t="n">
        <v>96.40000000000001</v>
      </c>
      <c r="Q9" s="51" t="n">
        <v>403.7</v>
      </c>
      <c r="R9" s="51" t="n">
        <v>279.5</v>
      </c>
      <c r="S9" s="51" t="n">
        <v>148</v>
      </c>
      <c r="T9" s="51" t="n">
        <v>110.8</v>
      </c>
      <c r="U9" s="51" t="n">
        <v>56.4</v>
      </c>
      <c r="V9" s="51" t="n">
        <v>105.2</v>
      </c>
      <c r="W9" s="51" t="n">
        <v>150.7</v>
      </c>
      <c r="X9" s="51" t="n">
        <v>184.7</v>
      </c>
      <c r="Y9" s="51" t="n">
        <v>148.2</v>
      </c>
      <c r="Z9" s="51" t="n">
        <v>89.7</v>
      </c>
      <c r="AA9" s="51" t="n">
        <v>213.6</v>
      </c>
      <c r="AB9" s="51" t="n">
        <v>80.8</v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4" t="n"/>
      <c r="B10" s="231" t="inlineStr">
        <is>
          <t>SKU-D208A1F4</t>
        </is>
      </c>
      <c r="C10" s="231" t="inlineStr"/>
      <c r="D10" s="231" t="n">
        <v>9</v>
      </c>
      <c r="E10" s="231" t="inlineStr"/>
      <c r="F10" s="231" t="inlineStr"/>
      <c r="G10" s="231" t="inlineStr"/>
      <c r="H10" s="231" t="inlineStr"/>
      <c r="I10" s="231" t="inlineStr"/>
      <c r="J10" s="27" t="inlineStr"/>
      <c r="K10" s="27" t="inlineStr"/>
      <c r="L10" s="231" t="n">
        <v>100</v>
      </c>
      <c r="M10" s="19" t="inlineStr">
        <is>
          <t>Product-DE70A72E</t>
        </is>
      </c>
      <c r="N10" s="231" t="n">
        <v>3</v>
      </c>
      <c r="O10" s="181">
        <f>SUM(P10:AB10)</f>
        <v/>
      </c>
      <c r="P10" s="182" t="n">
        <v>469</v>
      </c>
      <c r="Q10" s="182" t="n">
        <v>457</v>
      </c>
      <c r="R10" s="182" t="n">
        <v>494</v>
      </c>
      <c r="S10" s="182" t="n">
        <v>266</v>
      </c>
      <c r="T10" s="182" t="n">
        <v>307</v>
      </c>
      <c r="U10" s="182" t="n">
        <v>304</v>
      </c>
      <c r="V10" s="182" t="n">
        <v>228</v>
      </c>
      <c r="W10" s="182" t="n">
        <v>717</v>
      </c>
      <c r="X10" s="182" t="n">
        <v>539</v>
      </c>
      <c r="Y10" s="182" t="n">
        <v>361</v>
      </c>
      <c r="Z10" s="182" t="n">
        <v>365</v>
      </c>
      <c r="AA10" s="182" t="n">
        <v>353</v>
      </c>
      <c r="AB10" s="182" t="n">
        <v>310</v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4" t="n"/>
      <c r="B11" s="231" t="inlineStr">
        <is>
          <t>SKU-07FCDFBC</t>
        </is>
      </c>
      <c r="C11" s="231" t="inlineStr"/>
      <c r="D11" s="231" t="n">
        <v>10</v>
      </c>
      <c r="E11" s="231" t="inlineStr"/>
      <c r="F11" s="231" t="inlineStr"/>
      <c r="G11" s="231" t="inlineStr">
        <is>
          <t>是</t>
        </is>
      </c>
      <c r="H11" s="231" t="inlineStr"/>
      <c r="I11" s="231" t="inlineStr">
        <is>
          <t>是</t>
        </is>
      </c>
      <c r="J11" s="27" t="inlineStr"/>
      <c r="K11" s="27" t="inlineStr"/>
      <c r="L11" s="231" t="n">
        <v>100</v>
      </c>
      <c r="M11" s="43" t="inlineStr">
        <is>
          <t>Product-7A1FEE2B</t>
        </is>
      </c>
      <c r="N11" s="231" t="n">
        <v>1</v>
      </c>
      <c r="O11" s="181">
        <f>SUM(P11:AB11)</f>
        <v/>
      </c>
      <c r="P11" s="182" t="n">
        <v>0</v>
      </c>
      <c r="Q11" s="182" t="n">
        <v>0</v>
      </c>
      <c r="R11" s="182" t="n">
        <v>0</v>
      </c>
      <c r="S11" s="182" t="n">
        <v>0</v>
      </c>
      <c r="T11" s="182" t="n">
        <v>0</v>
      </c>
      <c r="U11" s="182" t="n">
        <v>0</v>
      </c>
      <c r="V11" s="182" t="n">
        <v>0</v>
      </c>
      <c r="W11" s="182" t="n">
        <v>0</v>
      </c>
      <c r="X11" s="182" t="n">
        <v>0</v>
      </c>
      <c r="Y11" s="182" t="n">
        <v>0</v>
      </c>
      <c r="Z11" s="182" t="n">
        <v>0</v>
      </c>
      <c r="AA11" s="182" t="n">
        <v>0</v>
      </c>
      <c r="AB11" s="182" t="n">
        <v>0</v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4" t="n"/>
      <c r="B12" s="231" t="inlineStr">
        <is>
          <t>SKU-F24DC4CC</t>
        </is>
      </c>
      <c r="C12" s="231" t="inlineStr"/>
      <c r="D12" s="231" t="n">
        <v>10</v>
      </c>
      <c r="E12" s="231" t="inlineStr"/>
      <c r="F12" s="231" t="inlineStr"/>
      <c r="G12" s="231" t="inlineStr"/>
      <c r="H12" s="231" t="inlineStr"/>
      <c r="I12" s="231" t="inlineStr"/>
      <c r="J12" s="27" t="inlineStr"/>
      <c r="K12" s="27" t="inlineStr"/>
      <c r="L12" s="231" t="n">
        <v>100</v>
      </c>
      <c r="M12" s="43" t="inlineStr">
        <is>
          <t>Product-3F617BC6</t>
        </is>
      </c>
      <c r="N12" s="231" t="n">
        <v>1</v>
      </c>
      <c r="O12" s="181">
        <f>SUM(P12:AB12)</f>
        <v/>
      </c>
      <c r="P12" s="182" t="n">
        <v>0</v>
      </c>
      <c r="Q12" s="182" t="n">
        <v>0</v>
      </c>
      <c r="R12" s="182" t="n">
        <v>0</v>
      </c>
      <c r="S12" s="182" t="n">
        <v>0</v>
      </c>
      <c r="T12" s="182" t="n">
        <v>0</v>
      </c>
      <c r="U12" s="182" t="n">
        <v>0</v>
      </c>
      <c r="V12" s="182" t="n">
        <v>0</v>
      </c>
      <c r="W12" s="182" t="n">
        <v>0</v>
      </c>
      <c r="X12" s="182" t="n">
        <v>0</v>
      </c>
      <c r="Y12" s="182" t="n">
        <v>0</v>
      </c>
      <c r="Z12" s="182" t="n">
        <v>0</v>
      </c>
      <c r="AA12" s="182" t="n">
        <v>0</v>
      </c>
      <c r="AB12" s="182" t="n">
        <v>0</v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4" t="n"/>
      <c r="B13" s="231" t="inlineStr">
        <is>
          <t>SKU-D943D84F</t>
        </is>
      </c>
      <c r="C13" s="231" t="inlineStr"/>
      <c r="D13" s="231" t="n">
        <v>10</v>
      </c>
      <c r="E13" s="231" t="inlineStr"/>
      <c r="F13" s="231" t="inlineStr"/>
      <c r="G13" s="231" t="inlineStr"/>
      <c r="H13" s="231" t="inlineStr"/>
      <c r="I13" s="231" t="inlineStr"/>
      <c r="J13" s="27" t="inlineStr"/>
      <c r="K13" s="27" t="inlineStr"/>
      <c r="L13" s="231" t="n">
        <v>100</v>
      </c>
      <c r="M13" s="44" t="inlineStr">
        <is>
          <t>Product-9C089579</t>
        </is>
      </c>
      <c r="N13" s="231" t="n">
        <v>1</v>
      </c>
      <c r="O13" s="181">
        <f>SUM(P13:AB13)</f>
        <v/>
      </c>
      <c r="P13" s="182" t="n">
        <v>0</v>
      </c>
      <c r="Q13" s="182" t="n">
        <v>0</v>
      </c>
      <c r="R13" s="182" t="n">
        <v>0</v>
      </c>
      <c r="S13" s="182" t="n">
        <v>0</v>
      </c>
      <c r="T13" s="182" t="n">
        <v>0</v>
      </c>
      <c r="U13" s="182" t="n">
        <v>0</v>
      </c>
      <c r="V13" s="182" t="n">
        <v>0</v>
      </c>
      <c r="W13" s="182" t="n">
        <v>0</v>
      </c>
      <c r="X13" s="182" t="n">
        <v>0</v>
      </c>
      <c r="Y13" s="182" t="n">
        <v>0</v>
      </c>
      <c r="Z13" s="182" t="n">
        <v>0</v>
      </c>
      <c r="AA13" s="182" t="n">
        <v>0</v>
      </c>
      <c r="AB13" s="182" t="n">
        <v>0</v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4" t="n"/>
      <c r="B14" s="231" t="inlineStr">
        <is>
          <t>SKU-6D9E63BD</t>
        </is>
      </c>
      <c r="C14" s="231" t="inlineStr"/>
      <c r="D14" s="231" t="n">
        <v>8</v>
      </c>
      <c r="E14" s="231" t="inlineStr"/>
      <c r="F14" s="231" t="inlineStr">
        <is>
          <t>是</t>
        </is>
      </c>
      <c r="G14" s="231" t="inlineStr"/>
      <c r="H14" s="231" t="inlineStr"/>
      <c r="I14" s="231" t="inlineStr">
        <is>
          <t>是</t>
        </is>
      </c>
      <c r="J14" s="27" t="inlineStr"/>
      <c r="K14" s="27" t="inlineStr"/>
      <c r="L14" s="231" t="n">
        <v>100</v>
      </c>
      <c r="M14" s="19" t="inlineStr">
        <is>
          <t>Product-BC499EF2</t>
        </is>
      </c>
      <c r="N14" s="231" t="n">
        <v>1</v>
      </c>
      <c r="O14" s="181">
        <f>SUM(P14:AB14)</f>
        <v/>
      </c>
      <c r="P14" s="182" t="n">
        <v>36.5</v>
      </c>
      <c r="Q14" s="182" t="n">
        <v>43.4</v>
      </c>
      <c r="R14" s="182" t="n">
        <v>42.6</v>
      </c>
      <c r="S14" s="182" t="n">
        <v>20.7</v>
      </c>
      <c r="T14" s="182" t="n">
        <v>25.4</v>
      </c>
      <c r="U14" s="182" t="n">
        <v>20.8</v>
      </c>
      <c r="V14" s="182" t="n">
        <v>20.3</v>
      </c>
      <c r="W14" s="182" t="n">
        <v>57.8</v>
      </c>
      <c r="X14" s="182" t="n">
        <v>33.7</v>
      </c>
      <c r="Y14" s="182" t="n">
        <v>24.2</v>
      </c>
      <c r="Z14" s="182" t="n">
        <v>26.4</v>
      </c>
      <c r="AA14" s="182" t="n">
        <v>22.5</v>
      </c>
      <c r="AB14" s="182" t="n">
        <v>15.7</v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4" t="n"/>
      <c r="B15" s="231" t="inlineStr">
        <is>
          <t>SKU-01FF2431</t>
        </is>
      </c>
      <c r="C15" s="231" t="inlineStr"/>
      <c r="D15" s="231" t="n">
        <v>8</v>
      </c>
      <c r="E15" s="231" t="inlineStr"/>
      <c r="F15" s="231" t="inlineStr">
        <is>
          <t>是</t>
        </is>
      </c>
      <c r="G15" s="231" t="inlineStr"/>
      <c r="H15" s="231" t="inlineStr"/>
      <c r="I15" s="231" t="inlineStr">
        <is>
          <t>是</t>
        </is>
      </c>
      <c r="J15" s="27" t="inlineStr"/>
      <c r="K15" s="27" t="inlineStr"/>
      <c r="L15" s="231" t="n">
        <v>100</v>
      </c>
      <c r="M15" s="19" t="inlineStr">
        <is>
          <t>Product-C54A353F</t>
        </is>
      </c>
      <c r="N15" s="231" t="n">
        <v>1</v>
      </c>
      <c r="O15" s="181">
        <f>SUM(P15:AB15)</f>
        <v/>
      </c>
      <c r="P15" s="182" t="n">
        <v>61.8</v>
      </c>
      <c r="Q15" s="182" t="n">
        <v>73.40000000000001</v>
      </c>
      <c r="R15" s="182" t="n">
        <v>72.09999999999999</v>
      </c>
      <c r="S15" s="182" t="n">
        <v>35.1</v>
      </c>
      <c r="T15" s="182" t="n">
        <v>43</v>
      </c>
      <c r="U15" s="182" t="n">
        <v>35.1</v>
      </c>
      <c r="V15" s="182" t="n">
        <v>34.4</v>
      </c>
      <c r="W15" s="182" t="n">
        <v>97.5</v>
      </c>
      <c r="X15" s="182" t="n">
        <v>57.1</v>
      </c>
      <c r="Y15" s="182" t="n">
        <v>41</v>
      </c>
      <c r="Z15" s="182" t="n">
        <v>44.7</v>
      </c>
      <c r="AA15" s="182" t="n">
        <v>38.2</v>
      </c>
      <c r="AB15" s="182" t="n">
        <v>26.6</v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4" t="n"/>
      <c r="B16" s="231" t="inlineStr">
        <is>
          <t>SKU-8916FAEC</t>
        </is>
      </c>
      <c r="C16" s="231" t="inlineStr"/>
      <c r="D16" s="231" t="n">
        <v>8</v>
      </c>
      <c r="E16" s="231" t="inlineStr"/>
      <c r="F16" s="231" t="inlineStr">
        <is>
          <t>是</t>
        </is>
      </c>
      <c r="G16" s="231" t="inlineStr"/>
      <c r="H16" s="231" t="inlineStr"/>
      <c r="I16" s="231" t="inlineStr">
        <is>
          <t>是</t>
        </is>
      </c>
      <c r="J16" s="27" t="inlineStr">
        <is>
          <t>共</t>
        </is>
      </c>
      <c r="K16" s="27" t="inlineStr"/>
      <c r="L16" s="231" t="n">
        <v>100</v>
      </c>
      <c r="M16" s="19" t="inlineStr">
        <is>
          <t>Product-558A622A</t>
        </is>
      </c>
      <c r="N16" s="231" t="n">
        <v>1</v>
      </c>
      <c r="O16" s="181">
        <f>SUM(P16:AB16)</f>
        <v/>
      </c>
      <c r="P16" s="182" t="n">
        <v>374.5</v>
      </c>
      <c r="Q16" s="182" t="n">
        <v>444.9</v>
      </c>
      <c r="R16" s="182" t="n">
        <v>436.9</v>
      </c>
      <c r="S16" s="182" t="n">
        <v>212.7</v>
      </c>
      <c r="T16" s="182" t="n">
        <v>256.9</v>
      </c>
      <c r="U16" s="182" t="n">
        <v>212.9</v>
      </c>
      <c r="V16" s="182" t="n">
        <v>208.5</v>
      </c>
      <c r="W16" s="182" t="n">
        <v>591.1</v>
      </c>
      <c r="X16" s="182" t="n">
        <v>345.8</v>
      </c>
      <c r="Y16" s="182" t="n">
        <v>248.6</v>
      </c>
      <c r="Z16" s="182" t="n">
        <v>271.2</v>
      </c>
      <c r="AA16" s="182" t="n">
        <v>231.3</v>
      </c>
      <c r="AB16" s="182" t="n">
        <v>160.9</v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4" t="n"/>
      <c r="B17" s="231" t="inlineStr">
        <is>
          <t>SKU-13F48E9F</t>
        </is>
      </c>
      <c r="C17" s="231" t="inlineStr"/>
      <c r="D17" s="231" t="n">
        <v>8</v>
      </c>
      <c r="E17" s="231" t="inlineStr"/>
      <c r="F17" s="231" t="inlineStr">
        <is>
          <t>是</t>
        </is>
      </c>
      <c r="G17" s="231" t="inlineStr"/>
      <c r="H17" s="231" t="inlineStr"/>
      <c r="I17" s="231" t="inlineStr">
        <is>
          <t>是</t>
        </is>
      </c>
      <c r="J17" s="27" t="inlineStr"/>
      <c r="K17" s="27" t="inlineStr"/>
      <c r="L17" s="231" t="n">
        <v>100</v>
      </c>
      <c r="M17" s="19" t="inlineStr">
        <is>
          <t>Product-9B1626A5</t>
        </is>
      </c>
      <c r="N17" s="231" t="n">
        <v>1</v>
      </c>
      <c r="O17" s="181">
        <f>SUM(P17:AB17)</f>
        <v/>
      </c>
      <c r="P17" s="182" t="n">
        <v>56.2</v>
      </c>
      <c r="Q17" s="182" t="n">
        <v>66.7</v>
      </c>
      <c r="R17" s="182" t="n">
        <v>65.5</v>
      </c>
      <c r="S17" s="182" t="n">
        <v>31.9</v>
      </c>
      <c r="T17" s="182" t="n">
        <v>39.1</v>
      </c>
      <c r="U17" s="182" t="n">
        <v>31.9</v>
      </c>
      <c r="V17" s="182" t="n">
        <v>31.3</v>
      </c>
      <c r="W17" s="182" t="n">
        <v>88.7</v>
      </c>
      <c r="X17" s="182" t="n">
        <v>51.9</v>
      </c>
      <c r="Y17" s="182" t="n">
        <v>37.3</v>
      </c>
      <c r="Z17" s="182" t="n">
        <v>40.7</v>
      </c>
      <c r="AA17" s="182" t="n">
        <v>34.7</v>
      </c>
      <c r="AB17" s="182" t="n">
        <v>24.1</v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4" t="n"/>
      <c r="B18" s="231" t="inlineStr">
        <is>
          <t>SKU-84735B62</t>
        </is>
      </c>
      <c r="C18" s="231" t="inlineStr">
        <is>
          <t>是</t>
        </is>
      </c>
      <c r="D18" s="231" t="n">
        <v>10</v>
      </c>
      <c r="E18" s="231" t="inlineStr"/>
      <c r="F18" s="231" t="inlineStr"/>
      <c r="G18" s="231" t="inlineStr"/>
      <c r="H18" s="231" t="inlineStr"/>
      <c r="I18" s="231" t="inlineStr"/>
      <c r="J18" s="27" t="inlineStr"/>
      <c r="K18" s="27" t="inlineStr"/>
      <c r="L18" s="231" t="n">
        <v>100</v>
      </c>
      <c r="M18" s="19" t="inlineStr">
        <is>
          <t>Product-61AE19F7</t>
        </is>
      </c>
      <c r="N18" s="231" t="n">
        <v>3</v>
      </c>
      <c r="O18" s="181">
        <f>SUM(P18:AB18)</f>
        <v/>
      </c>
      <c r="P18" s="182" t="n">
        <v>2176</v>
      </c>
      <c r="Q18" s="182" t="n">
        <v>2428</v>
      </c>
      <c r="R18" s="182" t="n">
        <v>2624</v>
      </c>
      <c r="S18" s="182" t="n">
        <v>1122</v>
      </c>
      <c r="T18" s="182" t="n">
        <v>905</v>
      </c>
      <c r="U18" s="182" t="n">
        <v>830</v>
      </c>
      <c r="V18" s="182" t="n">
        <v>760</v>
      </c>
      <c r="W18" s="182" t="n">
        <v>2782</v>
      </c>
      <c r="X18" s="182" t="n">
        <v>680</v>
      </c>
      <c r="Y18" s="182" t="n">
        <v>826</v>
      </c>
      <c r="Z18" s="182" t="n">
        <v>1009</v>
      </c>
      <c r="AA18" s="182" t="n">
        <v>564</v>
      </c>
      <c r="AB18" s="182" t="n">
        <v>674</v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4" t="n"/>
      <c r="B19" s="231" t="inlineStr">
        <is>
          <t>SKU-9356910A</t>
        </is>
      </c>
      <c r="C19" s="231" t="inlineStr">
        <is>
          <t>是</t>
        </is>
      </c>
      <c r="D19" s="231" t="n">
        <v>11</v>
      </c>
      <c r="E19" s="231" t="inlineStr"/>
      <c r="F19" s="231" t="inlineStr"/>
      <c r="G19" s="231" t="inlineStr"/>
      <c r="H19" s="231" t="inlineStr"/>
      <c r="I19" s="231" t="inlineStr"/>
      <c r="J19" s="27" t="inlineStr"/>
      <c r="K19" s="27" t="inlineStr"/>
      <c r="L19" s="231" t="n">
        <v>100</v>
      </c>
      <c r="M19" s="19" t="inlineStr">
        <is>
          <t>Product-1433AC24</t>
        </is>
      </c>
      <c r="N19" s="231" t="n">
        <v>2</v>
      </c>
      <c r="O19" s="181">
        <f>SUM(P19:AB19)</f>
        <v/>
      </c>
      <c r="P19" s="182" t="n">
        <v>337</v>
      </c>
      <c r="Q19" s="182" t="n">
        <v>316</v>
      </c>
      <c r="R19" s="182" t="n">
        <v>316</v>
      </c>
      <c r="S19" s="182" t="n">
        <v>148</v>
      </c>
      <c r="T19" s="182" t="n">
        <v>139</v>
      </c>
      <c r="U19" s="182" t="n">
        <v>97</v>
      </c>
      <c r="V19" s="182" t="n">
        <v>112</v>
      </c>
      <c r="W19" s="182" t="n">
        <v>272</v>
      </c>
      <c r="X19" s="182" t="n">
        <v>43</v>
      </c>
      <c r="Y19" s="182" t="n">
        <v>15</v>
      </c>
      <c r="Z19" s="182" t="n">
        <v>119</v>
      </c>
      <c r="AA19" s="182" t="n">
        <v>20</v>
      </c>
      <c r="AB19" s="182" t="n">
        <v>66</v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4" t="n"/>
      <c r="B20" s="231" t="inlineStr">
        <is>
          <t>SKU-A1C9F3C5</t>
        </is>
      </c>
      <c r="C20" s="231" t="inlineStr">
        <is>
          <t>是</t>
        </is>
      </c>
      <c r="D20" s="231" t="n">
        <v>10</v>
      </c>
      <c r="E20" s="231" t="inlineStr"/>
      <c r="F20" s="231" t="inlineStr"/>
      <c r="G20" s="231" t="inlineStr"/>
      <c r="H20" s="231" t="inlineStr"/>
      <c r="I20" s="231" t="inlineStr"/>
      <c r="J20" s="27" t="inlineStr">
        <is>
          <t>共</t>
        </is>
      </c>
      <c r="K20" s="27" t="inlineStr"/>
      <c r="L20" s="231" t="n">
        <v>100</v>
      </c>
      <c r="M20" s="19" t="inlineStr">
        <is>
          <t>Product-A7F669A5</t>
        </is>
      </c>
      <c r="N20" s="231" t="n">
        <v>2</v>
      </c>
      <c r="O20" s="181">
        <f>SUM(P20:AB20)</f>
        <v/>
      </c>
      <c r="P20" s="182" t="n">
        <v>314</v>
      </c>
      <c r="Q20" s="182" t="n">
        <v>328</v>
      </c>
      <c r="R20" s="182" t="n">
        <v>383</v>
      </c>
      <c r="S20" s="182" t="n">
        <v>58</v>
      </c>
      <c r="T20" s="182" t="n">
        <v>161</v>
      </c>
      <c r="U20" s="182" t="n">
        <v>68</v>
      </c>
      <c r="V20" s="182" t="n">
        <v>403</v>
      </c>
      <c r="W20" s="182" t="n">
        <v>704</v>
      </c>
      <c r="X20" s="182" t="n">
        <v>27</v>
      </c>
      <c r="Y20" s="182" t="n">
        <v>86</v>
      </c>
      <c r="Z20" s="182" t="n">
        <v>124</v>
      </c>
      <c r="AA20" s="182" t="n">
        <v>133</v>
      </c>
      <c r="AB20" s="182" t="n">
        <v>131</v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4" t="n"/>
      <c r="B21" s="231" t="inlineStr">
        <is>
          <t>SKU-9FED3CD7</t>
        </is>
      </c>
      <c r="C21" s="231" t="inlineStr">
        <is>
          <t>是</t>
        </is>
      </c>
      <c r="D21" s="231" t="n">
        <v>6</v>
      </c>
      <c r="E21" s="231" t="inlineStr">
        <is>
          <t>是</t>
        </is>
      </c>
      <c r="F21" s="231" t="inlineStr"/>
      <c r="G21" s="231" t="inlineStr"/>
      <c r="H21" s="231" t="inlineStr"/>
      <c r="I21" s="231" t="inlineStr">
        <is>
          <t>是</t>
        </is>
      </c>
      <c r="J21" s="27" t="inlineStr"/>
      <c r="K21" s="27" t="inlineStr"/>
      <c r="L21" s="231" t="n">
        <v>100</v>
      </c>
      <c r="M21" s="44" t="inlineStr">
        <is>
          <t>Product-80F515FA</t>
        </is>
      </c>
      <c r="N21" s="231" t="n">
        <v>1</v>
      </c>
      <c r="O21" s="181">
        <f>SUM(P21:AB21)</f>
        <v/>
      </c>
      <c r="P21" s="182" t="n">
        <v>0</v>
      </c>
      <c r="Q21" s="182" t="n">
        <v>0</v>
      </c>
      <c r="R21" s="182" t="n">
        <v>0</v>
      </c>
      <c r="S21" s="182" t="n">
        <v>0</v>
      </c>
      <c r="T21" s="182" t="n">
        <v>0</v>
      </c>
      <c r="U21" s="182" t="n">
        <v>0</v>
      </c>
      <c r="V21" s="182" t="n">
        <v>0</v>
      </c>
      <c r="W21" s="182" t="n">
        <v>0</v>
      </c>
      <c r="X21" s="182" t="n">
        <v>0</v>
      </c>
      <c r="Y21" s="182" t="n">
        <v>0</v>
      </c>
      <c r="Z21" s="182" t="n">
        <v>0</v>
      </c>
      <c r="AA21" s="182" t="n">
        <v>0</v>
      </c>
      <c r="AB21" s="182" t="n">
        <v>0</v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4" t="n"/>
      <c r="B22" s="231" t="inlineStr">
        <is>
          <t>SKU-D2D4FD85</t>
        </is>
      </c>
      <c r="C22" s="231" t="inlineStr">
        <is>
          <t>是</t>
        </is>
      </c>
      <c r="D22" s="231" t="n">
        <v>8</v>
      </c>
      <c r="E22" s="231" t="inlineStr">
        <is>
          <t>是</t>
        </is>
      </c>
      <c r="F22" s="231" t="inlineStr"/>
      <c r="G22" s="231" t="inlineStr"/>
      <c r="H22" s="231" t="inlineStr"/>
      <c r="I22" s="231" t="inlineStr">
        <is>
          <t>是</t>
        </is>
      </c>
      <c r="J22" s="27" t="inlineStr"/>
      <c r="K22" s="27" t="inlineStr"/>
      <c r="L22" s="231" t="n">
        <v>100</v>
      </c>
      <c r="M22" s="33" t="inlineStr">
        <is>
          <t>Product-D1D130D9</t>
        </is>
      </c>
      <c r="N22" s="231" t="n">
        <v>1</v>
      </c>
      <c r="O22" s="181">
        <f>SUM(P22:AB22)</f>
        <v/>
      </c>
      <c r="P22" s="182" t="n">
        <v>0</v>
      </c>
      <c r="Q22" s="182" t="n">
        <v>0</v>
      </c>
      <c r="R22" s="182" t="n">
        <v>0</v>
      </c>
      <c r="S22" s="182" t="n">
        <v>0</v>
      </c>
      <c r="T22" s="182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4" t="n"/>
      <c r="B23" s="231" t="inlineStr">
        <is>
          <t>SKU-2324D87D</t>
        </is>
      </c>
      <c r="C23" s="231" t="inlineStr">
        <is>
          <t>是</t>
        </is>
      </c>
      <c r="D23" s="231" t="n">
        <v>9</v>
      </c>
      <c r="E23" s="231" t="inlineStr"/>
      <c r="F23" s="231" t="inlineStr">
        <is>
          <t>是</t>
        </is>
      </c>
      <c r="G23" s="231" t="inlineStr"/>
      <c r="H23" s="231" t="inlineStr"/>
      <c r="I23" s="231" t="inlineStr">
        <is>
          <t>是</t>
        </is>
      </c>
      <c r="J23" s="27" t="inlineStr"/>
      <c r="K23" s="27" t="inlineStr"/>
      <c r="L23" s="231" t="n">
        <v>100</v>
      </c>
      <c r="M23" s="19" t="inlineStr">
        <is>
          <t>Product-142947AA</t>
        </is>
      </c>
      <c r="N23" s="231" t="n">
        <v>1</v>
      </c>
      <c r="O23" s="181">
        <f>SUM(P23:AB23)</f>
        <v/>
      </c>
      <c r="P23" s="182" t="n">
        <v>19.2</v>
      </c>
      <c r="Q23" s="182" t="n">
        <v>22.8</v>
      </c>
      <c r="R23" s="182" t="n">
        <v>22.4</v>
      </c>
      <c r="S23" s="182" t="n">
        <v>10.9</v>
      </c>
      <c r="T23" s="182" t="n">
        <v>13.4</v>
      </c>
      <c r="U23" s="182" t="n">
        <v>10.9</v>
      </c>
      <c r="V23" s="182" t="n">
        <v>10.7</v>
      </c>
      <c r="W23" s="182" t="n">
        <v>30.3</v>
      </c>
      <c r="X23" s="182" t="n">
        <v>17.7</v>
      </c>
      <c r="Y23" s="182" t="n">
        <v>12.7</v>
      </c>
      <c r="Z23" s="182" t="n">
        <v>13.9</v>
      </c>
      <c r="AA23" s="182" t="n">
        <v>11.9</v>
      </c>
      <c r="AB23" s="182" t="n">
        <v>8.199999999999999</v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4" t="n"/>
      <c r="B24" s="231" t="inlineStr">
        <is>
          <t>SKU-D3A8D0D1</t>
        </is>
      </c>
      <c r="C24" s="231" t="inlineStr">
        <is>
          <t>是</t>
        </is>
      </c>
      <c r="D24" s="231" t="n">
        <v>9</v>
      </c>
      <c r="E24" s="231" t="inlineStr"/>
      <c r="F24" s="231" t="inlineStr">
        <is>
          <t>是</t>
        </is>
      </c>
      <c r="G24" s="231" t="inlineStr"/>
      <c r="H24" s="231" t="inlineStr"/>
      <c r="I24" s="231" t="inlineStr">
        <is>
          <t>是</t>
        </is>
      </c>
      <c r="J24" s="27" t="inlineStr"/>
      <c r="K24" s="27" t="inlineStr"/>
      <c r="L24" s="231" t="n">
        <v>100</v>
      </c>
      <c r="M24" s="19" t="inlineStr">
        <is>
          <t>Product-B80128BB</t>
        </is>
      </c>
      <c r="N24" s="231" t="n">
        <v>1</v>
      </c>
      <c r="O24" s="181">
        <f>SUM(P24:AB24)</f>
        <v/>
      </c>
      <c r="P24" s="182" t="n">
        <v>21.6</v>
      </c>
      <c r="Q24" s="182" t="n">
        <v>25.6</v>
      </c>
      <c r="R24" s="182" t="n">
        <v>25.2</v>
      </c>
      <c r="S24" s="182" t="n">
        <v>12.3</v>
      </c>
      <c r="T24" s="182" t="n">
        <v>15</v>
      </c>
      <c r="U24" s="182" t="n">
        <v>12.3</v>
      </c>
      <c r="V24" s="182" t="n">
        <v>12</v>
      </c>
      <c r="W24" s="182" t="n">
        <v>33.7</v>
      </c>
      <c r="X24" s="182" t="n">
        <v>19.9</v>
      </c>
      <c r="Y24" s="182" t="n">
        <v>14.3</v>
      </c>
      <c r="Z24" s="182" t="n">
        <v>15.6</v>
      </c>
      <c r="AA24" s="182" t="n">
        <v>13.3</v>
      </c>
      <c r="AB24" s="182" t="n">
        <v>9.199999999999999</v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4" t="n"/>
      <c r="B25" s="231" t="inlineStr">
        <is>
          <t>SKU-55B49425</t>
        </is>
      </c>
      <c r="C25" s="231" t="inlineStr">
        <is>
          <t>是</t>
        </is>
      </c>
      <c r="D25" s="231" t="n">
        <v>11</v>
      </c>
      <c r="E25" s="231" t="inlineStr"/>
      <c r="F25" s="231" t="inlineStr"/>
      <c r="G25" s="231" t="inlineStr"/>
      <c r="H25" s="231" t="inlineStr"/>
      <c r="I25" s="231" t="inlineStr"/>
      <c r="J25" s="27" t="inlineStr">
        <is>
          <t>共</t>
        </is>
      </c>
      <c r="K25" s="27" t="inlineStr"/>
      <c r="L25" s="231" t="n">
        <v>100</v>
      </c>
      <c r="M25" s="19" t="inlineStr">
        <is>
          <t>Product-2E005B6F</t>
        </is>
      </c>
      <c r="N25" s="231" t="n">
        <v>1</v>
      </c>
      <c r="O25" s="181">
        <f>SUM(P25:AB25)</f>
        <v/>
      </c>
      <c r="P25" s="182" t="n">
        <v>800</v>
      </c>
      <c r="Q25" s="182" t="n">
        <v>1024</v>
      </c>
      <c r="R25" s="182" t="n">
        <v>1005</v>
      </c>
      <c r="S25" s="182" t="n">
        <v>480</v>
      </c>
      <c r="T25" s="182" t="n">
        <v>588</v>
      </c>
      <c r="U25" s="182" t="n">
        <v>451</v>
      </c>
      <c r="V25" s="182" t="n">
        <v>471</v>
      </c>
      <c r="W25" s="182" t="n">
        <v>1276</v>
      </c>
      <c r="X25" s="182" t="n">
        <v>750</v>
      </c>
      <c r="Y25" s="182" t="n">
        <v>561</v>
      </c>
      <c r="Z25" s="182" t="n">
        <v>565</v>
      </c>
      <c r="AA25" s="182" t="n">
        <v>522</v>
      </c>
      <c r="AB25" s="182" t="n">
        <v>298</v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4" t="n"/>
      <c r="B26" s="231" t="inlineStr">
        <is>
          <t>SKU-7E7C0C23</t>
        </is>
      </c>
      <c r="C26" s="231" t="inlineStr">
        <is>
          <t>是</t>
        </is>
      </c>
      <c r="D26" s="231" t="n">
        <v>11</v>
      </c>
      <c r="E26" s="231" t="inlineStr"/>
      <c r="F26" s="231" t="inlineStr"/>
      <c r="G26" s="231" t="inlineStr"/>
      <c r="H26" s="231" t="inlineStr"/>
      <c r="I26" s="231" t="inlineStr"/>
      <c r="J26" s="27" t="inlineStr">
        <is>
          <t>共</t>
        </is>
      </c>
      <c r="K26" s="27" t="inlineStr"/>
      <c r="L26" s="231" t="n">
        <v>100</v>
      </c>
      <c r="M26" s="19" t="inlineStr">
        <is>
          <t>Product-8C5BA899</t>
        </is>
      </c>
      <c r="N26" s="231" t="n">
        <v>1</v>
      </c>
      <c r="O26" s="181">
        <f>SUM(P26:AB26)</f>
        <v/>
      </c>
      <c r="P26" s="182" t="n">
        <v>287.4</v>
      </c>
      <c r="Q26" s="182" t="n">
        <v>362.8</v>
      </c>
      <c r="R26" s="182" t="n">
        <v>334.8</v>
      </c>
      <c r="S26" s="182" t="n">
        <v>160.3</v>
      </c>
      <c r="T26" s="182" t="n">
        <v>196.3</v>
      </c>
      <c r="U26" s="182" t="n">
        <v>160.3</v>
      </c>
      <c r="V26" s="182" t="n">
        <v>156.5</v>
      </c>
      <c r="W26" s="182" t="n">
        <v>453.4</v>
      </c>
      <c r="X26" s="182" t="n">
        <v>259.9</v>
      </c>
      <c r="Y26" s="182" t="n">
        <v>186.8</v>
      </c>
      <c r="Z26" s="182" t="n">
        <v>203.9</v>
      </c>
      <c r="AA26" s="182" t="n">
        <v>173.6</v>
      </c>
      <c r="AB26" s="182" t="n">
        <v>100</v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4" t="n"/>
      <c r="B27" s="231" t="inlineStr">
        <is>
          <t>SKU-581048FF</t>
        </is>
      </c>
      <c r="C27" s="231" t="inlineStr">
        <is>
          <t>是</t>
        </is>
      </c>
      <c r="D27" s="231" t="n">
        <v>11</v>
      </c>
      <c r="E27" s="231" t="inlineStr"/>
      <c r="F27" s="231" t="inlineStr"/>
      <c r="G27" s="231" t="inlineStr"/>
      <c r="H27" s="231" t="inlineStr"/>
      <c r="I27" s="231" t="inlineStr"/>
      <c r="J27" s="27" t="inlineStr"/>
      <c r="K27" s="27" t="inlineStr"/>
      <c r="L27" s="231" t="n">
        <v>100</v>
      </c>
      <c r="M27" s="19" t="inlineStr">
        <is>
          <t>Product-9C9F0DD0</t>
        </is>
      </c>
      <c r="N27" s="231" t="n">
        <v>1</v>
      </c>
      <c r="O27" s="181">
        <f>SUM(P27:AB27)</f>
        <v/>
      </c>
      <c r="P27" s="182" t="n">
        <v>14.4</v>
      </c>
      <c r="Q27" s="182" t="n">
        <v>17</v>
      </c>
      <c r="R27" s="182" t="n">
        <v>16.7</v>
      </c>
      <c r="S27" s="182" t="n">
        <v>8.199999999999999</v>
      </c>
      <c r="T27" s="182" t="n">
        <v>10</v>
      </c>
      <c r="U27" s="182" t="n">
        <v>8.199999999999999</v>
      </c>
      <c r="V27" s="182" t="n">
        <v>7.9</v>
      </c>
      <c r="W27" s="182" t="n">
        <v>22.4</v>
      </c>
      <c r="X27" s="182" t="n">
        <v>13.2</v>
      </c>
      <c r="Y27" s="182" t="n">
        <v>9.5</v>
      </c>
      <c r="Z27" s="182" t="n">
        <v>10.4</v>
      </c>
      <c r="AA27" s="182" t="n">
        <v>8.9</v>
      </c>
      <c r="AB27" s="182" t="n">
        <v>6.2</v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4" t="n"/>
      <c r="B28" s="231" t="inlineStr">
        <is>
          <t>SKU-1943C75B</t>
        </is>
      </c>
      <c r="C28" s="231" t="inlineStr">
        <is>
          <t>是</t>
        </is>
      </c>
      <c r="D28" s="231" t="n">
        <v>10</v>
      </c>
      <c r="E28" s="231" t="inlineStr"/>
      <c r="F28" s="231" t="inlineStr">
        <is>
          <t>是</t>
        </is>
      </c>
      <c r="G28" s="231" t="inlineStr"/>
      <c r="H28" s="231" t="inlineStr"/>
      <c r="I28" s="231" t="inlineStr">
        <is>
          <t>是</t>
        </is>
      </c>
      <c r="J28" s="27" t="inlineStr">
        <is>
          <t>共</t>
        </is>
      </c>
      <c r="K28" s="27" t="inlineStr"/>
      <c r="L28" s="231" t="n">
        <v>100</v>
      </c>
      <c r="M28" s="19" t="inlineStr">
        <is>
          <t>Product-62BC29B7</t>
        </is>
      </c>
      <c r="N28" s="231" t="n">
        <v>1</v>
      </c>
      <c r="O28" s="181">
        <f>SUM(P28:AB28)</f>
        <v/>
      </c>
      <c r="P28" s="182" t="n">
        <v>31.5</v>
      </c>
      <c r="Q28" s="182" t="n">
        <v>37.4</v>
      </c>
      <c r="R28" s="182" t="n">
        <v>36.7</v>
      </c>
      <c r="S28" s="182" t="n">
        <v>17.9</v>
      </c>
      <c r="T28" s="182" t="n">
        <v>21.9</v>
      </c>
      <c r="U28" s="182" t="n">
        <v>17.9</v>
      </c>
      <c r="V28" s="182" t="n">
        <v>17.5</v>
      </c>
      <c r="W28" s="182" t="n">
        <v>49.6</v>
      </c>
      <c r="X28" s="182" t="n">
        <v>29</v>
      </c>
      <c r="Y28" s="182" t="n">
        <v>20.9</v>
      </c>
      <c r="Z28" s="182" t="n">
        <v>22.8</v>
      </c>
      <c r="AA28" s="182" t="n">
        <v>19.4</v>
      </c>
      <c r="AB28" s="182" t="n">
        <v>13.5</v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4" t="n"/>
      <c r="B29" s="231" t="inlineStr">
        <is>
          <t>SKU-51C641E5</t>
        </is>
      </c>
      <c r="C29" s="231" t="inlineStr">
        <is>
          <t>是</t>
        </is>
      </c>
      <c r="D29" s="231" t="n">
        <v>10</v>
      </c>
      <c r="E29" s="231" t="inlineStr"/>
      <c r="F29" s="231" t="inlineStr">
        <is>
          <t>是</t>
        </is>
      </c>
      <c r="G29" s="231" t="inlineStr"/>
      <c r="H29" s="231" t="inlineStr"/>
      <c r="I29" s="231" t="inlineStr">
        <is>
          <t>是</t>
        </is>
      </c>
      <c r="J29" s="27" t="inlineStr">
        <is>
          <t>共</t>
        </is>
      </c>
      <c r="K29" s="27" t="inlineStr"/>
      <c r="L29" s="231" t="n">
        <v>100</v>
      </c>
      <c r="M29" s="19" t="inlineStr">
        <is>
          <t>Product-4CA63C06</t>
        </is>
      </c>
      <c r="N29" s="231" t="n">
        <v>1</v>
      </c>
      <c r="O29" s="181">
        <f>SUM(P29:AB29)</f>
        <v/>
      </c>
      <c r="P29" s="182" t="n">
        <v>264.5</v>
      </c>
      <c r="Q29" s="182" t="n">
        <v>315.1</v>
      </c>
      <c r="R29" s="182" t="n">
        <v>308.6</v>
      </c>
      <c r="S29" s="182" t="n">
        <v>150.6</v>
      </c>
      <c r="T29" s="182" t="n">
        <v>184.6</v>
      </c>
      <c r="U29" s="182" t="n">
        <v>150.6</v>
      </c>
      <c r="V29" s="182" t="n">
        <v>147.9</v>
      </c>
      <c r="W29" s="182" t="n">
        <v>418.1</v>
      </c>
      <c r="X29" s="182" t="n">
        <v>244.3</v>
      </c>
      <c r="Y29" s="182" t="n">
        <v>175.4</v>
      </c>
      <c r="Z29" s="182" t="n">
        <v>192</v>
      </c>
      <c r="AA29" s="182" t="n">
        <v>163.5</v>
      </c>
      <c r="AB29" s="182" t="n">
        <v>114.8</v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4" t="n"/>
      <c r="B30" s="231" t="inlineStr">
        <is>
          <t>SKU-740A9334</t>
        </is>
      </c>
      <c r="C30" s="231" t="inlineStr">
        <is>
          <t>是</t>
        </is>
      </c>
      <c r="D30" s="231" t="n">
        <v>10</v>
      </c>
      <c r="E30" s="231" t="inlineStr"/>
      <c r="F30" s="231" t="inlineStr"/>
      <c r="G30" s="231" t="inlineStr">
        <is>
          <t>是</t>
        </is>
      </c>
      <c r="H30" s="231" t="inlineStr"/>
      <c r="I30" s="231" t="inlineStr">
        <is>
          <t>是</t>
        </is>
      </c>
      <c r="J30" s="27" t="inlineStr"/>
      <c r="K30" s="27" t="inlineStr"/>
      <c r="L30" s="231" t="n">
        <v>100</v>
      </c>
      <c r="M30" s="33" t="inlineStr">
        <is>
          <t>Product-7726A962</t>
        </is>
      </c>
      <c r="N30" s="231" t="n">
        <v>1</v>
      </c>
      <c r="O30" s="181">
        <f>SUM(P30:AB30)</f>
        <v/>
      </c>
      <c r="P30" s="182" t="n">
        <v>0</v>
      </c>
      <c r="Q30" s="182" t="n">
        <v>0</v>
      </c>
      <c r="R30" s="182" t="n">
        <v>0</v>
      </c>
      <c r="S30" s="182" t="n">
        <v>0</v>
      </c>
      <c r="T30" s="182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4" t="n"/>
      <c r="B31" s="231" t="inlineStr">
        <is>
          <t>SKU-ABAD8823</t>
        </is>
      </c>
      <c r="C31" s="231" t="inlineStr">
        <is>
          <t>是</t>
        </is>
      </c>
      <c r="D31" s="231" t="n">
        <v>8</v>
      </c>
      <c r="E31" s="231" t="inlineStr">
        <is>
          <t>是</t>
        </is>
      </c>
      <c r="F31" s="231" t="inlineStr"/>
      <c r="G31" s="231" t="inlineStr"/>
      <c r="H31" s="231" t="inlineStr"/>
      <c r="I31" s="231" t="inlineStr">
        <is>
          <t>是</t>
        </is>
      </c>
      <c r="J31" s="27" t="inlineStr">
        <is>
          <t>共</t>
        </is>
      </c>
      <c r="K31" s="27" t="inlineStr"/>
      <c r="L31" s="231" t="n">
        <v>100</v>
      </c>
      <c r="M31" s="19" t="inlineStr">
        <is>
          <t>Product-342D1F0D</t>
        </is>
      </c>
      <c r="N31" s="231" t="n">
        <v>1</v>
      </c>
      <c r="O31" s="181">
        <f>SUM(P31:AB31)</f>
        <v/>
      </c>
      <c r="P31" s="182" t="n">
        <v>40.7</v>
      </c>
      <c r="Q31" s="182" t="n">
        <v>48.4</v>
      </c>
      <c r="R31" s="182" t="n">
        <v>47.5</v>
      </c>
      <c r="S31" s="182" t="n">
        <v>23.2</v>
      </c>
      <c r="T31" s="182" t="n">
        <v>28.4</v>
      </c>
      <c r="U31" s="182" t="n">
        <v>23.2</v>
      </c>
      <c r="V31" s="182" t="n">
        <v>22.7</v>
      </c>
      <c r="W31" s="182" t="n">
        <v>64.09999999999999</v>
      </c>
      <c r="X31" s="182" t="n">
        <v>37.6</v>
      </c>
      <c r="Y31" s="182" t="n">
        <v>27.1</v>
      </c>
      <c r="Z31" s="182" t="n">
        <v>29.5</v>
      </c>
      <c r="AA31" s="182" t="n">
        <v>25.1</v>
      </c>
      <c r="AB31" s="182" t="n">
        <v>17.5</v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4" t="n"/>
      <c r="B32" s="231" t="inlineStr">
        <is>
          <t>SKU-CD40403A</t>
        </is>
      </c>
      <c r="C32" s="231" t="inlineStr">
        <is>
          <t>是</t>
        </is>
      </c>
      <c r="D32" s="231" t="n">
        <v>8</v>
      </c>
      <c r="E32" s="231" t="inlineStr">
        <is>
          <t>是</t>
        </is>
      </c>
      <c r="F32" s="231" t="inlineStr"/>
      <c r="G32" s="231" t="inlineStr"/>
      <c r="H32" s="231" t="inlineStr"/>
      <c r="I32" s="231" t="inlineStr">
        <is>
          <t>是</t>
        </is>
      </c>
      <c r="J32" s="27" t="inlineStr">
        <is>
          <t>共</t>
        </is>
      </c>
      <c r="K32" s="27" t="inlineStr"/>
      <c r="L32" s="231" t="n">
        <v>100</v>
      </c>
      <c r="M32" s="19" t="inlineStr">
        <is>
          <t>Product-D6D3CCE6</t>
        </is>
      </c>
      <c r="N32" s="231" t="n">
        <v>1</v>
      </c>
      <c r="O32" s="181">
        <f>SUM(P32:AB32)</f>
        <v/>
      </c>
      <c r="P32" s="182" t="n">
        <v>3</v>
      </c>
      <c r="Q32" s="182" t="n">
        <v>4.4</v>
      </c>
      <c r="R32" s="182" t="n">
        <v>2.4</v>
      </c>
      <c r="S32" s="182" t="n">
        <v>2.1</v>
      </c>
      <c r="T32" s="182" t="n">
        <v>2.6</v>
      </c>
      <c r="U32" s="182" t="n">
        <v>2.1</v>
      </c>
      <c r="V32" s="182" t="n">
        <v>2.1</v>
      </c>
      <c r="W32" s="182" t="n">
        <v>6</v>
      </c>
      <c r="X32" s="182" t="n">
        <v>3.5</v>
      </c>
      <c r="Y32" s="182" t="n">
        <v>2.5</v>
      </c>
      <c r="Z32" s="182" t="n">
        <v>2.7</v>
      </c>
      <c r="AA32" s="182" t="n">
        <v>2.3</v>
      </c>
      <c r="AB32" s="182" t="n">
        <v>1.6</v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4" t="n"/>
      <c r="B33" s="231" t="inlineStr">
        <is>
          <t>SKU-B0D292B1</t>
        </is>
      </c>
      <c r="C33" s="231" t="inlineStr">
        <is>
          <t>是</t>
        </is>
      </c>
      <c r="D33" s="231" t="n">
        <v>10</v>
      </c>
      <c r="E33" s="231" t="inlineStr"/>
      <c r="F33" s="231" t="inlineStr"/>
      <c r="G33" s="231" t="inlineStr">
        <is>
          <t>是</t>
        </is>
      </c>
      <c r="H33" s="231" t="inlineStr"/>
      <c r="I33" s="231" t="inlineStr">
        <is>
          <t>是</t>
        </is>
      </c>
      <c r="J33" s="27" t="inlineStr"/>
      <c r="K33" s="27" t="inlineStr"/>
      <c r="L33" s="231" t="n">
        <v>100</v>
      </c>
      <c r="M33" s="19" t="inlineStr">
        <is>
          <t>Product-7726A962</t>
        </is>
      </c>
      <c r="N33" s="231" t="n">
        <v>1</v>
      </c>
      <c r="O33" s="181">
        <f>SUM(P33:AB33)</f>
        <v/>
      </c>
      <c r="P33" s="182" t="n">
        <v>1.2</v>
      </c>
      <c r="Q33" s="182" t="n">
        <v>1.4</v>
      </c>
      <c r="R33" s="182" t="n">
        <v>1.4</v>
      </c>
      <c r="S33" s="182" t="n">
        <v>0.7</v>
      </c>
      <c r="T33" s="182" t="n">
        <v>0.8</v>
      </c>
      <c r="U33" s="182" t="n">
        <v>0.7</v>
      </c>
      <c r="V33" s="182" t="n">
        <v>0.7</v>
      </c>
      <c r="W33" s="182" t="n">
        <v>2</v>
      </c>
      <c r="X33" s="182" t="n">
        <v>1.1</v>
      </c>
      <c r="Y33" s="182" t="n">
        <v>0.8</v>
      </c>
      <c r="Z33" s="182" t="n">
        <v>0.9</v>
      </c>
      <c r="AA33" s="182" t="n">
        <v>0.8</v>
      </c>
      <c r="AB33" s="182" t="n">
        <v>0.5</v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4" t="n"/>
      <c r="B34" s="231" t="inlineStr">
        <is>
          <t>SKU-D5FB4C4D</t>
        </is>
      </c>
      <c r="C34" s="231" t="inlineStr"/>
      <c r="D34" s="231" t="n">
        <v>10</v>
      </c>
      <c r="E34" s="231" t="inlineStr"/>
      <c r="F34" s="231" t="inlineStr"/>
      <c r="G34" s="231" t="inlineStr"/>
      <c r="H34" s="231" t="inlineStr"/>
      <c r="I34" s="231" t="inlineStr"/>
      <c r="J34" s="27" t="inlineStr"/>
      <c r="K34" s="27" t="inlineStr"/>
      <c r="L34" s="231" t="n">
        <v>100</v>
      </c>
      <c r="M34" s="33" t="inlineStr">
        <is>
          <t>Product-3DCEC0C0</t>
        </is>
      </c>
      <c r="N34" s="231" t="n">
        <v>1</v>
      </c>
      <c r="O34" s="181">
        <f>SUM(P34:AB34)</f>
        <v/>
      </c>
      <c r="P34" s="182" t="n">
        <v>0</v>
      </c>
      <c r="Q34" s="182" t="n">
        <v>0</v>
      </c>
      <c r="R34" s="182" t="n">
        <v>0</v>
      </c>
      <c r="S34" s="182" t="n">
        <v>0</v>
      </c>
      <c r="T34" s="182" t="n">
        <v>0</v>
      </c>
      <c r="U34" s="182" t="n">
        <v>0</v>
      </c>
      <c r="V34" s="182" t="n">
        <v>0</v>
      </c>
      <c r="W34" s="182" t="n">
        <v>0</v>
      </c>
      <c r="X34" s="182" t="n">
        <v>0</v>
      </c>
      <c r="Y34" s="182" t="n">
        <v>0</v>
      </c>
      <c r="Z34" s="182" t="n">
        <v>0</v>
      </c>
      <c r="AA34" s="182" t="n">
        <v>0</v>
      </c>
      <c r="AB34" s="182" t="n">
        <v>0</v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4" t="n"/>
      <c r="B35" s="231" t="inlineStr">
        <is>
          <t>SKU-DCF98B33</t>
        </is>
      </c>
      <c r="C35" s="231" t="inlineStr"/>
      <c r="D35" s="231" t="n">
        <v>10</v>
      </c>
      <c r="E35" s="231" t="inlineStr"/>
      <c r="F35" s="231" t="inlineStr"/>
      <c r="G35" s="231" t="inlineStr"/>
      <c r="H35" s="231" t="inlineStr"/>
      <c r="I35" s="231" t="inlineStr"/>
      <c r="J35" s="27" t="inlineStr"/>
      <c r="K35" s="27" t="inlineStr"/>
      <c r="L35" s="231" t="n">
        <v>100</v>
      </c>
      <c r="M35" s="19" t="inlineStr">
        <is>
          <t>Product-3DCEC0C0</t>
        </is>
      </c>
      <c r="N35" s="231" t="n">
        <v>1</v>
      </c>
      <c r="O35" s="181">
        <f>SUM(P35:AB35)</f>
        <v/>
      </c>
      <c r="P35" s="182" t="n">
        <v>2.7</v>
      </c>
      <c r="Q35" s="182" t="n">
        <v>3.2</v>
      </c>
      <c r="R35" s="182" t="n">
        <v>3.2</v>
      </c>
      <c r="S35" s="182" t="n">
        <v>1.5</v>
      </c>
      <c r="T35" s="182" t="n">
        <v>1.9</v>
      </c>
      <c r="U35" s="182" t="n">
        <v>1.5</v>
      </c>
      <c r="V35" s="182" t="n">
        <v>1.5</v>
      </c>
      <c r="W35" s="182" t="n">
        <v>4.3</v>
      </c>
      <c r="X35" s="182" t="n">
        <v>2.5</v>
      </c>
      <c r="Y35" s="182" t="n">
        <v>1.8</v>
      </c>
      <c r="Z35" s="182" t="n">
        <v>2</v>
      </c>
      <c r="AA35" s="182" t="n">
        <v>1.7</v>
      </c>
      <c r="AB35" s="182" t="n">
        <v>1.2</v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4" t="n"/>
      <c r="B36" s="231" t="inlineStr">
        <is>
          <t>SKU-7ECD2FA6</t>
        </is>
      </c>
      <c r="C36" s="231" t="inlineStr"/>
      <c r="D36" s="231" t="n">
        <v>10</v>
      </c>
      <c r="E36" s="231" t="inlineStr"/>
      <c r="F36" s="231" t="inlineStr">
        <is>
          <t>是</t>
        </is>
      </c>
      <c r="G36" s="231" t="inlineStr"/>
      <c r="H36" s="231" t="inlineStr"/>
      <c r="I36" s="231" t="inlineStr">
        <is>
          <t>是</t>
        </is>
      </c>
      <c r="J36" s="27" t="inlineStr"/>
      <c r="K36" s="27" t="inlineStr"/>
      <c r="L36" s="231" t="n">
        <v>100</v>
      </c>
      <c r="M36" s="45" t="inlineStr">
        <is>
          <t>Product-29355C79</t>
        </is>
      </c>
      <c r="N36" s="231" t="n">
        <v>1</v>
      </c>
      <c r="O36" s="181">
        <f>SUM(P36:AB36)</f>
        <v/>
      </c>
      <c r="P36" s="182" t="n">
        <v>0.5</v>
      </c>
      <c r="Q36" s="182" t="n">
        <v>0.6</v>
      </c>
      <c r="R36" s="182" t="n">
        <v>0.5</v>
      </c>
      <c r="S36" s="182" t="n">
        <v>0.3</v>
      </c>
      <c r="T36" s="182" t="n">
        <v>0.3</v>
      </c>
      <c r="U36" s="182" t="n">
        <v>0.3</v>
      </c>
      <c r="V36" s="182" t="n">
        <v>0.3</v>
      </c>
      <c r="W36" s="182" t="n">
        <v>0.7</v>
      </c>
      <c r="X36" s="182" t="n">
        <v>0.4</v>
      </c>
      <c r="Y36" s="182" t="n">
        <v>0.3</v>
      </c>
      <c r="Z36" s="182" t="n">
        <v>0.3</v>
      </c>
      <c r="AA36" s="182" t="n">
        <v>0.3</v>
      </c>
      <c r="AB36" s="182" t="n">
        <v>0.2</v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4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 t="n">
        <v>5311.7</v>
      </c>
      <c r="Q37" s="51" t="n">
        <v>6020.1</v>
      </c>
      <c r="R37" s="51" t="n">
        <v>6238.5</v>
      </c>
      <c r="S37" s="51" t="n">
        <v>2762.4</v>
      </c>
      <c r="T37" s="51" t="n">
        <v>2939.6</v>
      </c>
      <c r="U37" s="51" t="n">
        <v>2438.7</v>
      </c>
      <c r="V37" s="51" t="n">
        <v>2648.3</v>
      </c>
      <c r="W37" s="51" t="n">
        <v>7670.7</v>
      </c>
      <c r="X37" s="51" t="n">
        <v>3156.6</v>
      </c>
      <c r="Y37" s="51" t="n">
        <v>2652.2</v>
      </c>
      <c r="Z37" s="51" t="n">
        <v>3059</v>
      </c>
      <c r="AA37" s="51" t="n">
        <v>2339.5</v>
      </c>
      <c r="AB37" s="51" t="n">
        <v>1979.2</v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5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 t="n">
        <v>5408.1</v>
      </c>
      <c r="Q38" s="51" t="n">
        <v>6423.8</v>
      </c>
      <c r="R38" s="51" t="n">
        <v>6518</v>
      </c>
      <c r="S38" s="51" t="n">
        <v>2910.4</v>
      </c>
      <c r="T38" s="51" t="n">
        <v>3050.4</v>
      </c>
      <c r="U38" s="51" t="n">
        <v>2495.1</v>
      </c>
      <c r="V38" s="51" t="n">
        <v>2753.5</v>
      </c>
      <c r="W38" s="51" t="n">
        <v>7821.4</v>
      </c>
      <c r="X38" s="51" t="n">
        <v>3341.3</v>
      </c>
      <c r="Y38" s="51" t="n">
        <v>2800.4</v>
      </c>
      <c r="Z38" s="51" t="n">
        <v>3148.7</v>
      </c>
      <c r="AA38" s="51" t="n">
        <v>2553.1</v>
      </c>
      <c r="AB38" s="51" t="n">
        <v>2060</v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31" t="inlineStr">
        <is>
          <t>SKU-3095C758</t>
        </is>
      </c>
      <c r="C39" s="231" t="inlineStr">
        <is>
          <t>是</t>
        </is>
      </c>
      <c r="D39" s="231" t="n">
        <v>11</v>
      </c>
      <c r="E39" s="231" t="inlineStr"/>
      <c r="F39" s="231" t="inlineStr"/>
      <c r="G39" s="231" t="inlineStr"/>
      <c r="H39" s="231" t="inlineStr"/>
      <c r="I39" s="231" t="inlineStr"/>
      <c r="J39" s="27" t="inlineStr"/>
      <c r="K39" s="27" t="inlineStr"/>
      <c r="L39" s="231" t="n">
        <v>100</v>
      </c>
      <c r="M39" s="19" t="inlineStr">
        <is>
          <t>Product-280802D6</t>
        </is>
      </c>
      <c r="N39" s="231" t="n">
        <v>4</v>
      </c>
      <c r="O39" s="181">
        <f>SUM(P39:AB39)</f>
        <v/>
      </c>
      <c r="P39" s="182" t="n">
        <v>616</v>
      </c>
      <c r="Q39" s="182" t="n">
        <v>599</v>
      </c>
      <c r="R39" s="182" t="n">
        <v>649</v>
      </c>
      <c r="S39" s="182" t="n">
        <v>349</v>
      </c>
      <c r="T39" s="182" t="n">
        <v>403</v>
      </c>
      <c r="U39" s="182" t="n">
        <v>399</v>
      </c>
      <c r="V39" s="182" t="n">
        <v>299</v>
      </c>
      <c r="W39" s="182" t="n">
        <v>942</v>
      </c>
      <c r="X39" s="182" t="n">
        <v>708</v>
      </c>
      <c r="Y39" s="182" t="n">
        <v>474</v>
      </c>
      <c r="Z39" s="182" t="n">
        <v>480</v>
      </c>
      <c r="AA39" s="182" t="n">
        <v>465</v>
      </c>
      <c r="AB39" s="182" t="n">
        <v>407</v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4" t="n"/>
      <c r="B40" s="231" t="inlineStr">
        <is>
          <t>SKU-22512FF3</t>
        </is>
      </c>
      <c r="C40" s="231" t="inlineStr">
        <is>
          <t>是</t>
        </is>
      </c>
      <c r="D40" s="231" t="n">
        <v>10</v>
      </c>
      <c r="E40" s="231" t="inlineStr"/>
      <c r="F40" s="231" t="inlineStr"/>
      <c r="G40" s="231" t="inlineStr"/>
      <c r="H40" s="231" t="inlineStr"/>
      <c r="I40" s="231" t="inlineStr"/>
      <c r="J40" s="27" t="inlineStr">
        <is>
          <t>共</t>
        </is>
      </c>
      <c r="K40" s="27" t="inlineStr"/>
      <c r="L40" s="231" t="n">
        <v>100</v>
      </c>
      <c r="M40" s="19" t="inlineStr">
        <is>
          <t>Product-C617F7D2</t>
        </is>
      </c>
      <c r="N40" s="231" t="n">
        <v>1</v>
      </c>
      <c r="O40" s="181">
        <f>SUM(P40:AB40)</f>
        <v/>
      </c>
      <c r="P40" s="182" t="n">
        <v>468.2</v>
      </c>
      <c r="Q40" s="182" t="n">
        <v>556.1</v>
      </c>
      <c r="R40" s="182" t="n">
        <v>546.1</v>
      </c>
      <c r="S40" s="182" t="n">
        <v>265.9</v>
      </c>
      <c r="T40" s="182" t="n">
        <v>325.9</v>
      </c>
      <c r="U40" s="182" t="n">
        <v>266.1</v>
      </c>
      <c r="V40" s="182" t="n">
        <v>260.6</v>
      </c>
      <c r="W40" s="182" t="n">
        <v>739</v>
      </c>
      <c r="X40" s="182" t="n">
        <v>432.2</v>
      </c>
      <c r="Y40" s="182" t="n">
        <v>310.7</v>
      </c>
      <c r="Z40" s="182" t="n">
        <v>339</v>
      </c>
      <c r="AA40" s="182" t="n">
        <v>289.1</v>
      </c>
      <c r="AB40" s="182" t="n">
        <v>201.1</v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4" t="n"/>
      <c r="B41" s="231" t="inlineStr">
        <is>
          <t>SKU-8B1D5EF6</t>
        </is>
      </c>
      <c r="C41" s="231" t="inlineStr">
        <is>
          <t>是</t>
        </is>
      </c>
      <c r="D41" s="231" t="n">
        <v>6</v>
      </c>
      <c r="E41" s="231" t="inlineStr">
        <is>
          <t>是</t>
        </is>
      </c>
      <c r="F41" s="231" t="inlineStr"/>
      <c r="G41" s="231" t="inlineStr"/>
      <c r="H41" s="231" t="inlineStr"/>
      <c r="I41" s="231" t="inlineStr">
        <is>
          <t>是</t>
        </is>
      </c>
      <c r="J41" s="27" t="inlineStr">
        <is>
          <t>共</t>
        </is>
      </c>
      <c r="K41" s="27" t="inlineStr"/>
      <c r="L41" s="231" t="n">
        <v>100</v>
      </c>
      <c r="M41" s="19" t="inlineStr">
        <is>
          <t>Product-C0E4574A</t>
        </is>
      </c>
      <c r="N41" s="231" t="n">
        <v>1</v>
      </c>
      <c r="O41" s="181">
        <f>SUM(P41:AB41)</f>
        <v/>
      </c>
      <c r="P41" s="182" t="n">
        <v>46.8</v>
      </c>
      <c r="Q41" s="182" t="n">
        <v>55.6</v>
      </c>
      <c r="R41" s="182" t="n">
        <v>54.6</v>
      </c>
      <c r="S41" s="182" t="n">
        <v>26.6</v>
      </c>
      <c r="T41" s="182" t="n">
        <v>32.6</v>
      </c>
      <c r="U41" s="182" t="n">
        <v>26.6</v>
      </c>
      <c r="V41" s="182" t="n">
        <v>26.1</v>
      </c>
      <c r="W41" s="182" t="n">
        <v>73.90000000000001</v>
      </c>
      <c r="X41" s="182" t="n">
        <v>43.2</v>
      </c>
      <c r="Y41" s="182" t="n">
        <v>31.1</v>
      </c>
      <c r="Z41" s="182" t="n">
        <v>33.9</v>
      </c>
      <c r="AA41" s="182" t="n">
        <v>28.9</v>
      </c>
      <c r="AB41" s="182" t="n">
        <v>20.1</v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4" t="n"/>
      <c r="B42" s="231" t="inlineStr">
        <is>
          <t>SKU-8BA825B6</t>
        </is>
      </c>
      <c r="C42" s="231" t="inlineStr">
        <is>
          <t>是</t>
        </is>
      </c>
      <c r="D42" s="231" t="n">
        <v>10</v>
      </c>
      <c r="E42" s="231" t="inlineStr"/>
      <c r="F42" s="231" t="inlineStr"/>
      <c r="G42" s="231" t="inlineStr"/>
      <c r="H42" s="231" t="inlineStr"/>
      <c r="I42" s="231" t="inlineStr"/>
      <c r="J42" s="27" t="inlineStr"/>
      <c r="K42" s="27" t="inlineStr"/>
      <c r="L42" s="231" t="n">
        <v>100</v>
      </c>
      <c r="M42" s="19" t="inlineStr">
        <is>
          <t>Product-E7EC78F7</t>
        </is>
      </c>
      <c r="N42" s="231" t="n">
        <v>1</v>
      </c>
      <c r="O42" s="181">
        <f>SUM(P42:AB42)</f>
        <v/>
      </c>
      <c r="P42" s="182" t="n">
        <v>84.3</v>
      </c>
      <c r="Q42" s="182" t="n">
        <v>100.1</v>
      </c>
      <c r="R42" s="182" t="n">
        <v>98.3</v>
      </c>
      <c r="S42" s="182" t="n">
        <v>47.9</v>
      </c>
      <c r="T42" s="182" t="n">
        <v>58.7</v>
      </c>
      <c r="U42" s="182" t="n">
        <v>47.9</v>
      </c>
      <c r="V42" s="182" t="n">
        <v>46.9</v>
      </c>
      <c r="W42" s="182" t="n">
        <v>133</v>
      </c>
      <c r="X42" s="182" t="n">
        <v>77.8</v>
      </c>
      <c r="Y42" s="182" t="n">
        <v>55.9</v>
      </c>
      <c r="Z42" s="182" t="n">
        <v>61</v>
      </c>
      <c r="AA42" s="182" t="n">
        <v>52</v>
      </c>
      <c r="AB42" s="182" t="n">
        <v>36.2</v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4" t="n"/>
      <c r="B43" s="231" t="inlineStr">
        <is>
          <t>SKU-DBE8D847</t>
        </is>
      </c>
      <c r="C43" s="231" t="inlineStr">
        <is>
          <t>是</t>
        </is>
      </c>
      <c r="D43" s="231" t="n">
        <v>8</v>
      </c>
      <c r="E43" s="231" t="inlineStr">
        <is>
          <t>是</t>
        </is>
      </c>
      <c r="F43" s="231" t="inlineStr"/>
      <c r="G43" s="231" t="inlineStr"/>
      <c r="H43" s="231" t="inlineStr"/>
      <c r="I43" s="231" t="inlineStr">
        <is>
          <t>是</t>
        </is>
      </c>
      <c r="J43" s="27" t="inlineStr"/>
      <c r="K43" s="27" t="inlineStr"/>
      <c r="L43" s="231" t="n">
        <v>100</v>
      </c>
      <c r="M43" s="19" t="inlineStr">
        <is>
          <t>Product-31FC13CA</t>
        </is>
      </c>
      <c r="N43" s="231" t="n">
        <v>2</v>
      </c>
      <c r="O43" s="181">
        <f>SUM(P43:AB43)</f>
        <v/>
      </c>
      <c r="P43" s="182" t="n">
        <v>5</v>
      </c>
      <c r="Q43" s="182" t="n">
        <v>52</v>
      </c>
      <c r="R43" s="182" t="n">
        <v>40</v>
      </c>
      <c r="S43" s="182" t="n">
        <v>15</v>
      </c>
      <c r="T43" s="182" t="n">
        <v>70</v>
      </c>
      <c r="U43" s="182" t="n">
        <v>9</v>
      </c>
      <c r="V43" s="182" t="n">
        <v>13</v>
      </c>
      <c r="W43" s="182" t="n">
        <v>40</v>
      </c>
      <c r="X43" s="182" t="n">
        <v>18.9</v>
      </c>
      <c r="Y43" s="182" t="n">
        <v>5</v>
      </c>
      <c r="Z43" s="182" t="n">
        <v>6</v>
      </c>
      <c r="AA43" s="182" t="n">
        <v>3</v>
      </c>
      <c r="AB43" s="182" t="n">
        <v>4</v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4" t="n"/>
      <c r="B44" s="231" t="inlineStr">
        <is>
          <t>SKU-993415A4</t>
        </is>
      </c>
      <c r="C44" s="231" t="inlineStr">
        <is>
          <t>是</t>
        </is>
      </c>
      <c r="D44" s="231" t="n">
        <v>10</v>
      </c>
      <c r="E44" s="231" t="inlineStr"/>
      <c r="F44" s="231" t="inlineStr"/>
      <c r="G44" s="231" t="inlineStr"/>
      <c r="H44" s="231" t="inlineStr"/>
      <c r="I44" s="231" t="inlineStr"/>
      <c r="J44" s="27" t="inlineStr"/>
      <c r="K44" s="27" t="inlineStr"/>
      <c r="L44" s="231" t="n">
        <v>100</v>
      </c>
      <c r="M44" s="19" t="inlineStr">
        <is>
          <t>Product-914BA5F4</t>
        </is>
      </c>
      <c r="N44" s="231" t="n">
        <v>3</v>
      </c>
      <c r="O44" s="181">
        <f>SUM(P44:AB44)</f>
        <v/>
      </c>
      <c r="P44" s="182" t="n">
        <v>5</v>
      </c>
      <c r="Q44" s="182" t="n">
        <v>46</v>
      </c>
      <c r="R44" s="182" t="n">
        <v>25</v>
      </c>
      <c r="S44" s="182" t="n">
        <v>10</v>
      </c>
      <c r="T44" s="182" t="n">
        <v>20</v>
      </c>
      <c r="U44" s="182" t="n">
        <v>9.5</v>
      </c>
      <c r="V44" s="182" t="n">
        <v>2</v>
      </c>
      <c r="W44" s="182" t="n">
        <v>32</v>
      </c>
      <c r="X44" s="182" t="n">
        <v>7.1</v>
      </c>
      <c r="Y44" s="182" t="n">
        <v>5</v>
      </c>
      <c r="Z44" s="182" t="n">
        <v>10</v>
      </c>
      <c r="AA44" s="182" t="n">
        <v>3</v>
      </c>
      <c r="AB44" s="182" t="n">
        <v>15</v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4" t="n"/>
      <c r="B45" s="231" t="inlineStr">
        <is>
          <t>SKU-D86E9747</t>
        </is>
      </c>
      <c r="C45" s="231" t="inlineStr">
        <is>
          <t>是</t>
        </is>
      </c>
      <c r="D45" s="231" t="n">
        <v>9</v>
      </c>
      <c r="E45" s="231" t="inlineStr"/>
      <c r="F45" s="231" t="inlineStr">
        <is>
          <t>是</t>
        </is>
      </c>
      <c r="G45" s="231" t="inlineStr"/>
      <c r="H45" s="231" t="inlineStr"/>
      <c r="I45" s="231" t="inlineStr">
        <is>
          <t>是</t>
        </is>
      </c>
      <c r="J45" s="27" t="inlineStr"/>
      <c r="K45" s="27" t="inlineStr"/>
      <c r="L45" s="231" t="n">
        <v>100</v>
      </c>
      <c r="M45" s="33" t="inlineStr">
        <is>
          <t>Product-FF4227EA</t>
        </is>
      </c>
      <c r="N45" s="231" t="n">
        <v>1</v>
      </c>
      <c r="O45" s="181">
        <f>SUM(P45:AB45)</f>
        <v/>
      </c>
      <c r="P45" s="182" t="n">
        <v>0</v>
      </c>
      <c r="Q45" s="182" t="n">
        <v>0</v>
      </c>
      <c r="R45" s="182" t="n">
        <v>0</v>
      </c>
      <c r="S45" s="182" t="n">
        <v>0</v>
      </c>
      <c r="T45" s="182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4" t="n"/>
      <c r="B46" s="231" t="inlineStr">
        <is>
          <t>SKU-7CB9F294</t>
        </is>
      </c>
      <c r="C46" s="231" t="inlineStr">
        <is>
          <t>是</t>
        </is>
      </c>
      <c r="D46" s="231" t="n">
        <v>7</v>
      </c>
      <c r="E46" s="231" t="inlineStr">
        <is>
          <t>是</t>
        </is>
      </c>
      <c r="F46" s="231" t="inlineStr"/>
      <c r="G46" s="231" t="inlineStr"/>
      <c r="H46" s="231" t="inlineStr"/>
      <c r="I46" s="231" t="inlineStr">
        <is>
          <t>是</t>
        </is>
      </c>
      <c r="J46" s="27" t="inlineStr"/>
      <c r="K46" s="27" t="inlineStr"/>
      <c r="L46" s="231" t="n">
        <v>100</v>
      </c>
      <c r="M46" s="19" t="inlineStr">
        <is>
          <t>Product-1F3A5A4E</t>
        </is>
      </c>
      <c r="N46" s="231" t="n">
        <v>1</v>
      </c>
      <c r="O46" s="181">
        <f>SUM(P46:AB46)</f>
        <v/>
      </c>
      <c r="P46" s="182" t="n">
        <v>1.4</v>
      </c>
      <c r="Q46" s="182" t="n">
        <v>1.7</v>
      </c>
      <c r="R46" s="182" t="n">
        <v>1.6</v>
      </c>
      <c r="S46" s="182" t="n">
        <v>0.8</v>
      </c>
      <c r="T46" s="182" t="n">
        <v>1</v>
      </c>
      <c r="U46" s="182" t="n">
        <v>0.8</v>
      </c>
      <c r="V46" s="182" t="n">
        <v>0.8</v>
      </c>
      <c r="W46" s="182" t="n">
        <v>2.2</v>
      </c>
      <c r="X46" s="182" t="n">
        <v>1.3</v>
      </c>
      <c r="Y46" s="182" t="n">
        <v>0.9</v>
      </c>
      <c r="Z46" s="182" t="n">
        <v>1</v>
      </c>
      <c r="AA46" s="182" t="n">
        <v>0.9</v>
      </c>
      <c r="AB46" s="182" t="n">
        <v>0.6</v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5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 t="n">
        <v>1226.7</v>
      </c>
      <c r="Q47" s="51" t="n">
        <v>1410.5</v>
      </c>
      <c r="R47" s="51" t="n">
        <v>1414.6</v>
      </c>
      <c r="S47" s="51" t="n">
        <v>715.2</v>
      </c>
      <c r="T47" s="51" t="n">
        <v>911.2</v>
      </c>
      <c r="U47" s="51" t="n">
        <v>758.9</v>
      </c>
      <c r="V47" s="51" t="n">
        <v>648.4</v>
      </c>
      <c r="W47" s="51" t="n">
        <v>1962.1</v>
      </c>
      <c r="X47" s="51" t="n">
        <v>1288.5</v>
      </c>
      <c r="Y47" s="51" t="n">
        <v>882.6</v>
      </c>
      <c r="Z47" s="51" t="n">
        <v>930.9</v>
      </c>
      <c r="AA47" s="51" t="n">
        <v>841.9</v>
      </c>
      <c r="AB47" s="51" t="n">
        <v>684</v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31" t="inlineStr">
        <is>
          <t>SKU-4BF6BE09</t>
        </is>
      </c>
      <c r="C48" s="231" t="inlineStr">
        <is>
          <t>是</t>
        </is>
      </c>
      <c r="D48" s="231" t="n">
        <v>11</v>
      </c>
      <c r="E48" s="231" t="inlineStr"/>
      <c r="F48" s="231" t="inlineStr"/>
      <c r="G48" s="231" t="inlineStr"/>
      <c r="H48" s="231" t="inlineStr"/>
      <c r="I48" s="231" t="inlineStr"/>
      <c r="J48" s="27" t="inlineStr"/>
      <c r="K48" s="27" t="inlineStr"/>
      <c r="L48" s="231" t="n">
        <v>100</v>
      </c>
      <c r="M48" s="44" t="inlineStr">
        <is>
          <t>Product-685982B2</t>
        </is>
      </c>
      <c r="N48" s="231" t="n">
        <v>2</v>
      </c>
      <c r="O48" s="181">
        <f>SUM(P48:AB48)</f>
        <v/>
      </c>
      <c r="P48" s="182" t="n">
        <v>0</v>
      </c>
      <c r="Q48" s="182" t="n">
        <v>0</v>
      </c>
      <c r="R48" s="182" t="n">
        <v>0</v>
      </c>
      <c r="S48" s="182" t="n">
        <v>0</v>
      </c>
      <c r="T48" s="182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4" t="n"/>
      <c r="B49" s="231" t="inlineStr">
        <is>
          <t>SKU-68F01DAC</t>
        </is>
      </c>
      <c r="C49" s="231" t="inlineStr">
        <is>
          <t>是</t>
        </is>
      </c>
      <c r="D49" s="231" t="n">
        <v>6</v>
      </c>
      <c r="E49" s="231" t="inlineStr">
        <is>
          <t>是</t>
        </is>
      </c>
      <c r="F49" s="231" t="inlineStr"/>
      <c r="G49" s="231" t="inlineStr"/>
      <c r="H49" s="231" t="inlineStr"/>
      <c r="I49" s="231" t="inlineStr">
        <is>
          <t>是</t>
        </is>
      </c>
      <c r="J49" s="27" t="inlineStr">
        <is>
          <t>共</t>
        </is>
      </c>
      <c r="K49" s="27" t="inlineStr"/>
      <c r="L49" s="231" t="n">
        <v>100</v>
      </c>
      <c r="M49" s="19" t="inlineStr">
        <is>
          <t>Product-DB12469B</t>
        </is>
      </c>
      <c r="N49" s="231" t="n">
        <v>2</v>
      </c>
      <c r="O49" s="181">
        <f>SUM(P49:AB49)</f>
        <v/>
      </c>
      <c r="P49" s="182" t="n">
        <v>119.8</v>
      </c>
      <c r="Q49" s="182" t="n">
        <v>111.5</v>
      </c>
      <c r="R49" s="182" t="n">
        <v>64.5</v>
      </c>
      <c r="S49" s="182" t="n">
        <v>20.3</v>
      </c>
      <c r="T49" s="182" t="n">
        <v>101.4</v>
      </c>
      <c r="U49" s="182" t="n">
        <v>83</v>
      </c>
      <c r="V49" s="182" t="n">
        <v>64.5</v>
      </c>
      <c r="W49" s="182" t="n">
        <v>166</v>
      </c>
      <c r="X49" s="182" t="n">
        <v>119.5</v>
      </c>
      <c r="Y49" s="182" t="n">
        <v>144.7</v>
      </c>
      <c r="Z49" s="182" t="n">
        <v>29.5</v>
      </c>
      <c r="AA49" s="182" t="n">
        <v>5.9</v>
      </c>
      <c r="AB49" s="182" t="n">
        <v>19.4</v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4" t="n"/>
      <c r="B50" s="231" t="inlineStr">
        <is>
          <t>SKU-B376DBC8</t>
        </is>
      </c>
      <c r="C50" s="231" t="inlineStr">
        <is>
          <t>是</t>
        </is>
      </c>
      <c r="D50" s="231" t="n">
        <v>9</v>
      </c>
      <c r="E50" s="231" t="inlineStr"/>
      <c r="F50" s="231" t="inlineStr">
        <is>
          <t>是</t>
        </is>
      </c>
      <c r="G50" s="231" t="inlineStr"/>
      <c r="H50" s="231" t="inlineStr"/>
      <c r="I50" s="231" t="inlineStr">
        <is>
          <t>是</t>
        </is>
      </c>
      <c r="J50" s="27" t="inlineStr"/>
      <c r="K50" s="27" t="inlineStr"/>
      <c r="L50" s="231" t="n">
        <v>100</v>
      </c>
      <c r="M50" s="44" t="inlineStr">
        <is>
          <t>Product-12486764</t>
        </is>
      </c>
      <c r="N50" s="231" t="n">
        <v>1</v>
      </c>
      <c r="O50" s="181">
        <f>SUM(P50:AB50)</f>
        <v/>
      </c>
      <c r="P50" s="182" t="n">
        <v>0</v>
      </c>
      <c r="Q50" s="182" t="n">
        <v>0</v>
      </c>
      <c r="R50" s="182" t="n">
        <v>0</v>
      </c>
      <c r="S50" s="182" t="n">
        <v>0</v>
      </c>
      <c r="T50" s="182" t="n">
        <v>0</v>
      </c>
      <c r="U50" s="182" t="n">
        <v>0</v>
      </c>
      <c r="V50" s="182" t="n">
        <v>0</v>
      </c>
      <c r="W50" s="182" t="n">
        <v>0</v>
      </c>
      <c r="X50" s="182" t="n">
        <v>0</v>
      </c>
      <c r="Y50" s="182" t="n">
        <v>0</v>
      </c>
      <c r="Z50" s="182" t="n">
        <v>0</v>
      </c>
      <c r="AA50" s="182" t="n">
        <v>0</v>
      </c>
      <c r="AB50" s="182" t="n">
        <v>0</v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4" t="n"/>
      <c r="B51" s="231" t="inlineStr">
        <is>
          <t>SKU-D051F69D</t>
        </is>
      </c>
      <c r="C51" s="231" t="inlineStr">
        <is>
          <t>是</t>
        </is>
      </c>
      <c r="D51" s="231" t="n">
        <v>10</v>
      </c>
      <c r="E51" s="231" t="inlineStr"/>
      <c r="F51" s="231" t="inlineStr"/>
      <c r="G51" s="231" t="inlineStr"/>
      <c r="H51" s="231" t="inlineStr"/>
      <c r="I51" s="231" t="inlineStr"/>
      <c r="J51" s="27" t="inlineStr"/>
      <c r="K51" s="27" t="inlineStr"/>
      <c r="L51" s="231" t="n">
        <v>100</v>
      </c>
      <c r="M51" s="19" t="inlineStr">
        <is>
          <t>Product-89AAAC0F</t>
        </is>
      </c>
      <c r="N51" s="231" t="n">
        <v>1</v>
      </c>
      <c r="O51" s="181">
        <f>SUM(P51:AB51)</f>
        <v/>
      </c>
      <c r="P51" s="182" t="n">
        <v>11.2</v>
      </c>
      <c r="Q51" s="182" t="n">
        <v>13.3</v>
      </c>
      <c r="R51" s="182" t="n">
        <v>13.1</v>
      </c>
      <c r="S51" s="182" t="n">
        <v>6.4</v>
      </c>
      <c r="T51" s="182" t="n">
        <v>7.8</v>
      </c>
      <c r="U51" s="182" t="n">
        <v>6.4</v>
      </c>
      <c r="V51" s="182" t="n">
        <v>6.3</v>
      </c>
      <c r="W51" s="182" t="n">
        <v>17.8</v>
      </c>
      <c r="X51" s="182" t="n">
        <v>10.4</v>
      </c>
      <c r="Y51" s="182" t="n">
        <v>7.5</v>
      </c>
      <c r="Z51" s="182" t="n">
        <v>8.1</v>
      </c>
      <c r="AA51" s="182" t="n">
        <v>6.9</v>
      </c>
      <c r="AB51" s="182" t="n">
        <v>4.8</v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4" t="n"/>
      <c r="B52" s="231" t="inlineStr">
        <is>
          <t>SKU-D6DABD2C</t>
        </is>
      </c>
      <c r="C52" s="231" t="inlineStr">
        <is>
          <t>是</t>
        </is>
      </c>
      <c r="D52" s="231" t="n">
        <v>6</v>
      </c>
      <c r="E52" s="231" t="inlineStr">
        <is>
          <t>是</t>
        </is>
      </c>
      <c r="F52" s="231" t="inlineStr"/>
      <c r="G52" s="231" t="inlineStr"/>
      <c r="H52" s="231" t="inlineStr"/>
      <c r="I52" s="231" t="inlineStr">
        <is>
          <t>是</t>
        </is>
      </c>
      <c r="J52" s="27" t="inlineStr"/>
      <c r="K52" s="27" t="inlineStr"/>
      <c r="L52" s="231" t="n">
        <v>100</v>
      </c>
      <c r="M52" s="19" t="inlineStr">
        <is>
          <t>Product-E13E7723</t>
        </is>
      </c>
      <c r="N52" s="231" t="n">
        <v>1</v>
      </c>
      <c r="O52" s="181">
        <f>SUM(P52:AB52)</f>
        <v/>
      </c>
      <c r="P52" s="182" t="n">
        <v>12.6</v>
      </c>
      <c r="Q52" s="182" t="n">
        <v>15</v>
      </c>
      <c r="R52" s="182" t="n">
        <v>14.7</v>
      </c>
      <c r="S52" s="182" t="n">
        <v>7.2</v>
      </c>
      <c r="T52" s="182" t="n">
        <v>8.800000000000001</v>
      </c>
      <c r="U52" s="182" t="n">
        <v>7.2</v>
      </c>
      <c r="V52" s="182" t="n">
        <v>7</v>
      </c>
      <c r="W52" s="182" t="n">
        <v>20</v>
      </c>
      <c r="X52" s="182" t="n">
        <v>11.7</v>
      </c>
      <c r="Y52" s="182" t="n">
        <v>8.4</v>
      </c>
      <c r="Z52" s="182" t="n">
        <v>9.199999999999999</v>
      </c>
      <c r="AA52" s="182" t="n">
        <v>7.8</v>
      </c>
      <c r="AB52" s="182" t="n">
        <v>5.4</v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5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 t="n">
        <v>143.6</v>
      </c>
      <c r="Q53" s="51" t="n">
        <v>139.8</v>
      </c>
      <c r="R53" s="51" t="n">
        <v>92.3</v>
      </c>
      <c r="S53" s="51" t="n">
        <v>33.9</v>
      </c>
      <c r="T53" s="51" t="n">
        <v>118</v>
      </c>
      <c r="U53" s="51" t="n">
        <v>96.59999999999999</v>
      </c>
      <c r="V53" s="51" t="n">
        <v>77.8</v>
      </c>
      <c r="W53" s="51" t="n">
        <v>203.8</v>
      </c>
      <c r="X53" s="51" t="n">
        <v>141.6</v>
      </c>
      <c r="Y53" s="51" t="n">
        <v>160.6</v>
      </c>
      <c r="Z53" s="51" t="n">
        <v>46.8</v>
      </c>
      <c r="AA53" s="51" t="n">
        <v>20.6</v>
      </c>
      <c r="AB53" s="51" t="n">
        <v>29.6</v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31" t="inlineStr">
        <is>
          <t>SKU-58C29290</t>
        </is>
      </c>
      <c r="C54" s="231" t="inlineStr">
        <is>
          <t>是</t>
        </is>
      </c>
      <c r="D54" s="231" t="n">
        <v>8</v>
      </c>
      <c r="E54" s="231" t="inlineStr"/>
      <c r="F54" s="231" t="inlineStr"/>
      <c r="G54" s="231" t="inlineStr"/>
      <c r="H54" s="231" t="inlineStr"/>
      <c r="I54" s="231" t="inlineStr"/>
      <c r="J54" s="27" t="inlineStr"/>
      <c r="K54" s="27" t="inlineStr"/>
      <c r="L54" s="231" t="n">
        <v>100</v>
      </c>
      <c r="M54" s="19" t="inlineStr">
        <is>
          <t>Product-0F81BD89</t>
        </is>
      </c>
      <c r="N54" s="231" t="n">
        <v>3</v>
      </c>
      <c r="O54" s="181">
        <f>SUM(P54:AB54)</f>
        <v/>
      </c>
      <c r="P54" s="182" t="n">
        <v>130</v>
      </c>
      <c r="Q54" s="182" t="n">
        <v>169</v>
      </c>
      <c r="R54" s="182" t="n">
        <v>360</v>
      </c>
      <c r="S54" s="182" t="n">
        <v>270</v>
      </c>
      <c r="T54" s="182" t="n">
        <v>330</v>
      </c>
      <c r="U54" s="182" t="n">
        <v>177</v>
      </c>
      <c r="V54" s="182" t="n">
        <v>140</v>
      </c>
      <c r="W54" s="182" t="n">
        <v>450</v>
      </c>
      <c r="X54" s="182" t="n">
        <v>425.5</v>
      </c>
      <c r="Y54" s="182" t="n">
        <v>50</v>
      </c>
      <c r="Z54" s="182" t="n">
        <v>130</v>
      </c>
      <c r="AA54" s="182" t="n">
        <v>37</v>
      </c>
      <c r="AB54" s="182" t="n">
        <v>31.9</v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4" t="n"/>
      <c r="B55" s="231" t="inlineStr">
        <is>
          <t>SKU-204217AA</t>
        </is>
      </c>
      <c r="C55" s="231" t="inlineStr">
        <is>
          <t>是</t>
        </is>
      </c>
      <c r="D55" s="231" t="n">
        <v>9</v>
      </c>
      <c r="E55" s="231" t="inlineStr"/>
      <c r="F55" s="231" t="inlineStr"/>
      <c r="G55" s="231" t="inlineStr"/>
      <c r="H55" s="231" t="inlineStr"/>
      <c r="I55" s="231" t="inlineStr"/>
      <c r="J55" s="27" t="inlineStr"/>
      <c r="K55" s="27" t="inlineStr"/>
      <c r="L55" s="231" t="n">
        <v>100</v>
      </c>
      <c r="M55" s="19" t="inlineStr">
        <is>
          <t>Product-65B192F5</t>
        </is>
      </c>
      <c r="N55" s="231" t="n">
        <v>3</v>
      </c>
      <c r="O55" s="181">
        <f>SUM(P55:AB55)</f>
        <v/>
      </c>
      <c r="P55" s="182" t="n">
        <v>307</v>
      </c>
      <c r="Q55" s="182" t="n">
        <v>300</v>
      </c>
      <c r="R55" s="182" t="n">
        <v>324</v>
      </c>
      <c r="S55" s="182" t="n">
        <v>175</v>
      </c>
      <c r="T55" s="182" t="n">
        <v>202</v>
      </c>
      <c r="U55" s="182" t="n">
        <v>200</v>
      </c>
      <c r="V55" s="182" t="n">
        <v>149</v>
      </c>
      <c r="W55" s="182" t="n">
        <v>471</v>
      </c>
      <c r="X55" s="182" t="n">
        <v>354</v>
      </c>
      <c r="Y55" s="182" t="n">
        <v>237</v>
      </c>
      <c r="Z55" s="182" t="n">
        <v>241</v>
      </c>
      <c r="AA55" s="182" t="n">
        <v>232</v>
      </c>
      <c r="AB55" s="182" t="n">
        <v>203</v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4" t="n"/>
      <c r="B56" s="231" t="inlineStr">
        <is>
          <t>SKU-AA06D68B</t>
        </is>
      </c>
      <c r="C56" s="231" t="inlineStr">
        <is>
          <t>是</t>
        </is>
      </c>
      <c r="D56" s="231" t="n">
        <v>5</v>
      </c>
      <c r="E56" s="231" t="inlineStr"/>
      <c r="F56" s="231" t="inlineStr"/>
      <c r="G56" s="231" t="inlineStr"/>
      <c r="H56" s="231" t="inlineStr"/>
      <c r="I56" s="231" t="inlineStr"/>
      <c r="J56" s="27" t="inlineStr"/>
      <c r="K56" s="27" t="inlineStr"/>
      <c r="L56" s="231" t="n">
        <v>100</v>
      </c>
      <c r="M56" s="19" t="inlineStr">
        <is>
          <t>Product-BC490182</t>
        </is>
      </c>
      <c r="N56" s="231" t="n">
        <v>1</v>
      </c>
      <c r="O56" s="181">
        <f>SUM(P56:AB56)</f>
        <v/>
      </c>
      <c r="P56" s="182" t="n">
        <v>12</v>
      </c>
      <c r="Q56" s="182" t="n">
        <v>33</v>
      </c>
      <c r="R56" s="182" t="n">
        <v>20</v>
      </c>
      <c r="S56" s="182" t="n">
        <v>30</v>
      </c>
      <c r="T56" s="182" t="n">
        <v>57</v>
      </c>
      <c r="U56" s="182" t="n">
        <v>16</v>
      </c>
      <c r="V56" s="182" t="n">
        <v>6</v>
      </c>
      <c r="W56" s="182" t="n">
        <v>0</v>
      </c>
      <c r="X56" s="182" t="n">
        <v>33.3</v>
      </c>
      <c r="Y56" s="182" t="n">
        <v>40</v>
      </c>
      <c r="Z56" s="182" t="n">
        <v>7</v>
      </c>
      <c r="AA56" s="182" t="n">
        <v>12</v>
      </c>
      <c r="AB56" s="182" t="n">
        <v>2</v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4" t="n"/>
      <c r="B57" s="231" t="inlineStr">
        <is>
          <t>SKU-AB711576</t>
        </is>
      </c>
      <c r="C57" s="231" t="inlineStr">
        <is>
          <t>是</t>
        </is>
      </c>
      <c r="D57" s="231" t="n">
        <v>7</v>
      </c>
      <c r="E57" s="231" t="inlineStr">
        <is>
          <t>是</t>
        </is>
      </c>
      <c r="F57" s="231" t="inlineStr"/>
      <c r="G57" s="231" t="inlineStr"/>
      <c r="H57" s="231" t="inlineStr"/>
      <c r="I57" s="231" t="inlineStr">
        <is>
          <t>是</t>
        </is>
      </c>
      <c r="J57" s="27" t="inlineStr">
        <is>
          <t>共</t>
        </is>
      </c>
      <c r="K57" s="27" t="inlineStr"/>
      <c r="L57" s="231" t="n">
        <v>100</v>
      </c>
      <c r="M57" s="19" t="inlineStr">
        <is>
          <t>Product-606B1B6A</t>
        </is>
      </c>
      <c r="N57" s="231" t="n">
        <v>2</v>
      </c>
      <c r="O57" s="181">
        <f>SUM(P57:AB57)</f>
        <v/>
      </c>
      <c r="P57" s="182" t="n">
        <v>700</v>
      </c>
      <c r="Q57" s="182" t="n">
        <v>779</v>
      </c>
      <c r="R57" s="182" t="n">
        <v>900</v>
      </c>
      <c r="S57" s="182" t="n">
        <v>399</v>
      </c>
      <c r="T57" s="182" t="n">
        <v>537</v>
      </c>
      <c r="U57" s="182" t="n">
        <v>439</v>
      </c>
      <c r="V57" s="182" t="n">
        <v>429</v>
      </c>
      <c r="W57" s="182" t="n">
        <v>1218</v>
      </c>
      <c r="X57" s="182" t="n">
        <v>678</v>
      </c>
      <c r="Y57" s="182" t="n">
        <v>420</v>
      </c>
      <c r="Z57" s="182" t="n">
        <v>559</v>
      </c>
      <c r="AA57" s="182" t="n">
        <v>445</v>
      </c>
      <c r="AB57" s="182" t="n">
        <v>270</v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4" t="n"/>
      <c r="B58" s="231" t="inlineStr">
        <is>
          <t>SKU-9F810407</t>
        </is>
      </c>
      <c r="C58" s="231" t="inlineStr">
        <is>
          <t>是</t>
        </is>
      </c>
      <c r="D58" s="231" t="n">
        <v>9</v>
      </c>
      <c r="E58" s="231" t="inlineStr"/>
      <c r="F58" s="231" t="inlineStr">
        <is>
          <t>是</t>
        </is>
      </c>
      <c r="G58" s="231" t="inlineStr"/>
      <c r="H58" s="231" t="inlineStr"/>
      <c r="I58" s="231" t="inlineStr">
        <is>
          <t>是</t>
        </is>
      </c>
      <c r="J58" s="27" t="inlineStr"/>
      <c r="K58" s="27" t="inlineStr"/>
      <c r="L58" s="231" t="n">
        <v>100</v>
      </c>
      <c r="M58" s="19" t="inlineStr">
        <is>
          <t>Product-F93B8445</t>
        </is>
      </c>
      <c r="N58" s="231" t="n">
        <v>3</v>
      </c>
      <c r="O58" s="181">
        <f>SUM(P58:AB58)</f>
        <v/>
      </c>
      <c r="P58" s="182" t="n">
        <v>100</v>
      </c>
      <c r="Q58" s="182" t="n">
        <v>130</v>
      </c>
      <c r="R58" s="182" t="n">
        <v>160</v>
      </c>
      <c r="S58" s="182" t="n">
        <v>100</v>
      </c>
      <c r="T58" s="182" t="n">
        <v>150</v>
      </c>
      <c r="U58" s="182" t="n">
        <v>120</v>
      </c>
      <c r="V58" s="182" t="n">
        <v>140</v>
      </c>
      <c r="W58" s="182" t="n">
        <v>500</v>
      </c>
      <c r="X58" s="182" t="n">
        <v>62.8</v>
      </c>
      <c r="Y58" s="182" t="n">
        <v>50</v>
      </c>
      <c r="Z58" s="182" t="n">
        <v>110</v>
      </c>
      <c r="AA58" s="182" t="n">
        <v>101.8</v>
      </c>
      <c r="AB58" s="182" t="n">
        <v>100</v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4" t="n"/>
      <c r="B59" s="231" t="inlineStr">
        <is>
          <t>SKU-F676B681</t>
        </is>
      </c>
      <c r="C59" s="231" t="inlineStr">
        <is>
          <t>是</t>
        </is>
      </c>
      <c r="D59" s="231" t="n">
        <v>9</v>
      </c>
      <c r="E59" s="231" t="inlineStr"/>
      <c r="F59" s="231" t="inlineStr">
        <is>
          <t>是</t>
        </is>
      </c>
      <c r="G59" s="231" t="inlineStr"/>
      <c r="H59" s="231" t="inlineStr"/>
      <c r="I59" s="231" t="inlineStr">
        <is>
          <t>是</t>
        </is>
      </c>
      <c r="J59" s="27" t="inlineStr"/>
      <c r="K59" s="27" t="inlineStr"/>
      <c r="L59" s="231" t="n">
        <v>100</v>
      </c>
      <c r="M59" s="44" t="inlineStr">
        <is>
          <t>Product-33875634</t>
        </is>
      </c>
      <c r="N59" s="231" t="n">
        <v>1</v>
      </c>
      <c r="O59" s="181">
        <f>SUM(P59:AB59)</f>
        <v/>
      </c>
      <c r="P59" s="182" t="n">
        <v>0</v>
      </c>
      <c r="Q59" s="182" t="n">
        <v>0</v>
      </c>
      <c r="R59" s="182" t="n">
        <v>0</v>
      </c>
      <c r="S59" s="182" t="n">
        <v>0</v>
      </c>
      <c r="T59" s="182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4" t="n"/>
      <c r="B60" s="231" t="inlineStr">
        <is>
          <t>SKU-E4C1BC6F</t>
        </is>
      </c>
      <c r="C60" s="231" t="inlineStr">
        <is>
          <t>是</t>
        </is>
      </c>
      <c r="D60" s="231" t="n">
        <v>8</v>
      </c>
      <c r="E60" s="231" t="inlineStr">
        <is>
          <t>是</t>
        </is>
      </c>
      <c r="F60" s="231" t="inlineStr"/>
      <c r="G60" s="231" t="inlineStr"/>
      <c r="H60" s="231" t="inlineStr"/>
      <c r="I60" s="231" t="inlineStr">
        <is>
          <t>是</t>
        </is>
      </c>
      <c r="J60" s="27" t="inlineStr">
        <is>
          <t>共</t>
        </is>
      </c>
      <c r="K60" s="27" t="inlineStr"/>
      <c r="L60" s="231" t="n">
        <v>100</v>
      </c>
      <c r="M60" s="19" t="inlineStr">
        <is>
          <t>Product-10F9DCAD</t>
        </is>
      </c>
      <c r="N60" s="231" t="n">
        <v>1</v>
      </c>
      <c r="O60" s="181">
        <f>SUM(P60:AB60)</f>
        <v/>
      </c>
      <c r="P60" s="182" t="n">
        <v>362.1</v>
      </c>
      <c r="Q60" s="182" t="n">
        <v>586.4</v>
      </c>
      <c r="R60" s="182" t="n">
        <v>372.2</v>
      </c>
      <c r="S60" s="182" t="n">
        <v>191.1</v>
      </c>
      <c r="T60" s="182" t="n">
        <v>269.6</v>
      </c>
      <c r="U60" s="182" t="n">
        <v>271.6</v>
      </c>
      <c r="V60" s="182" t="n">
        <v>181</v>
      </c>
      <c r="W60" s="182" t="n">
        <v>467.7</v>
      </c>
      <c r="X60" s="182" t="n">
        <v>181</v>
      </c>
      <c r="Y60" s="182" t="n">
        <v>352</v>
      </c>
      <c r="Z60" s="182" t="n">
        <v>166</v>
      </c>
      <c r="AA60" s="182" t="n">
        <v>191.1</v>
      </c>
      <c r="AB60" s="182" t="n">
        <v>208.2</v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4" t="n"/>
      <c r="B61" s="231" t="inlineStr">
        <is>
          <t>SKU-CD605EDE</t>
        </is>
      </c>
      <c r="C61" s="231" t="inlineStr">
        <is>
          <t>是</t>
        </is>
      </c>
      <c r="D61" s="231" t="n">
        <v>9</v>
      </c>
      <c r="E61" s="231" t="inlineStr"/>
      <c r="F61" s="231" t="inlineStr">
        <is>
          <t>是</t>
        </is>
      </c>
      <c r="G61" s="231" t="inlineStr"/>
      <c r="H61" s="231" t="inlineStr"/>
      <c r="I61" s="231" t="inlineStr">
        <is>
          <t>是</t>
        </is>
      </c>
      <c r="J61" s="27" t="inlineStr"/>
      <c r="K61" s="27" t="inlineStr"/>
      <c r="L61" s="231" t="n">
        <v>100</v>
      </c>
      <c r="M61" s="19" t="inlineStr">
        <is>
          <t>Product-219B759F</t>
        </is>
      </c>
      <c r="N61" s="231" t="n">
        <v>1</v>
      </c>
      <c r="O61" s="181">
        <f>SUM(P61:AB61)</f>
        <v/>
      </c>
      <c r="P61" s="182" t="n">
        <v>11.7</v>
      </c>
      <c r="Q61" s="182" t="n">
        <v>13.9</v>
      </c>
      <c r="R61" s="182" t="n">
        <v>3</v>
      </c>
      <c r="S61" s="182" t="n">
        <v>6.6</v>
      </c>
      <c r="T61" s="182" t="n">
        <v>8.1</v>
      </c>
      <c r="U61" s="182" t="n">
        <v>6.7</v>
      </c>
      <c r="V61" s="182" t="n">
        <v>6.5</v>
      </c>
      <c r="W61" s="182" t="n">
        <v>18.5</v>
      </c>
      <c r="X61" s="182" t="n">
        <v>10.8</v>
      </c>
      <c r="Y61" s="182" t="n">
        <v>7.8</v>
      </c>
      <c r="Z61" s="182" t="n">
        <v>8.5</v>
      </c>
      <c r="AA61" s="182" t="n">
        <v>7.2</v>
      </c>
      <c r="AB61" s="182" t="n">
        <v>5</v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5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 t="n">
        <v>1622.8</v>
      </c>
      <c r="Q62" s="51" t="n">
        <v>2011.3</v>
      </c>
      <c r="R62" s="51" t="n">
        <v>2139.2</v>
      </c>
      <c r="S62" s="51" t="n">
        <v>1171.7</v>
      </c>
      <c r="T62" s="51" t="n">
        <v>1553.7</v>
      </c>
      <c r="U62" s="51" t="n">
        <v>1230.3</v>
      </c>
      <c r="V62" s="51" t="n">
        <v>1051.5</v>
      </c>
      <c r="W62" s="51" t="n">
        <v>3125.2</v>
      </c>
      <c r="X62" s="51" t="n">
        <v>1745.4</v>
      </c>
      <c r="Y62" s="51" t="n">
        <v>1156.8</v>
      </c>
      <c r="Z62" s="51" t="n">
        <v>1221.5</v>
      </c>
      <c r="AA62" s="51" t="n">
        <v>1026.1</v>
      </c>
      <c r="AB62" s="51" t="n">
        <v>820.1</v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31" t="inlineStr">
        <is>
          <t>SKU-BBC3DCE6</t>
        </is>
      </c>
      <c r="C63" s="231" t="inlineStr">
        <is>
          <t>是</t>
        </is>
      </c>
      <c r="D63" s="231" t="n">
        <v>8</v>
      </c>
      <c r="E63" s="231" t="inlineStr">
        <is>
          <t>是</t>
        </is>
      </c>
      <c r="F63" s="231" t="inlineStr"/>
      <c r="G63" s="231" t="inlineStr"/>
      <c r="H63" s="231" t="inlineStr"/>
      <c r="I63" s="231" t="inlineStr">
        <is>
          <t>是</t>
        </is>
      </c>
      <c r="J63" s="27" t="inlineStr"/>
      <c r="K63" s="27" t="inlineStr"/>
      <c r="L63" s="231" t="n">
        <v>100</v>
      </c>
      <c r="M63" s="19" t="inlineStr">
        <is>
          <t>Product-3237B6F2</t>
        </is>
      </c>
      <c r="N63" s="231" t="n">
        <v>1</v>
      </c>
      <c r="O63" s="181">
        <f>SUM(P63:AB63)</f>
        <v/>
      </c>
      <c r="P63" s="182" t="n">
        <v>3</v>
      </c>
      <c r="Q63" s="182" t="n">
        <v>4.1</v>
      </c>
      <c r="R63" s="182" t="n">
        <v>3</v>
      </c>
      <c r="S63" s="182" t="n">
        <v>1</v>
      </c>
      <c r="T63" s="182" t="n">
        <v>6.5</v>
      </c>
      <c r="U63" s="182" t="n">
        <v>1.4</v>
      </c>
      <c r="V63" s="182" t="n">
        <v>1.5</v>
      </c>
      <c r="W63" s="182" t="n">
        <v>3</v>
      </c>
      <c r="X63" s="182" t="n">
        <v>1</v>
      </c>
      <c r="Y63" s="182" t="n">
        <v>2</v>
      </c>
      <c r="Z63" s="182" t="n">
        <v>1</v>
      </c>
      <c r="AA63" s="182" t="n">
        <v>1</v>
      </c>
      <c r="AB63" s="182" t="n">
        <v>1</v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4" t="n"/>
      <c r="B64" s="231" t="inlineStr">
        <is>
          <t>SKU-B505F1AF</t>
        </is>
      </c>
      <c r="C64" s="231" t="inlineStr">
        <is>
          <t>是</t>
        </is>
      </c>
      <c r="D64" s="231" t="n">
        <v>10</v>
      </c>
      <c r="E64" s="231" t="inlineStr"/>
      <c r="F64" s="231" t="inlineStr">
        <is>
          <t>是</t>
        </is>
      </c>
      <c r="G64" s="231" t="inlineStr"/>
      <c r="H64" s="231" t="inlineStr"/>
      <c r="I64" s="231" t="inlineStr">
        <is>
          <t>是</t>
        </is>
      </c>
      <c r="J64" s="27" t="inlineStr"/>
      <c r="K64" s="27" t="inlineStr"/>
      <c r="L64" s="231" t="n">
        <v>100</v>
      </c>
      <c r="M64" s="19" t="inlineStr">
        <is>
          <t>Product-3EEAD3B7</t>
        </is>
      </c>
      <c r="N64" s="231" t="n">
        <v>1</v>
      </c>
      <c r="O64" s="181">
        <f>SUM(P64:AB64)</f>
        <v/>
      </c>
      <c r="P64" s="182" t="n">
        <v>2</v>
      </c>
      <c r="Q64" s="182" t="n">
        <v>6.9</v>
      </c>
      <c r="R64" s="182" t="n">
        <v>6.8</v>
      </c>
      <c r="S64" s="182" t="n">
        <v>3.3</v>
      </c>
      <c r="T64" s="182" t="n">
        <v>4</v>
      </c>
      <c r="U64" s="182" t="n">
        <v>3.3</v>
      </c>
      <c r="V64" s="182" t="n">
        <v>3.2</v>
      </c>
      <c r="W64" s="182" t="n">
        <v>9.1</v>
      </c>
      <c r="X64" s="182" t="n">
        <v>5.4</v>
      </c>
      <c r="Y64" s="182" t="n">
        <v>3.9</v>
      </c>
      <c r="Z64" s="182" t="n">
        <v>4.2</v>
      </c>
      <c r="AA64" s="182" t="n">
        <v>3.6</v>
      </c>
      <c r="AB64" s="182" t="n">
        <v>2.5</v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5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 t="n">
        <v>5</v>
      </c>
      <c r="Q65" s="51" t="n">
        <v>11</v>
      </c>
      <c r="R65" s="51" t="n">
        <v>9.800000000000001</v>
      </c>
      <c r="S65" s="51" t="n">
        <v>4.3</v>
      </c>
      <c r="T65" s="51" t="n">
        <v>10.5</v>
      </c>
      <c r="U65" s="51" t="n">
        <v>4.7</v>
      </c>
      <c r="V65" s="51" t="n">
        <v>4.7</v>
      </c>
      <c r="W65" s="51" t="n">
        <v>12.1</v>
      </c>
      <c r="X65" s="51" t="n">
        <v>6.4</v>
      </c>
      <c r="Y65" s="51" t="n">
        <v>5.9</v>
      </c>
      <c r="Z65" s="51" t="n">
        <v>5.2</v>
      </c>
      <c r="AA65" s="51" t="n">
        <v>4.6</v>
      </c>
      <c r="AB65" s="51" t="n">
        <v>3.5</v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31" t="inlineStr">
        <is>
          <t>SKU-ADBD66B8</t>
        </is>
      </c>
      <c r="C66" s="231" t="inlineStr">
        <is>
          <t>是</t>
        </is>
      </c>
      <c r="D66" s="231" t="n">
        <v>6</v>
      </c>
      <c r="E66" s="231" t="inlineStr"/>
      <c r="F66" s="231" t="inlineStr"/>
      <c r="G66" s="231" t="inlineStr"/>
      <c r="H66" s="231" t="inlineStr"/>
      <c r="I66" s="231" t="inlineStr"/>
      <c r="J66" s="27" t="inlineStr"/>
      <c r="K66" s="27" t="inlineStr"/>
      <c r="L66" s="231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>
        <v>83</v>
      </c>
      <c r="Q66" s="182" t="n">
        <v>80</v>
      </c>
      <c r="R66" s="182" t="n">
        <v>87</v>
      </c>
      <c r="S66" s="182" t="n">
        <v>47</v>
      </c>
      <c r="T66" s="182" t="n">
        <v>54</v>
      </c>
      <c r="U66" s="182" t="n">
        <v>54</v>
      </c>
      <c r="V66" s="182" t="n">
        <v>40</v>
      </c>
      <c r="W66" s="182" t="n">
        <v>127</v>
      </c>
      <c r="X66" s="182" t="n">
        <v>96</v>
      </c>
      <c r="Y66" s="182" t="n">
        <v>64</v>
      </c>
      <c r="Z66" s="182" t="n">
        <v>65</v>
      </c>
      <c r="AA66" s="182" t="n">
        <v>63</v>
      </c>
      <c r="AB66" s="182" t="n">
        <v>55</v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4" t="n"/>
      <c r="B67" s="231" t="inlineStr">
        <is>
          <t>SKU-77309807</t>
        </is>
      </c>
      <c r="C67" s="231" t="inlineStr">
        <is>
          <t>是</t>
        </is>
      </c>
      <c r="D67" s="231" t="n">
        <v>8</v>
      </c>
      <c r="E67" s="231" t="inlineStr"/>
      <c r="F67" s="231" t="inlineStr"/>
      <c r="G67" s="231" t="inlineStr"/>
      <c r="H67" s="231" t="inlineStr"/>
      <c r="I67" s="231" t="inlineStr"/>
      <c r="J67" s="27" t="inlineStr">
        <is>
          <t>共</t>
        </is>
      </c>
      <c r="K67" s="27" t="inlineStr"/>
      <c r="L67" s="231" t="n">
        <v>100</v>
      </c>
      <c r="M67" s="19" t="inlineStr">
        <is>
          <t>Product-569CC6FE</t>
        </is>
      </c>
      <c r="N67" s="231" t="n">
        <v>2</v>
      </c>
      <c r="O67" s="181">
        <f>SUM(P67:AB67)</f>
        <v/>
      </c>
      <c r="P67" s="182" t="n">
        <v>95</v>
      </c>
      <c r="Q67" s="182" t="n">
        <v>48</v>
      </c>
      <c r="R67" s="182" t="n">
        <v>85</v>
      </c>
      <c r="S67" s="182" t="n">
        <v>31</v>
      </c>
      <c r="T67" s="182" t="n">
        <v>25</v>
      </c>
      <c r="U67" s="182" t="n">
        <v>11.4</v>
      </c>
      <c r="V67" s="182" t="n">
        <v>20</v>
      </c>
      <c r="W67" s="182" t="n">
        <v>100</v>
      </c>
      <c r="X67" s="182" t="n">
        <v>23</v>
      </c>
      <c r="Y67" s="182" t="n">
        <v>5</v>
      </c>
      <c r="Z67" s="182" t="n">
        <v>12</v>
      </c>
      <c r="AA67" s="182" t="n">
        <v>2</v>
      </c>
      <c r="AB67" s="182" t="n">
        <v>10</v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4" t="n"/>
      <c r="B68" s="231" t="inlineStr">
        <is>
          <t>SKU-20CF6943</t>
        </is>
      </c>
      <c r="C68" s="231" t="inlineStr">
        <is>
          <t>是</t>
        </is>
      </c>
      <c r="D68" s="231" t="n">
        <v>8</v>
      </c>
      <c r="E68" s="231" t="inlineStr"/>
      <c r="F68" s="231" t="inlineStr"/>
      <c r="G68" s="231" t="inlineStr"/>
      <c r="H68" s="231" t="inlineStr">
        <is>
          <t>是</t>
        </is>
      </c>
      <c r="I68" s="231" t="inlineStr">
        <is>
          <t>是</t>
        </is>
      </c>
      <c r="J68" s="27" t="inlineStr"/>
      <c r="K68" s="27" t="inlineStr"/>
      <c r="L68" s="231" t="n">
        <v>100</v>
      </c>
      <c r="M68" s="19" t="inlineStr">
        <is>
          <t>Product-D195C7CE</t>
        </is>
      </c>
      <c r="N68" s="231" t="n">
        <v>3</v>
      </c>
      <c r="O68" s="181">
        <f>SUM(P68:AB68)</f>
        <v/>
      </c>
      <c r="P68" s="182" t="n">
        <v>15</v>
      </c>
      <c r="Q68" s="182" t="n">
        <v>25</v>
      </c>
      <c r="R68" s="182" t="n">
        <v>30</v>
      </c>
      <c r="S68" s="182" t="n">
        <v>5</v>
      </c>
      <c r="T68" s="182" t="n">
        <v>17</v>
      </c>
      <c r="U68" s="182" t="n">
        <v>12.4</v>
      </c>
      <c r="V68" s="182" t="n">
        <v>8</v>
      </c>
      <c r="W68" s="182" t="n">
        <v>30</v>
      </c>
      <c r="X68" s="182" t="n">
        <v>19.2</v>
      </c>
      <c r="Y68" s="182" t="n">
        <v>3</v>
      </c>
      <c r="Z68" s="182" t="n">
        <v>30</v>
      </c>
      <c r="AA68" s="182" t="n">
        <v>3.2</v>
      </c>
      <c r="AB68" s="182" t="n">
        <v>2</v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4" t="n"/>
      <c r="B69" s="231" t="inlineStr">
        <is>
          <t>SKU-64A5E460</t>
        </is>
      </c>
      <c r="C69" s="231" t="inlineStr">
        <is>
          <t>是</t>
        </is>
      </c>
      <c r="D69" s="231" t="n">
        <v>8</v>
      </c>
      <c r="E69" s="231" t="inlineStr"/>
      <c r="F69" s="231" t="inlineStr">
        <is>
          <t>是</t>
        </is>
      </c>
      <c r="G69" s="231" t="inlineStr"/>
      <c r="H69" s="231" t="inlineStr"/>
      <c r="I69" s="231" t="inlineStr">
        <is>
          <t>是</t>
        </is>
      </c>
      <c r="J69" s="27" t="inlineStr"/>
      <c r="K69" s="27" t="inlineStr"/>
      <c r="L69" s="231" t="n">
        <v>100</v>
      </c>
      <c r="M69" s="19" t="inlineStr">
        <is>
          <t>Product-6C74D635</t>
        </is>
      </c>
      <c r="N69" s="231" t="n">
        <v>1</v>
      </c>
      <c r="O69" s="181">
        <f>SUM(P69:AB69)</f>
        <v/>
      </c>
      <c r="P69" s="182" t="n">
        <v>32.5</v>
      </c>
      <c r="Q69" s="182" t="n">
        <v>27.8</v>
      </c>
      <c r="R69" s="182" t="n">
        <v>62.2</v>
      </c>
      <c r="S69" s="182" t="n">
        <v>16.7</v>
      </c>
      <c r="T69" s="182" t="n">
        <v>18.6</v>
      </c>
      <c r="U69" s="182" t="n">
        <v>8.4</v>
      </c>
      <c r="V69" s="182" t="n">
        <v>15.8</v>
      </c>
      <c r="W69" s="182" t="n">
        <v>37</v>
      </c>
      <c r="X69" s="182" t="n">
        <v>8</v>
      </c>
      <c r="Y69" s="182" t="n">
        <v>9.300000000000001</v>
      </c>
      <c r="Z69" s="182" t="n">
        <v>29.7</v>
      </c>
      <c r="AA69" s="182" t="n">
        <v>9.800000000000001</v>
      </c>
      <c r="AB69" s="182" t="n">
        <v>4.2</v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5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 t="n">
        <v>225.5</v>
      </c>
      <c r="Q70" s="51" t="n">
        <v>180.8</v>
      </c>
      <c r="R70" s="51" t="n">
        <v>264.2</v>
      </c>
      <c r="S70" s="51" t="n">
        <v>99.7</v>
      </c>
      <c r="T70" s="51" t="n">
        <v>114.6</v>
      </c>
      <c r="U70" s="51" t="n">
        <v>86.2</v>
      </c>
      <c r="V70" s="51" t="n">
        <v>83.8</v>
      </c>
      <c r="W70" s="51" t="n">
        <v>294</v>
      </c>
      <c r="X70" s="51" t="n">
        <v>146.2</v>
      </c>
      <c r="Y70" s="51" t="n">
        <v>81.3</v>
      </c>
      <c r="Z70" s="51" t="n">
        <v>136.7</v>
      </c>
      <c r="AA70" s="51" t="n">
        <v>78</v>
      </c>
      <c r="AB70" s="51" t="n">
        <v>71.2</v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31" t="inlineStr">
        <is>
          <t>SKU-D485CCCA</t>
        </is>
      </c>
      <c r="C71" s="231" t="inlineStr"/>
      <c r="D71" s="231" t="n">
        <v>10</v>
      </c>
      <c r="E71" s="231" t="inlineStr"/>
      <c r="F71" s="231" t="inlineStr">
        <is>
          <t>是</t>
        </is>
      </c>
      <c r="G71" s="231" t="inlineStr"/>
      <c r="H71" s="231" t="inlineStr"/>
      <c r="I71" s="231" t="inlineStr">
        <is>
          <t>是</t>
        </is>
      </c>
      <c r="J71" s="27" t="inlineStr"/>
      <c r="K71" s="27" t="inlineStr"/>
      <c r="L71" s="231" t="n">
        <v>100</v>
      </c>
      <c r="M71" s="19" t="inlineStr">
        <is>
          <t>Product-05507059</t>
        </is>
      </c>
      <c r="N71" s="231" t="n">
        <v>3</v>
      </c>
      <c r="O71" s="181">
        <f>SUM(P71:AB71)</f>
        <v/>
      </c>
      <c r="P71" s="182" t="n">
        <v>56</v>
      </c>
      <c r="Q71" s="182" t="n">
        <v>66</v>
      </c>
      <c r="R71" s="182" t="n">
        <v>65</v>
      </c>
      <c r="S71" s="182" t="n">
        <v>32</v>
      </c>
      <c r="T71" s="182" t="n">
        <v>39</v>
      </c>
      <c r="U71" s="182" t="n">
        <v>32</v>
      </c>
      <c r="V71" s="182" t="n">
        <v>31</v>
      </c>
      <c r="W71" s="182" t="n">
        <v>89</v>
      </c>
      <c r="X71" s="182" t="n">
        <v>52</v>
      </c>
      <c r="Y71" s="182" t="n">
        <v>37</v>
      </c>
      <c r="Z71" s="182" t="n">
        <v>40</v>
      </c>
      <c r="AA71" s="182" t="n">
        <v>35</v>
      </c>
      <c r="AB71" s="182" t="n">
        <v>26</v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4" t="n"/>
      <c r="B72" s="231" t="inlineStr">
        <is>
          <t>SKU-66238053</t>
        </is>
      </c>
      <c r="C72" s="231" t="inlineStr"/>
      <c r="D72" s="231" t="n">
        <v>8</v>
      </c>
      <c r="E72" s="231" t="inlineStr">
        <is>
          <t>是</t>
        </is>
      </c>
      <c r="F72" s="231" t="inlineStr"/>
      <c r="G72" s="231" t="inlineStr"/>
      <c r="H72" s="231" t="inlineStr"/>
      <c r="I72" s="231" t="inlineStr">
        <is>
          <t>是</t>
        </is>
      </c>
      <c r="J72" s="27" t="inlineStr"/>
      <c r="K72" s="27" t="inlineStr"/>
      <c r="L72" s="231" t="n">
        <v>100</v>
      </c>
      <c r="M72" s="43" t="inlineStr">
        <is>
          <t>Product-B4F67B70</t>
        </is>
      </c>
      <c r="N72" s="231" t="n">
        <v>2</v>
      </c>
      <c r="O72" s="181">
        <f>SUM(P72:AB72)</f>
        <v/>
      </c>
      <c r="P72" s="182" t="n">
        <v>0</v>
      </c>
      <c r="Q72" s="182" t="n">
        <v>0</v>
      </c>
      <c r="R72" s="182" t="n">
        <v>0</v>
      </c>
      <c r="S72" s="182" t="n">
        <v>0</v>
      </c>
      <c r="T72" s="182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4" t="n"/>
      <c r="B73" s="231" t="inlineStr">
        <is>
          <t>SKU-AEC03642</t>
        </is>
      </c>
      <c r="C73" s="231" t="inlineStr"/>
      <c r="D73" s="231" t="n">
        <v>8</v>
      </c>
      <c r="E73" s="231" t="inlineStr"/>
      <c r="F73" s="231" t="inlineStr">
        <is>
          <t>是</t>
        </is>
      </c>
      <c r="G73" s="231" t="inlineStr"/>
      <c r="H73" s="231" t="inlineStr"/>
      <c r="I73" s="231" t="inlineStr">
        <is>
          <t>是</t>
        </is>
      </c>
      <c r="J73" s="27" t="inlineStr"/>
      <c r="K73" s="27" t="inlineStr"/>
      <c r="L73" s="231" t="n">
        <v>100</v>
      </c>
      <c r="M73" s="45" t="inlineStr">
        <is>
          <t>Product-5A4A091A</t>
        </is>
      </c>
      <c r="N73" s="231" t="n">
        <v>1</v>
      </c>
      <c r="O73" s="181">
        <f>SUM(P73:AB73)</f>
        <v/>
      </c>
      <c r="P73" s="182" t="n">
        <v>7.5</v>
      </c>
      <c r="Q73" s="182" t="n">
        <v>8.9</v>
      </c>
      <c r="R73" s="182" t="n">
        <v>8.699999999999999</v>
      </c>
      <c r="S73" s="182" t="n">
        <v>4.3</v>
      </c>
      <c r="T73" s="182" t="n">
        <v>5.2</v>
      </c>
      <c r="U73" s="182" t="n">
        <v>4.3</v>
      </c>
      <c r="V73" s="182" t="n">
        <v>4.2</v>
      </c>
      <c r="W73" s="182" t="n">
        <v>11.8</v>
      </c>
      <c r="X73" s="182" t="n">
        <v>6.9</v>
      </c>
      <c r="Y73" s="182" t="n">
        <v>5</v>
      </c>
      <c r="Z73" s="182" t="n">
        <v>5.4</v>
      </c>
      <c r="AA73" s="182" t="n">
        <v>4.6</v>
      </c>
      <c r="AB73" s="182" t="n">
        <v>3.2</v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5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 t="n">
        <v>63.5</v>
      </c>
      <c r="Q74" s="51" t="n">
        <v>74.90000000000001</v>
      </c>
      <c r="R74" s="51" t="n">
        <v>73.7</v>
      </c>
      <c r="S74" s="51" t="n">
        <v>36.3</v>
      </c>
      <c r="T74" s="51" t="n">
        <v>44.2</v>
      </c>
      <c r="U74" s="51" t="n">
        <v>36.3</v>
      </c>
      <c r="V74" s="51" t="n">
        <v>35.2</v>
      </c>
      <c r="W74" s="51" t="n">
        <v>100.8</v>
      </c>
      <c r="X74" s="51" t="n">
        <v>58.9</v>
      </c>
      <c r="Y74" s="51" t="n">
        <v>42</v>
      </c>
      <c r="Z74" s="51" t="n">
        <v>45.4</v>
      </c>
      <c r="AA74" s="51" t="n">
        <v>39.6</v>
      </c>
      <c r="AB74" s="51" t="n">
        <v>29.2</v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31" t="inlineStr">
        <is>
          <t>SKU-6FADBEBD</t>
        </is>
      </c>
      <c r="C75" s="231" t="inlineStr">
        <is>
          <t>是</t>
        </is>
      </c>
      <c r="D75" s="231" t="n">
        <v>5</v>
      </c>
      <c r="E75" s="231" t="inlineStr">
        <is>
          <t>是</t>
        </is>
      </c>
      <c r="F75" s="231" t="inlineStr"/>
      <c r="G75" s="231" t="inlineStr"/>
      <c r="H75" s="231" t="inlineStr"/>
      <c r="I75" s="231" t="inlineStr">
        <is>
          <t>是</t>
        </is>
      </c>
      <c r="J75" s="27" t="inlineStr">
        <is>
          <t>共</t>
        </is>
      </c>
      <c r="K75" s="27" t="inlineStr"/>
      <c r="L75" s="231" t="n">
        <v>100</v>
      </c>
      <c r="M75" s="19" t="inlineStr">
        <is>
          <t>Product-224E6368</t>
        </is>
      </c>
      <c r="N75" s="231" t="n">
        <v>1</v>
      </c>
      <c r="O75" s="181">
        <f>SUM(P75:AB75)</f>
        <v/>
      </c>
      <c r="P75" s="182" t="n">
        <v>6.9</v>
      </c>
      <c r="Q75" s="182" t="n">
        <v>10.3</v>
      </c>
      <c r="R75" s="182" t="n">
        <v>17.1</v>
      </c>
      <c r="S75" s="182" t="n">
        <v>3.4</v>
      </c>
      <c r="T75" s="182" t="n">
        <v>17.1</v>
      </c>
      <c r="U75" s="182" t="n">
        <v>17.1</v>
      </c>
      <c r="V75" s="182" t="n">
        <v>3.4</v>
      </c>
      <c r="W75" s="182" t="n">
        <v>1</v>
      </c>
      <c r="X75" s="182" t="n">
        <v>19.7</v>
      </c>
      <c r="Y75" s="182" t="n">
        <v>7.7</v>
      </c>
      <c r="Z75" s="182" t="n">
        <v>6.9</v>
      </c>
      <c r="AA75" s="182" t="n">
        <v>4.3</v>
      </c>
      <c r="AB75" s="182" t="n">
        <v>5.1</v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4" t="n"/>
      <c r="B76" s="231" t="inlineStr">
        <is>
          <t>SKU-6772DEBE</t>
        </is>
      </c>
      <c r="C76" s="231" t="inlineStr">
        <is>
          <t>是</t>
        </is>
      </c>
      <c r="D76" s="231" t="n">
        <v>6</v>
      </c>
      <c r="E76" s="231" t="inlineStr"/>
      <c r="F76" s="231" t="inlineStr">
        <is>
          <t>是</t>
        </is>
      </c>
      <c r="G76" s="231" t="inlineStr"/>
      <c r="H76" s="231" t="inlineStr"/>
      <c r="I76" s="231" t="inlineStr">
        <is>
          <t>是</t>
        </is>
      </c>
      <c r="J76" s="27" t="inlineStr"/>
      <c r="K76" s="27" t="inlineStr"/>
      <c r="L76" s="231" t="n">
        <v>100</v>
      </c>
      <c r="M76" s="19" t="inlineStr">
        <is>
          <t>Product-82693D22</t>
        </is>
      </c>
      <c r="N76" s="231" t="n">
        <v>1</v>
      </c>
      <c r="O76" s="181">
        <f>SUM(P76:AB76)</f>
        <v/>
      </c>
      <c r="P76" s="182" t="n">
        <v>30</v>
      </c>
      <c r="Q76" s="182" t="n">
        <v>30</v>
      </c>
      <c r="R76" s="182" t="n">
        <v>40</v>
      </c>
      <c r="S76" s="182" t="n">
        <v>39</v>
      </c>
      <c r="T76" s="182" t="n">
        <v>132</v>
      </c>
      <c r="U76" s="182" t="n">
        <v>40</v>
      </c>
      <c r="V76" s="182" t="n">
        <v>22</v>
      </c>
      <c r="W76" s="182" t="n">
        <v>90</v>
      </c>
      <c r="X76" s="182" t="n">
        <v>40</v>
      </c>
      <c r="Y76" s="182" t="n">
        <v>30</v>
      </c>
      <c r="Z76" s="182" t="n">
        <v>30</v>
      </c>
      <c r="AA76" s="182" t="n">
        <v>10</v>
      </c>
      <c r="AB76" s="182" t="n">
        <v>20.7</v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4" t="n"/>
      <c r="B77" s="231" t="inlineStr">
        <is>
          <t>SKU-3B2628FE</t>
        </is>
      </c>
      <c r="C77" s="231" t="inlineStr">
        <is>
          <t>是</t>
        </is>
      </c>
      <c r="D77" s="231" t="n">
        <v>8</v>
      </c>
      <c r="E77" s="231" t="inlineStr"/>
      <c r="F77" s="231" t="inlineStr">
        <is>
          <t>是</t>
        </is>
      </c>
      <c r="G77" s="231" t="inlineStr"/>
      <c r="H77" s="231" t="inlineStr"/>
      <c r="I77" s="231" t="inlineStr">
        <is>
          <t>是</t>
        </is>
      </c>
      <c r="J77" s="27" t="inlineStr"/>
      <c r="K77" s="27" t="inlineStr"/>
      <c r="L77" s="231" t="n">
        <v>100</v>
      </c>
      <c r="M77" s="44" t="inlineStr">
        <is>
          <t>Product-F68D7468</t>
        </is>
      </c>
      <c r="N77" s="231" t="n">
        <v>1</v>
      </c>
      <c r="O77" s="181">
        <f>SUM(P77:AB77)</f>
        <v/>
      </c>
      <c r="P77" s="182" t="n">
        <v>0</v>
      </c>
      <c r="Q77" s="182" t="n">
        <v>0</v>
      </c>
      <c r="R77" s="182" t="n">
        <v>0</v>
      </c>
      <c r="S77" s="182" t="n">
        <v>0</v>
      </c>
      <c r="T77" s="182" t="n">
        <v>0</v>
      </c>
      <c r="U77" s="182" t="n">
        <v>0</v>
      </c>
      <c r="V77" s="182" t="n">
        <v>0</v>
      </c>
      <c r="W77" s="182" t="n">
        <v>0</v>
      </c>
      <c r="X77" s="182" t="n">
        <v>0</v>
      </c>
      <c r="Y77" s="182" t="n">
        <v>0</v>
      </c>
      <c r="Z77" s="182" t="n">
        <v>0</v>
      </c>
      <c r="AA77" s="182" t="n">
        <v>0</v>
      </c>
      <c r="AB77" s="182" t="n">
        <v>0</v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4" t="n"/>
      <c r="B78" s="231" t="inlineStr">
        <is>
          <t>SKU-01CFC7C8</t>
        </is>
      </c>
      <c r="C78" s="231" t="inlineStr">
        <is>
          <t>是</t>
        </is>
      </c>
      <c r="D78" s="231" t="n">
        <v>3</v>
      </c>
      <c r="E78" s="231" t="inlineStr">
        <is>
          <t>是</t>
        </is>
      </c>
      <c r="F78" s="231" t="inlineStr"/>
      <c r="G78" s="231" t="inlineStr"/>
      <c r="H78" s="231" t="inlineStr"/>
      <c r="I78" s="231" t="inlineStr">
        <is>
          <t>是</t>
        </is>
      </c>
      <c r="J78" s="27" t="inlineStr"/>
      <c r="K78" s="27" t="inlineStr"/>
      <c r="L78" s="231" t="n">
        <v>100</v>
      </c>
      <c r="M78" s="19" t="inlineStr">
        <is>
          <t>Product-1385CA82</t>
        </is>
      </c>
      <c r="N78" s="231" t="n">
        <v>1</v>
      </c>
      <c r="O78" s="181">
        <f>SUM(P78:AB78)</f>
        <v/>
      </c>
      <c r="P78" s="182" t="n">
        <v>1.9</v>
      </c>
      <c r="Q78" s="182" t="n">
        <v>2.2</v>
      </c>
      <c r="R78" s="182" t="n">
        <v>2.2</v>
      </c>
      <c r="S78" s="182" t="n">
        <v>1.1</v>
      </c>
      <c r="T78" s="182" t="n">
        <v>1.3</v>
      </c>
      <c r="U78" s="182" t="n">
        <v>1.1</v>
      </c>
      <c r="V78" s="182" t="n">
        <v>1</v>
      </c>
      <c r="W78" s="182" t="n">
        <v>2.9</v>
      </c>
      <c r="X78" s="182" t="n">
        <v>1.7</v>
      </c>
      <c r="Y78" s="182" t="n">
        <v>1.2</v>
      </c>
      <c r="Z78" s="182" t="n">
        <v>1.4</v>
      </c>
      <c r="AA78" s="182" t="n">
        <v>1.2</v>
      </c>
      <c r="AB78" s="182" t="n">
        <v>0.8</v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4" t="n"/>
      <c r="B79" s="231" t="inlineStr">
        <is>
          <t>SKU-3BC6D3D6</t>
        </is>
      </c>
      <c r="C79" s="231" t="inlineStr">
        <is>
          <t>是</t>
        </is>
      </c>
      <c r="D79" s="231" t="n">
        <v>10</v>
      </c>
      <c r="E79" s="231" t="inlineStr"/>
      <c r="F79" s="231" t="inlineStr"/>
      <c r="G79" s="231" t="inlineStr"/>
      <c r="H79" s="231" t="inlineStr"/>
      <c r="I79" s="231" t="inlineStr"/>
      <c r="J79" s="27" t="inlineStr"/>
      <c r="K79" s="27" t="inlineStr"/>
      <c r="L79" s="231" t="n">
        <v>100</v>
      </c>
      <c r="M79" s="19" t="inlineStr">
        <is>
          <t>Product-7FD02DE1</t>
        </is>
      </c>
      <c r="N79" s="231" t="n">
        <v>2</v>
      </c>
      <c r="O79" s="181">
        <f>SUM(P79:AB79)</f>
        <v/>
      </c>
      <c r="P79" s="182" t="n">
        <v>108.3</v>
      </c>
      <c r="Q79" s="182" t="n">
        <v>32.8</v>
      </c>
      <c r="R79" s="182" t="n">
        <v>27.3</v>
      </c>
      <c r="S79" s="182" t="n">
        <v>21.9</v>
      </c>
      <c r="T79" s="182" t="n">
        <v>68.90000000000001</v>
      </c>
      <c r="U79" s="182" t="n">
        <v>50.3</v>
      </c>
      <c r="V79" s="182" t="n">
        <v>32.8</v>
      </c>
      <c r="W79" s="182" t="n">
        <v>49</v>
      </c>
      <c r="X79" s="182" t="n">
        <v>69.8</v>
      </c>
      <c r="Y79" s="182" t="n">
        <v>40.5</v>
      </c>
      <c r="Z79" s="182" t="n">
        <v>38.3</v>
      </c>
      <c r="AA79" s="182" t="n">
        <v>66.3</v>
      </c>
      <c r="AB79" s="182" t="n">
        <v>33.8</v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5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 t="n">
        <v>147.1</v>
      </c>
      <c r="Q80" s="51" t="n">
        <v>75.3</v>
      </c>
      <c r="R80" s="51" t="n">
        <v>86.59999999999999</v>
      </c>
      <c r="S80" s="51" t="n">
        <v>65.40000000000001</v>
      </c>
      <c r="T80" s="51" t="n">
        <v>219.3</v>
      </c>
      <c r="U80" s="51" t="n">
        <v>108.5</v>
      </c>
      <c r="V80" s="51" t="n">
        <v>59.2</v>
      </c>
      <c r="W80" s="51" t="n">
        <v>142.9</v>
      </c>
      <c r="X80" s="51" t="n">
        <v>131.2</v>
      </c>
      <c r="Y80" s="51" t="n">
        <v>79.40000000000001</v>
      </c>
      <c r="Z80" s="51" t="n">
        <v>76.59999999999999</v>
      </c>
      <c r="AA80" s="51" t="n">
        <v>81.8</v>
      </c>
      <c r="AB80" s="51" t="n">
        <v>60.4</v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31" t="inlineStr">
        <is>
          <t>SKU-2379F692</t>
        </is>
      </c>
      <c r="C81" s="231" t="inlineStr"/>
      <c r="D81" s="231" t="n">
        <v>8</v>
      </c>
      <c r="E81" s="231" t="inlineStr">
        <is>
          <t>是</t>
        </is>
      </c>
      <c r="F81" s="231" t="inlineStr"/>
      <c r="G81" s="231" t="inlineStr"/>
      <c r="H81" s="231" t="inlineStr">
        <is>
          <t>是</t>
        </is>
      </c>
      <c r="I81" s="231" t="inlineStr">
        <is>
          <t>是</t>
        </is>
      </c>
      <c r="J81" s="27" t="inlineStr"/>
      <c r="K81" s="27" t="inlineStr"/>
      <c r="L81" s="231" t="n">
        <v>100</v>
      </c>
      <c r="M81" s="19" t="inlineStr">
        <is>
          <t>Product-1E77ED33</t>
        </is>
      </c>
      <c r="N81" s="231" t="n">
        <v>1</v>
      </c>
      <c r="O81" s="181">
        <f>SUM(P81:AB81)</f>
        <v/>
      </c>
      <c r="P81" s="182" t="n">
        <v>9</v>
      </c>
      <c r="Q81" s="182" t="n">
        <v>13</v>
      </c>
      <c r="R81" s="182" t="n">
        <v>8</v>
      </c>
      <c r="S81" s="182" t="n">
        <v>5</v>
      </c>
      <c r="T81" s="182" t="n">
        <v>7</v>
      </c>
      <c r="U81" s="182" t="n">
        <v>4</v>
      </c>
      <c r="V81" s="182" t="n">
        <v>4</v>
      </c>
      <c r="W81" s="182" t="n">
        <v>12</v>
      </c>
      <c r="X81" s="182" t="n">
        <v>9</v>
      </c>
      <c r="Y81" s="182" t="n">
        <v>6</v>
      </c>
      <c r="Z81" s="182" t="n">
        <v>5</v>
      </c>
      <c r="AA81" s="182" t="n">
        <v>5</v>
      </c>
      <c r="AB81" s="182" t="n">
        <v>3</v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4" t="n"/>
      <c r="B82" s="231" t="inlineStr">
        <is>
          <t>SKU-F2B0F984</t>
        </is>
      </c>
      <c r="C82" s="231" t="inlineStr"/>
      <c r="D82" s="231" t="n">
        <v>10</v>
      </c>
      <c r="E82" s="231" t="inlineStr"/>
      <c r="F82" s="231" t="inlineStr"/>
      <c r="G82" s="231" t="inlineStr"/>
      <c r="H82" s="231" t="inlineStr"/>
      <c r="I82" s="231" t="inlineStr"/>
      <c r="J82" s="27" t="inlineStr"/>
      <c r="K82" s="27" t="inlineStr"/>
      <c r="L82" s="231" t="n">
        <v>100</v>
      </c>
      <c r="M82" s="19" t="inlineStr">
        <is>
          <t>Product-BB38CDED</t>
        </is>
      </c>
      <c r="N82" s="231" t="n">
        <v>1</v>
      </c>
      <c r="O82" s="181">
        <f>SUM(P82:AB82)</f>
        <v/>
      </c>
      <c r="P82" s="182" t="n">
        <v>14</v>
      </c>
      <c r="Q82" s="182" t="n">
        <v>16.7</v>
      </c>
      <c r="R82" s="182" t="n">
        <v>16.4</v>
      </c>
      <c r="S82" s="182" t="n">
        <v>8</v>
      </c>
      <c r="T82" s="182" t="n">
        <v>9.800000000000001</v>
      </c>
      <c r="U82" s="182" t="n">
        <v>8</v>
      </c>
      <c r="V82" s="182" t="n">
        <v>7.8</v>
      </c>
      <c r="W82" s="182" t="n">
        <v>22.1</v>
      </c>
      <c r="X82" s="182" t="n">
        <v>13</v>
      </c>
      <c r="Y82" s="182" t="n">
        <v>9.300000000000001</v>
      </c>
      <c r="Z82" s="182" t="n">
        <v>10.2</v>
      </c>
      <c r="AA82" s="182" t="n">
        <v>8.699999999999999</v>
      </c>
      <c r="AB82" s="182" t="n">
        <v>6</v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5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 t="n">
        <v>23</v>
      </c>
      <c r="Q83" s="51" t="n">
        <v>29.7</v>
      </c>
      <c r="R83" s="51" t="n">
        <v>24.4</v>
      </c>
      <c r="S83" s="51" t="n">
        <v>13</v>
      </c>
      <c r="T83" s="51" t="n">
        <v>16.8</v>
      </c>
      <c r="U83" s="51" t="n">
        <v>12</v>
      </c>
      <c r="V83" s="51" t="n">
        <v>11.8</v>
      </c>
      <c r="W83" s="51" t="n">
        <v>34.1</v>
      </c>
      <c r="X83" s="51" t="n">
        <v>22</v>
      </c>
      <c r="Y83" s="51" t="n">
        <v>15.3</v>
      </c>
      <c r="Z83" s="51" t="n">
        <v>15.2</v>
      </c>
      <c r="AA83" s="51" t="n">
        <v>13.7</v>
      </c>
      <c r="AB83" s="51" t="n">
        <v>9</v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 t="n">
        <v>2230.5</v>
      </c>
      <c r="Q84" s="51" t="n">
        <v>2522.8</v>
      </c>
      <c r="R84" s="51" t="n">
        <v>2690.2</v>
      </c>
      <c r="S84" s="51" t="n">
        <v>1424.3</v>
      </c>
      <c r="T84" s="51" t="n">
        <v>2077.1</v>
      </c>
      <c r="U84" s="51" t="n">
        <v>1574.6</v>
      </c>
      <c r="V84" s="51" t="n">
        <v>1324</v>
      </c>
      <c r="W84" s="51" t="n">
        <v>3912.9</v>
      </c>
      <c r="X84" s="51" t="n">
        <v>2251.7</v>
      </c>
      <c r="Y84" s="51" t="n">
        <v>1541.3</v>
      </c>
      <c r="Z84" s="51" t="n">
        <v>1547.4</v>
      </c>
      <c r="AA84" s="51" t="n">
        <v>1264.4</v>
      </c>
      <c r="AB84" s="51" t="n">
        <v>1023</v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31" t="inlineStr">
        <is>
          <t>SKU-8A01A251</t>
        </is>
      </c>
      <c r="C85" s="231" t="inlineStr">
        <is>
          <t>是</t>
        </is>
      </c>
      <c r="D85" s="231" t="n">
        <v>11</v>
      </c>
      <c r="E85" s="231" t="inlineStr"/>
      <c r="F85" s="231" t="inlineStr"/>
      <c r="G85" s="231" t="inlineStr"/>
      <c r="H85" s="231" t="inlineStr"/>
      <c r="I85" s="231" t="inlineStr"/>
      <c r="J85" s="27" t="inlineStr"/>
      <c r="K85" s="27" t="inlineStr"/>
      <c r="L85" s="231" t="n">
        <v>100</v>
      </c>
      <c r="M85" s="33" t="inlineStr">
        <is>
          <t>Product-E520A49A</t>
        </is>
      </c>
      <c r="N85" s="231" t="n">
        <v>2</v>
      </c>
      <c r="O85" s="181">
        <f>SUM(P85:AB85)</f>
        <v/>
      </c>
      <c r="P85" s="182" t="n">
        <v>0</v>
      </c>
      <c r="Q85" s="182" t="n">
        <v>0</v>
      </c>
      <c r="R85" s="182" t="n">
        <v>0</v>
      </c>
      <c r="S85" s="182" t="n">
        <v>0</v>
      </c>
      <c r="T85" s="182" t="n">
        <v>0</v>
      </c>
      <c r="U85" s="182" t="n">
        <v>0</v>
      </c>
      <c r="V85" s="182" t="n">
        <v>0</v>
      </c>
      <c r="W85" s="182" t="n">
        <v>0</v>
      </c>
      <c r="X85" s="182" t="n">
        <v>0</v>
      </c>
      <c r="Y85" s="182" t="n">
        <v>0</v>
      </c>
      <c r="Z85" s="182" t="n">
        <v>0</v>
      </c>
      <c r="AA85" s="182" t="n">
        <v>0</v>
      </c>
      <c r="AB85" s="182" t="n">
        <v>0</v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4" t="n"/>
      <c r="B86" s="231" t="inlineStr">
        <is>
          <t>SKU-F12BD851</t>
        </is>
      </c>
      <c r="C86" s="231" t="inlineStr">
        <is>
          <t>是</t>
        </is>
      </c>
      <c r="D86" s="231" t="n">
        <v>11</v>
      </c>
      <c r="E86" s="231" t="inlineStr"/>
      <c r="F86" s="231" t="inlineStr"/>
      <c r="G86" s="231" t="inlineStr"/>
      <c r="H86" s="231" t="inlineStr"/>
      <c r="I86" s="231" t="inlineStr"/>
      <c r="J86" s="27" t="inlineStr">
        <is>
          <t>共</t>
        </is>
      </c>
      <c r="K86" s="27" t="inlineStr"/>
      <c r="L86" s="231" t="n">
        <v>100</v>
      </c>
      <c r="M86" s="19" t="inlineStr">
        <is>
          <t>Product-C8CC2E46</t>
        </is>
      </c>
      <c r="N86" s="231" t="n">
        <v>2</v>
      </c>
      <c r="O86" s="181">
        <f>SUM(P86:AB86)</f>
        <v/>
      </c>
      <c r="P86" s="182" t="n">
        <v>244.2</v>
      </c>
      <c r="Q86" s="182" t="n">
        <v>294.7</v>
      </c>
      <c r="R86" s="182" t="n">
        <v>301.2</v>
      </c>
      <c r="S86" s="182" t="n">
        <v>57</v>
      </c>
      <c r="T86" s="182" t="n">
        <v>207.6</v>
      </c>
      <c r="U86" s="182" t="n">
        <v>115.6</v>
      </c>
      <c r="V86" s="182" t="n">
        <v>81.40000000000001</v>
      </c>
      <c r="W86" s="182" t="n">
        <v>528.2</v>
      </c>
      <c r="X86" s="182" t="n">
        <v>291.8</v>
      </c>
      <c r="Y86" s="182" t="n">
        <v>407.8</v>
      </c>
      <c r="Z86" s="182" t="n">
        <v>249.1</v>
      </c>
      <c r="AA86" s="182" t="n">
        <v>81.40000000000001</v>
      </c>
      <c r="AB86" s="182" t="n">
        <v>140</v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4" t="n"/>
      <c r="B87" s="231" t="inlineStr">
        <is>
          <t>SKU-FBC6A90A</t>
        </is>
      </c>
      <c r="C87" s="231" t="inlineStr">
        <is>
          <t>是</t>
        </is>
      </c>
      <c r="D87" s="231" t="n">
        <v>11</v>
      </c>
      <c r="E87" s="231" t="inlineStr"/>
      <c r="F87" s="231" t="inlineStr"/>
      <c r="G87" s="231" t="inlineStr"/>
      <c r="H87" s="231" t="inlineStr"/>
      <c r="I87" s="231" t="inlineStr"/>
      <c r="J87" s="27" t="inlineStr"/>
      <c r="K87" s="27" t="inlineStr"/>
      <c r="L87" s="231" t="n">
        <v>100</v>
      </c>
      <c r="M87" s="44" t="inlineStr">
        <is>
          <t>Product-6215959E</t>
        </is>
      </c>
      <c r="N87" s="231" t="n">
        <v>1</v>
      </c>
      <c r="O87" s="181">
        <f>SUM(P87:AB87)</f>
        <v/>
      </c>
      <c r="P87" s="182" t="n">
        <v>0</v>
      </c>
      <c r="Q87" s="182" t="n">
        <v>0</v>
      </c>
      <c r="R87" s="182" t="n">
        <v>0</v>
      </c>
      <c r="S87" s="182" t="n">
        <v>0</v>
      </c>
      <c r="T87" s="182" t="n">
        <v>0</v>
      </c>
      <c r="U87" s="182" t="n">
        <v>0</v>
      </c>
      <c r="V87" s="182" t="n">
        <v>0</v>
      </c>
      <c r="W87" s="182" t="n">
        <v>0</v>
      </c>
      <c r="X87" s="182" t="n">
        <v>0</v>
      </c>
      <c r="Y87" s="182" t="n">
        <v>0</v>
      </c>
      <c r="Z87" s="182" t="n">
        <v>0</v>
      </c>
      <c r="AA87" s="182" t="n">
        <v>0</v>
      </c>
      <c r="AB87" s="182" t="n">
        <v>0</v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4" t="n"/>
      <c r="B88" s="231" t="inlineStr">
        <is>
          <t>SKU-8D50A17D</t>
        </is>
      </c>
      <c r="C88" s="231" t="inlineStr">
        <is>
          <t>是</t>
        </is>
      </c>
      <c r="D88" s="231" t="n">
        <v>5</v>
      </c>
      <c r="E88" s="231" t="inlineStr">
        <is>
          <t>是</t>
        </is>
      </c>
      <c r="F88" s="231" t="inlineStr"/>
      <c r="G88" s="231" t="inlineStr"/>
      <c r="H88" s="231" t="inlineStr"/>
      <c r="I88" s="231" t="inlineStr">
        <is>
          <t>是</t>
        </is>
      </c>
      <c r="J88" s="27" t="inlineStr">
        <is>
          <t>共</t>
        </is>
      </c>
      <c r="K88" s="27" t="inlineStr"/>
      <c r="L88" s="231" t="n">
        <v>100</v>
      </c>
      <c r="M88" s="19" t="inlineStr">
        <is>
          <t>Product-33956506</t>
        </is>
      </c>
      <c r="N88" s="231" t="n">
        <v>1</v>
      </c>
      <c r="O88" s="181">
        <f>SUM(P88:AB88)</f>
        <v/>
      </c>
      <c r="P88" s="182" t="n">
        <v>162</v>
      </c>
      <c r="Q88" s="182" t="n">
        <v>79</v>
      </c>
      <c r="R88" s="182" t="n">
        <v>188</v>
      </c>
      <c r="S88" s="182" t="n">
        <v>92</v>
      </c>
      <c r="T88" s="182" t="n">
        <v>80</v>
      </c>
      <c r="U88" s="182" t="n">
        <v>90</v>
      </c>
      <c r="V88" s="182" t="n">
        <v>90</v>
      </c>
      <c r="W88" s="182" t="n">
        <v>255</v>
      </c>
      <c r="X88" s="182" t="n">
        <v>139</v>
      </c>
      <c r="Y88" s="182" t="n">
        <v>82</v>
      </c>
      <c r="Z88" s="182" t="n">
        <v>101</v>
      </c>
      <c r="AA88" s="182" t="n">
        <v>99</v>
      </c>
      <c r="AB88" s="182" t="n">
        <v>43</v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4" t="n"/>
      <c r="B89" s="231" t="inlineStr">
        <is>
          <t>SKU-685DD3D2</t>
        </is>
      </c>
      <c r="C89" s="231" t="inlineStr">
        <is>
          <t>是</t>
        </is>
      </c>
      <c r="D89" s="231" t="n">
        <v>6</v>
      </c>
      <c r="E89" s="231" t="inlineStr">
        <is>
          <t>是</t>
        </is>
      </c>
      <c r="F89" s="231" t="inlineStr"/>
      <c r="G89" s="231" t="inlineStr"/>
      <c r="H89" s="231" t="inlineStr"/>
      <c r="I89" s="231" t="inlineStr">
        <is>
          <t>是</t>
        </is>
      </c>
      <c r="J89" s="27" t="inlineStr">
        <is>
          <t>共</t>
        </is>
      </c>
      <c r="K89" s="27" t="inlineStr"/>
      <c r="L89" s="231" t="n">
        <v>100</v>
      </c>
      <c r="M89" s="19" t="inlineStr">
        <is>
          <t>Product-F61FD83C</t>
        </is>
      </c>
      <c r="N89" s="231" t="n">
        <v>1</v>
      </c>
      <c r="O89" s="181">
        <f>SUM(P89:AB89)</f>
        <v/>
      </c>
      <c r="P89" s="182" t="n">
        <v>185</v>
      </c>
      <c r="Q89" s="182" t="n">
        <v>269</v>
      </c>
      <c r="R89" s="182" t="n">
        <v>360</v>
      </c>
      <c r="S89" s="182" t="n">
        <v>170</v>
      </c>
      <c r="T89" s="182" t="n">
        <v>170</v>
      </c>
      <c r="U89" s="182" t="n">
        <v>150</v>
      </c>
      <c r="V89" s="182" t="n">
        <v>110</v>
      </c>
      <c r="W89" s="182" t="n">
        <v>580</v>
      </c>
      <c r="X89" s="182" t="n">
        <v>163.4</v>
      </c>
      <c r="Y89" s="182" t="n">
        <v>105</v>
      </c>
      <c r="Z89" s="182" t="n">
        <v>140</v>
      </c>
      <c r="AA89" s="182" t="n">
        <v>117.2</v>
      </c>
      <c r="AB89" s="182" t="n">
        <v>22</v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4" t="n"/>
      <c r="B90" s="231" t="inlineStr">
        <is>
          <t>SKU-55E23DA5</t>
        </is>
      </c>
      <c r="C90" s="231" t="inlineStr">
        <is>
          <t>是</t>
        </is>
      </c>
      <c r="D90" s="231" t="n">
        <v>8</v>
      </c>
      <c r="E90" s="231" t="inlineStr">
        <is>
          <t>是</t>
        </is>
      </c>
      <c r="F90" s="231" t="inlineStr"/>
      <c r="G90" s="231" t="inlineStr"/>
      <c r="H90" s="231" t="inlineStr"/>
      <c r="I90" s="231" t="inlineStr">
        <is>
          <t>是</t>
        </is>
      </c>
      <c r="J90" s="27" t="inlineStr">
        <is>
          <t>共</t>
        </is>
      </c>
      <c r="K90" s="27" t="inlineStr"/>
      <c r="L90" s="231" t="n">
        <v>100</v>
      </c>
      <c r="M90" s="19" t="inlineStr">
        <is>
          <t>Product-7D170E46</t>
        </is>
      </c>
      <c r="N90" s="231" t="n">
        <v>2</v>
      </c>
      <c r="O90" s="181">
        <f>SUM(P90:AB90)</f>
        <v/>
      </c>
      <c r="P90" s="182" t="n">
        <v>948.8</v>
      </c>
      <c r="Q90" s="182" t="n">
        <v>1239</v>
      </c>
      <c r="R90" s="182" t="n">
        <v>1302.3</v>
      </c>
      <c r="S90" s="182" t="n">
        <v>402.8</v>
      </c>
      <c r="T90" s="182" t="n">
        <v>619.5</v>
      </c>
      <c r="U90" s="182" t="n">
        <v>448.4</v>
      </c>
      <c r="V90" s="182" t="n">
        <v>790.7</v>
      </c>
      <c r="W90" s="182" t="n">
        <v>2232.4</v>
      </c>
      <c r="X90" s="182" t="n">
        <v>684.6</v>
      </c>
      <c r="Y90" s="182" t="n">
        <v>520.9</v>
      </c>
      <c r="Z90" s="182" t="n">
        <v>539.5</v>
      </c>
      <c r="AA90" s="182" t="n">
        <v>496.7</v>
      </c>
      <c r="AB90" s="182" t="n">
        <v>474.4</v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4" t="n"/>
      <c r="B91" s="231" t="inlineStr">
        <is>
          <t>SKU-07310B8A</t>
        </is>
      </c>
      <c r="C91" s="231" t="inlineStr">
        <is>
          <t>是</t>
        </is>
      </c>
      <c r="D91" s="231" t="n">
        <v>5</v>
      </c>
      <c r="E91" s="231" t="inlineStr">
        <is>
          <t>是</t>
        </is>
      </c>
      <c r="F91" s="231" t="inlineStr"/>
      <c r="G91" s="231" t="inlineStr"/>
      <c r="H91" s="231" t="inlineStr"/>
      <c r="I91" s="231" t="inlineStr">
        <is>
          <t>是</t>
        </is>
      </c>
      <c r="J91" s="27" t="inlineStr">
        <is>
          <t>共</t>
        </is>
      </c>
      <c r="K91" s="27" t="inlineStr"/>
      <c r="L91" s="231" t="n">
        <v>100</v>
      </c>
      <c r="M91" s="19" t="inlineStr">
        <is>
          <t>Product-9FF55A7C</t>
        </is>
      </c>
      <c r="N91" s="231" t="n">
        <v>1</v>
      </c>
      <c r="O91" s="181">
        <f>SUM(P91:AB91)</f>
        <v/>
      </c>
      <c r="P91" s="182" t="n">
        <v>8.4</v>
      </c>
      <c r="Q91" s="182" t="n">
        <v>10</v>
      </c>
      <c r="R91" s="182" t="n">
        <v>9</v>
      </c>
      <c r="S91" s="182" t="n">
        <v>4.8</v>
      </c>
      <c r="T91" s="182" t="n">
        <v>5.9</v>
      </c>
      <c r="U91" s="182" t="n">
        <v>4.8</v>
      </c>
      <c r="V91" s="182" t="n">
        <v>4.7</v>
      </c>
      <c r="W91" s="182" t="n">
        <v>13.3</v>
      </c>
      <c r="X91" s="182" t="n">
        <v>7.8</v>
      </c>
      <c r="Y91" s="182" t="n">
        <v>5.6</v>
      </c>
      <c r="Z91" s="182" t="n">
        <v>6.1</v>
      </c>
      <c r="AA91" s="182" t="n">
        <v>5.2</v>
      </c>
      <c r="AB91" s="182" t="n">
        <v>3.6</v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4" t="n"/>
      <c r="B92" s="231" t="inlineStr">
        <is>
          <t>SKU-8EBE1AD6</t>
        </is>
      </c>
      <c r="C92" s="231" t="inlineStr">
        <is>
          <t>是</t>
        </is>
      </c>
      <c r="D92" s="231" t="n">
        <v>6</v>
      </c>
      <c r="E92" s="231" t="inlineStr">
        <is>
          <t>是</t>
        </is>
      </c>
      <c r="F92" s="231" t="inlineStr"/>
      <c r="G92" s="231" t="inlineStr"/>
      <c r="H92" s="231" t="inlineStr"/>
      <c r="I92" s="231" t="inlineStr">
        <is>
          <t>是</t>
        </is>
      </c>
      <c r="J92" s="27" t="inlineStr"/>
      <c r="K92" s="27" t="inlineStr"/>
      <c r="L92" s="231" t="n">
        <v>100</v>
      </c>
      <c r="M92" s="19" t="inlineStr">
        <is>
          <t>Product-9A6C9779</t>
        </is>
      </c>
      <c r="N92" s="231" t="n">
        <v>1</v>
      </c>
      <c r="O92" s="181">
        <f>SUM(P92:AB92)</f>
        <v/>
      </c>
      <c r="P92" s="182" t="n">
        <v>184.5</v>
      </c>
      <c r="Q92" s="182" t="n">
        <v>218.4</v>
      </c>
      <c r="R92" s="182" t="n">
        <v>39.6</v>
      </c>
      <c r="S92" s="182" t="n">
        <v>158.5</v>
      </c>
      <c r="T92" s="182" t="n">
        <v>29.4</v>
      </c>
      <c r="U92" s="182" t="n">
        <v>26.5</v>
      </c>
      <c r="V92" s="182" t="n">
        <v>56.6</v>
      </c>
      <c r="W92" s="182" t="n">
        <v>294.3</v>
      </c>
      <c r="X92" s="182" t="n">
        <v>77.40000000000001</v>
      </c>
      <c r="Y92" s="182" t="n">
        <v>45.3</v>
      </c>
      <c r="Z92" s="182" t="n">
        <v>47.5</v>
      </c>
      <c r="AA92" s="182" t="n">
        <v>31.5</v>
      </c>
      <c r="AB92" s="182" t="n">
        <v>90.5</v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4" t="n"/>
      <c r="B93" s="231" t="inlineStr">
        <is>
          <t>SKU-06D5C6B5</t>
        </is>
      </c>
      <c r="C93" s="231" t="inlineStr">
        <is>
          <t>是</t>
        </is>
      </c>
      <c r="D93" s="231" t="n">
        <v>11</v>
      </c>
      <c r="E93" s="231" t="inlineStr"/>
      <c r="F93" s="231" t="inlineStr"/>
      <c r="G93" s="231" t="inlineStr"/>
      <c r="H93" s="231" t="inlineStr"/>
      <c r="I93" s="231" t="inlineStr"/>
      <c r="J93" s="27" t="inlineStr">
        <is>
          <t>共</t>
        </is>
      </c>
      <c r="K93" s="27" t="inlineStr"/>
      <c r="L93" s="231" t="n">
        <v>100</v>
      </c>
      <c r="M93" s="19" t="inlineStr">
        <is>
          <t>Product-79046E1F</t>
        </is>
      </c>
      <c r="N93" s="231" t="n">
        <v>1</v>
      </c>
      <c r="O93" s="181">
        <f>SUM(P93:AB93)</f>
        <v/>
      </c>
      <c r="P93" s="182" t="n">
        <v>5.3</v>
      </c>
      <c r="Q93" s="182" t="n">
        <v>6.3</v>
      </c>
      <c r="R93" s="182" t="n">
        <v>6</v>
      </c>
      <c r="S93" s="182" t="n">
        <v>3</v>
      </c>
      <c r="T93" s="182" t="n">
        <v>3.7</v>
      </c>
      <c r="U93" s="182" t="n">
        <v>3</v>
      </c>
      <c r="V93" s="182" t="n">
        <v>3</v>
      </c>
      <c r="W93" s="182" t="n">
        <v>8.6</v>
      </c>
      <c r="X93" s="182" t="n">
        <v>4.9</v>
      </c>
      <c r="Y93" s="182" t="n">
        <v>3.5</v>
      </c>
      <c r="Z93" s="182" t="n">
        <v>3.9</v>
      </c>
      <c r="AA93" s="182" t="n">
        <v>3.3</v>
      </c>
      <c r="AB93" s="182" t="n">
        <v>2.3</v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4" t="n"/>
      <c r="B94" s="231" t="inlineStr">
        <is>
          <t>SKU-0472D802</t>
        </is>
      </c>
      <c r="C94" s="231" t="inlineStr">
        <is>
          <t>是</t>
        </is>
      </c>
      <c r="D94" s="231" t="n">
        <v>6</v>
      </c>
      <c r="E94" s="231" t="inlineStr">
        <is>
          <t>是</t>
        </is>
      </c>
      <c r="F94" s="231" t="inlineStr"/>
      <c r="G94" s="231" t="inlineStr"/>
      <c r="H94" s="231" t="inlineStr"/>
      <c r="I94" s="231" t="inlineStr">
        <is>
          <t>是</t>
        </is>
      </c>
      <c r="J94" s="27" t="inlineStr"/>
      <c r="K94" s="27" t="inlineStr"/>
      <c r="L94" s="231" t="n">
        <v>100</v>
      </c>
      <c r="M94" s="19" t="inlineStr">
        <is>
          <t>Product-0EE8F563</t>
        </is>
      </c>
      <c r="N94" s="231" t="n">
        <v>1</v>
      </c>
      <c r="O94" s="181">
        <f>SUM(P94:AB94)</f>
        <v/>
      </c>
      <c r="P94" s="182" t="n">
        <v>71.59999999999999</v>
      </c>
      <c r="Q94" s="182" t="n">
        <v>101.5</v>
      </c>
      <c r="R94" s="182" t="n">
        <v>28.7</v>
      </c>
      <c r="S94" s="182" t="n">
        <v>41.8</v>
      </c>
      <c r="T94" s="182" t="n">
        <v>54.9</v>
      </c>
      <c r="U94" s="182" t="n">
        <v>53.7</v>
      </c>
      <c r="V94" s="182" t="n">
        <v>29.8</v>
      </c>
      <c r="W94" s="182" t="n">
        <v>71.59999999999999</v>
      </c>
      <c r="X94" s="182" t="n">
        <v>56.7</v>
      </c>
      <c r="Y94" s="182" t="n">
        <v>0</v>
      </c>
      <c r="Z94" s="182" t="n">
        <v>23.9</v>
      </c>
      <c r="AA94" s="182" t="n">
        <v>15.8</v>
      </c>
      <c r="AB94" s="182" t="n">
        <v>0</v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4" t="n"/>
      <c r="B95" s="231" t="inlineStr">
        <is>
          <t>SKU-8992A5AF</t>
        </is>
      </c>
      <c r="C95" s="231" t="inlineStr">
        <is>
          <t>是</t>
        </is>
      </c>
      <c r="D95" s="231" t="n">
        <v>10</v>
      </c>
      <c r="E95" s="231" t="inlineStr"/>
      <c r="F95" s="231" t="inlineStr"/>
      <c r="G95" s="231" t="inlineStr"/>
      <c r="H95" s="231" t="inlineStr"/>
      <c r="I95" s="231" t="inlineStr"/>
      <c r="J95" s="27" t="inlineStr"/>
      <c r="K95" s="27" t="inlineStr"/>
      <c r="L95" s="231" t="n">
        <v>100</v>
      </c>
      <c r="M95" s="19" t="inlineStr">
        <is>
          <t>Product-15073DAA</t>
        </is>
      </c>
      <c r="N95" s="231" t="n">
        <v>1</v>
      </c>
      <c r="O95" s="181">
        <f>SUM(P95:AB95)</f>
        <v/>
      </c>
      <c r="P95" s="182" t="n">
        <v>1.7</v>
      </c>
      <c r="Q95" s="182" t="n">
        <v>2</v>
      </c>
      <c r="R95" s="182" t="n">
        <v>1</v>
      </c>
      <c r="S95" s="182" t="n">
        <v>1</v>
      </c>
      <c r="T95" s="182" t="n">
        <v>1.2</v>
      </c>
      <c r="U95" s="182" t="n">
        <v>1</v>
      </c>
      <c r="V95" s="182" t="n">
        <v>0.9</v>
      </c>
      <c r="W95" s="182" t="n">
        <v>2.6</v>
      </c>
      <c r="X95" s="182" t="n">
        <v>1.6</v>
      </c>
      <c r="Y95" s="182" t="n">
        <v>1.1</v>
      </c>
      <c r="Z95" s="182" t="n">
        <v>1.2</v>
      </c>
      <c r="AA95" s="182" t="n">
        <v>1</v>
      </c>
      <c r="AB95" s="182" t="n">
        <v>0.7</v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4" t="n"/>
      <c r="B96" s="231" t="inlineStr">
        <is>
          <t>SKU-9DFEFE7F</t>
        </is>
      </c>
      <c r="C96" s="231" t="inlineStr">
        <is>
          <t>是</t>
        </is>
      </c>
      <c r="D96" s="231" t="n">
        <v>6</v>
      </c>
      <c r="E96" s="231" t="inlineStr">
        <is>
          <t>是</t>
        </is>
      </c>
      <c r="F96" s="231" t="inlineStr"/>
      <c r="G96" s="231" t="inlineStr"/>
      <c r="H96" s="231" t="inlineStr">
        <is>
          <t>是</t>
        </is>
      </c>
      <c r="I96" s="231" t="inlineStr">
        <is>
          <t>是</t>
        </is>
      </c>
      <c r="J96" s="27" t="inlineStr"/>
      <c r="K96" s="27" t="inlineStr"/>
      <c r="L96" s="231" t="n">
        <v>100</v>
      </c>
      <c r="M96" s="19" t="inlineStr">
        <is>
          <t>Product-14B419F6</t>
        </is>
      </c>
      <c r="N96" s="231" t="n">
        <v>1</v>
      </c>
      <c r="O96" s="181">
        <f>SUM(P96:AB96)</f>
        <v/>
      </c>
      <c r="P96" s="182" t="n">
        <v>15</v>
      </c>
      <c r="Q96" s="182" t="n">
        <v>17.8</v>
      </c>
      <c r="R96" s="182" t="n">
        <v>17.5</v>
      </c>
      <c r="S96" s="182" t="n">
        <v>8.5</v>
      </c>
      <c r="T96" s="182" t="n">
        <v>10.4</v>
      </c>
      <c r="U96" s="182" t="n">
        <v>8.5</v>
      </c>
      <c r="V96" s="182" t="n">
        <v>8.300000000000001</v>
      </c>
      <c r="W96" s="182" t="n">
        <v>23.8</v>
      </c>
      <c r="X96" s="182" t="n">
        <v>13.8</v>
      </c>
      <c r="Y96" s="182" t="n">
        <v>9.9</v>
      </c>
      <c r="Z96" s="182" t="n">
        <v>10.8</v>
      </c>
      <c r="AA96" s="182" t="n">
        <v>9.300000000000001</v>
      </c>
      <c r="AB96" s="182" t="n">
        <v>6.4</v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4" t="n"/>
      <c r="B97" s="231" t="inlineStr">
        <is>
          <t>SKU-707B6E8A</t>
        </is>
      </c>
      <c r="C97" s="231" t="inlineStr">
        <is>
          <t>是</t>
        </is>
      </c>
      <c r="D97" s="231" t="n">
        <v>3</v>
      </c>
      <c r="E97" s="231" t="inlineStr">
        <is>
          <t>是</t>
        </is>
      </c>
      <c r="F97" s="231" t="inlineStr"/>
      <c r="G97" s="231" t="inlineStr"/>
      <c r="H97" s="231" t="inlineStr"/>
      <c r="I97" s="231" t="inlineStr">
        <is>
          <t>是</t>
        </is>
      </c>
      <c r="J97" s="27" t="inlineStr"/>
      <c r="K97" s="27" t="inlineStr"/>
      <c r="L97" s="231" t="n">
        <v>100</v>
      </c>
      <c r="M97" s="19" t="inlineStr">
        <is>
          <t>Product-069A5966</t>
        </is>
      </c>
      <c r="N97" s="231" t="n">
        <v>1</v>
      </c>
      <c r="O97" s="181">
        <f>SUM(P97:AB97)</f>
        <v/>
      </c>
      <c r="P97" s="182" t="n">
        <v>2.3</v>
      </c>
      <c r="Q97" s="182" t="n">
        <v>2.8</v>
      </c>
      <c r="R97" s="182" t="n">
        <v>2.7</v>
      </c>
      <c r="S97" s="182" t="n">
        <v>1.3</v>
      </c>
      <c r="T97" s="182" t="n">
        <v>1.6</v>
      </c>
      <c r="U97" s="182" t="n">
        <v>1.3</v>
      </c>
      <c r="V97" s="182" t="n">
        <v>1.3</v>
      </c>
      <c r="W97" s="182" t="n">
        <v>3.8</v>
      </c>
      <c r="X97" s="182" t="n">
        <v>2.2</v>
      </c>
      <c r="Y97" s="182" t="n">
        <v>1.6</v>
      </c>
      <c r="Z97" s="182" t="n">
        <v>1.7</v>
      </c>
      <c r="AA97" s="182" t="n">
        <v>1.4</v>
      </c>
      <c r="AB97" s="182" t="n">
        <v>1</v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4" t="n"/>
      <c r="B98" s="231" t="inlineStr">
        <is>
          <t>SKU-5969B13C</t>
        </is>
      </c>
      <c r="C98" s="231" t="inlineStr">
        <is>
          <t>是</t>
        </is>
      </c>
      <c r="D98" s="231" t="n">
        <v>11</v>
      </c>
      <c r="E98" s="231" t="inlineStr"/>
      <c r="F98" s="231" t="inlineStr"/>
      <c r="G98" s="231" t="inlineStr"/>
      <c r="H98" s="231" t="inlineStr"/>
      <c r="I98" s="231" t="inlineStr"/>
      <c r="J98" s="27" t="inlineStr">
        <is>
          <t>共</t>
        </is>
      </c>
      <c r="K98" s="27" t="inlineStr"/>
      <c r="L98" s="231" t="n">
        <v>100</v>
      </c>
      <c r="M98" s="19" t="inlineStr">
        <is>
          <t>Product-D41D58A6</t>
        </is>
      </c>
      <c r="N98" s="231" t="n">
        <v>1</v>
      </c>
      <c r="O98" s="181">
        <f>SUM(P98:AB98)</f>
        <v/>
      </c>
      <c r="P98" s="182" t="n">
        <v>10</v>
      </c>
      <c r="Q98" s="182" t="n">
        <v>30</v>
      </c>
      <c r="R98" s="182" t="n">
        <v>10</v>
      </c>
      <c r="S98" s="182" t="n">
        <v>15</v>
      </c>
      <c r="T98" s="182" t="n">
        <v>18</v>
      </c>
      <c r="U98" s="182" t="n">
        <v>18</v>
      </c>
      <c r="V98" s="182" t="n">
        <v>13</v>
      </c>
      <c r="W98" s="182" t="n">
        <v>36</v>
      </c>
      <c r="X98" s="182" t="n">
        <v>32.2</v>
      </c>
      <c r="Y98" s="182" t="n">
        <v>16</v>
      </c>
      <c r="Z98" s="182" t="n">
        <v>10</v>
      </c>
      <c r="AA98" s="182" t="n">
        <v>13.8</v>
      </c>
      <c r="AB98" s="182" t="n">
        <v>2</v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4" t="n"/>
      <c r="B99" s="231" t="inlineStr">
        <is>
          <t>SKU-54FF462C</t>
        </is>
      </c>
      <c r="C99" s="231" t="inlineStr">
        <is>
          <t>是</t>
        </is>
      </c>
      <c r="D99" s="231" t="n">
        <v>11</v>
      </c>
      <c r="E99" s="231" t="inlineStr"/>
      <c r="F99" s="231" t="inlineStr"/>
      <c r="G99" s="231" t="inlineStr"/>
      <c r="H99" s="231" t="inlineStr"/>
      <c r="I99" s="231" t="inlineStr"/>
      <c r="J99" s="27" t="inlineStr">
        <is>
          <t>共</t>
        </is>
      </c>
      <c r="K99" s="27" t="inlineStr"/>
      <c r="L99" s="231" t="n">
        <v>100</v>
      </c>
      <c r="M99" s="19" t="inlineStr">
        <is>
          <t>Product-61A907C6</t>
        </is>
      </c>
      <c r="N99" s="231" t="n">
        <v>1</v>
      </c>
      <c r="O99" s="181">
        <f>SUM(P99:AB99)</f>
        <v/>
      </c>
      <c r="P99" s="182" t="n">
        <v>283.5</v>
      </c>
      <c r="Q99" s="182" t="n">
        <v>33.5</v>
      </c>
      <c r="R99" s="182" t="n">
        <v>223.2</v>
      </c>
      <c r="S99" s="182" t="n">
        <v>145.1</v>
      </c>
      <c r="T99" s="182" t="n">
        <v>178.6</v>
      </c>
      <c r="U99" s="182" t="n">
        <v>111.6</v>
      </c>
      <c r="V99" s="182" t="n">
        <v>44.6</v>
      </c>
      <c r="W99" s="182" t="n">
        <v>424</v>
      </c>
      <c r="X99" s="182" t="n">
        <v>113.5</v>
      </c>
      <c r="Y99" s="182" t="n">
        <v>68.09999999999999</v>
      </c>
      <c r="Z99" s="182" t="n">
        <v>200.9</v>
      </c>
      <c r="AA99" s="182" t="n">
        <v>151.1</v>
      </c>
      <c r="AB99" s="182" t="n">
        <v>22.3</v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4" t="n"/>
      <c r="B100" s="231" t="inlineStr">
        <is>
          <t>SKU-124FFA8F</t>
        </is>
      </c>
      <c r="C100" s="231" t="inlineStr">
        <is>
          <t>是</t>
        </is>
      </c>
      <c r="D100" s="231" t="n">
        <v>8</v>
      </c>
      <c r="E100" s="231" t="inlineStr"/>
      <c r="F100" s="231" t="inlineStr">
        <is>
          <t>是</t>
        </is>
      </c>
      <c r="G100" s="231" t="inlineStr"/>
      <c r="H100" s="231" t="inlineStr"/>
      <c r="I100" s="231" t="inlineStr">
        <is>
          <t>是</t>
        </is>
      </c>
      <c r="J100" s="27" t="inlineStr"/>
      <c r="K100" s="27" t="inlineStr"/>
      <c r="L100" s="231" t="n">
        <v>100</v>
      </c>
      <c r="M100" s="33" t="inlineStr">
        <is>
          <t>Product-D911580D</t>
        </is>
      </c>
      <c r="N100" s="231" t="n">
        <v>1</v>
      </c>
      <c r="O100" s="181">
        <f>SUM(P100:AB100)</f>
        <v/>
      </c>
      <c r="P100" s="182" t="n">
        <v>0</v>
      </c>
      <c r="Q100" s="182" t="n">
        <v>0</v>
      </c>
      <c r="R100" s="182" t="n">
        <v>0</v>
      </c>
      <c r="S100" s="182" t="n">
        <v>0</v>
      </c>
      <c r="T100" s="182" t="n">
        <v>0</v>
      </c>
      <c r="U100" s="182" t="n">
        <v>0</v>
      </c>
      <c r="V100" s="182" t="n">
        <v>0</v>
      </c>
      <c r="W100" s="182" t="n">
        <v>0</v>
      </c>
      <c r="X100" s="182" t="n">
        <v>0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4" t="n"/>
      <c r="B101" s="231" t="inlineStr">
        <is>
          <t>SKU-AA4E2A39</t>
        </is>
      </c>
      <c r="C101" s="231" t="inlineStr">
        <is>
          <t>是</t>
        </is>
      </c>
      <c r="D101" s="231" t="n">
        <v>10</v>
      </c>
      <c r="E101" s="231" t="inlineStr"/>
      <c r="F101" s="231" t="inlineStr">
        <is>
          <t>是</t>
        </is>
      </c>
      <c r="G101" s="231" t="inlineStr"/>
      <c r="H101" s="231" t="inlineStr"/>
      <c r="I101" s="231" t="inlineStr">
        <is>
          <t>是</t>
        </is>
      </c>
      <c r="J101" s="27" t="inlineStr"/>
      <c r="K101" s="27" t="inlineStr"/>
      <c r="L101" s="231" t="n">
        <v>100</v>
      </c>
      <c r="M101" s="33" t="inlineStr">
        <is>
          <t>Product-702B5290</t>
        </is>
      </c>
      <c r="N101" s="231" t="n">
        <v>1</v>
      </c>
      <c r="O101" s="181">
        <f>SUM(P101:AB101)</f>
        <v/>
      </c>
      <c r="P101" s="182" t="n">
        <v>0</v>
      </c>
      <c r="Q101" s="182" t="n">
        <v>0</v>
      </c>
      <c r="R101" s="182" t="n">
        <v>0</v>
      </c>
      <c r="S101" s="182" t="n">
        <v>0</v>
      </c>
      <c r="T101" s="182" t="n">
        <v>0</v>
      </c>
      <c r="U101" s="182" t="n">
        <v>0</v>
      </c>
      <c r="V101" s="182" t="n">
        <v>0</v>
      </c>
      <c r="W101" s="182" t="n">
        <v>0</v>
      </c>
      <c r="X101" s="182" t="n">
        <v>0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4" t="n"/>
      <c r="B102" s="231" t="inlineStr">
        <is>
          <t>SKU-913263BA</t>
        </is>
      </c>
      <c r="C102" s="231" t="inlineStr">
        <is>
          <t>是</t>
        </is>
      </c>
      <c r="D102" s="231" t="n">
        <v>10</v>
      </c>
      <c r="E102" s="231" t="inlineStr"/>
      <c r="F102" s="231" t="inlineStr">
        <is>
          <t>是</t>
        </is>
      </c>
      <c r="G102" s="231" t="inlineStr"/>
      <c r="H102" s="231" t="inlineStr"/>
      <c r="I102" s="231" t="inlineStr">
        <is>
          <t>是</t>
        </is>
      </c>
      <c r="J102" s="27" t="inlineStr"/>
      <c r="K102" s="27" t="inlineStr"/>
      <c r="L102" s="231" t="n">
        <v>100</v>
      </c>
      <c r="M102" s="19" t="inlineStr">
        <is>
          <t>Product-702B5290</t>
        </is>
      </c>
      <c r="N102" s="231" t="n">
        <v>1</v>
      </c>
      <c r="O102" s="181">
        <f>SUM(P102:AB102)</f>
        <v/>
      </c>
      <c r="P102" s="182" t="n">
        <v>11.2</v>
      </c>
      <c r="Q102" s="182" t="n">
        <v>13.3</v>
      </c>
      <c r="R102" s="182" t="n">
        <v>3</v>
      </c>
      <c r="S102" s="182" t="n">
        <v>6.4</v>
      </c>
      <c r="T102" s="182" t="n">
        <v>7.8</v>
      </c>
      <c r="U102" s="182" t="n">
        <v>6.4</v>
      </c>
      <c r="V102" s="182" t="n">
        <v>6.3</v>
      </c>
      <c r="W102" s="182" t="n">
        <v>17.8</v>
      </c>
      <c r="X102" s="182" t="n">
        <v>10.4</v>
      </c>
      <c r="Y102" s="182" t="n">
        <v>7.5</v>
      </c>
      <c r="Z102" s="182" t="n">
        <v>8.1</v>
      </c>
      <c r="AA102" s="182" t="n">
        <v>6.9</v>
      </c>
      <c r="AB102" s="182" t="n">
        <v>4.8</v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5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 t="n">
        <v>2133.5</v>
      </c>
      <c r="Q103" s="51" t="n">
        <v>2317.3</v>
      </c>
      <c r="R103" s="51" t="n">
        <v>2492.2</v>
      </c>
      <c r="S103" s="51" t="n">
        <v>1107.2</v>
      </c>
      <c r="T103" s="51" t="n">
        <v>1388.6</v>
      </c>
      <c r="U103" s="51" t="n">
        <v>1038.8</v>
      </c>
      <c r="V103" s="51" t="n">
        <v>1240.6</v>
      </c>
      <c r="W103" s="51" t="n">
        <v>4491.4</v>
      </c>
      <c r="X103" s="51" t="n">
        <v>1599.3</v>
      </c>
      <c r="Y103" s="51" t="n">
        <v>1274.3</v>
      </c>
      <c r="Z103" s="51" t="n">
        <v>1343.7</v>
      </c>
      <c r="AA103" s="51" t="n">
        <v>1033.6</v>
      </c>
      <c r="AB103" s="51" t="n">
        <v>813</v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31" t="inlineStr">
        <is>
          <t>SKU-C3332279</t>
        </is>
      </c>
      <c r="C104" s="231" t="inlineStr">
        <is>
          <t>是</t>
        </is>
      </c>
      <c r="D104" s="231" t="n">
        <v>11</v>
      </c>
      <c r="E104" s="231" t="inlineStr"/>
      <c r="F104" s="231" t="inlineStr"/>
      <c r="G104" s="231" t="inlineStr"/>
      <c r="H104" s="231" t="inlineStr"/>
      <c r="I104" s="231" t="inlineStr"/>
      <c r="J104" s="27" t="inlineStr">
        <is>
          <t>共</t>
        </is>
      </c>
      <c r="K104" s="27" t="inlineStr"/>
      <c r="L104" s="231" t="n">
        <v>100</v>
      </c>
      <c r="M104" s="19" t="inlineStr">
        <is>
          <t>Product-DBF6F56C</t>
        </is>
      </c>
      <c r="N104" s="231" t="n">
        <v>2</v>
      </c>
      <c r="O104" s="181">
        <f>SUM(P104:AB104)</f>
        <v/>
      </c>
      <c r="P104" s="182" t="n">
        <v>905</v>
      </c>
      <c r="Q104" s="182" t="n">
        <v>898</v>
      </c>
      <c r="R104" s="182" t="n">
        <v>1131</v>
      </c>
      <c r="S104" s="182" t="n">
        <v>551</v>
      </c>
      <c r="T104" s="182" t="n">
        <v>520</v>
      </c>
      <c r="U104" s="182" t="n">
        <v>331</v>
      </c>
      <c r="V104" s="182" t="n">
        <v>540</v>
      </c>
      <c r="W104" s="182" t="n">
        <v>1531</v>
      </c>
      <c r="X104" s="182" t="n">
        <v>814</v>
      </c>
      <c r="Y104" s="182" t="n">
        <v>644</v>
      </c>
      <c r="Z104" s="182" t="n">
        <v>702</v>
      </c>
      <c r="AA104" s="182" t="n">
        <v>526</v>
      </c>
      <c r="AB104" s="182" t="n">
        <v>407</v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4" t="n"/>
      <c r="B105" s="231" t="inlineStr">
        <is>
          <t>SKU-98BD550F</t>
        </is>
      </c>
      <c r="C105" s="231" t="inlineStr">
        <is>
          <t>是</t>
        </is>
      </c>
      <c r="D105" s="231" t="n">
        <v>11</v>
      </c>
      <c r="E105" s="231" t="inlineStr"/>
      <c r="F105" s="231" t="inlineStr"/>
      <c r="G105" s="231" t="inlineStr"/>
      <c r="H105" s="231" t="inlineStr"/>
      <c r="I105" s="231" t="inlineStr"/>
      <c r="J105" s="27" t="inlineStr">
        <is>
          <t>共</t>
        </is>
      </c>
      <c r="K105" s="27" t="inlineStr"/>
      <c r="L105" s="231" t="n">
        <v>100</v>
      </c>
      <c r="M105" s="19" t="inlineStr">
        <is>
          <t>Product-63C67A59</t>
        </is>
      </c>
      <c r="N105" s="231" t="n">
        <v>1</v>
      </c>
      <c r="O105" s="181">
        <f>SUM(P105:AB105)</f>
        <v/>
      </c>
      <c r="P105" s="182" t="n">
        <v>260</v>
      </c>
      <c r="Q105" s="182" t="n">
        <v>200</v>
      </c>
      <c r="R105" s="182" t="n">
        <v>265</v>
      </c>
      <c r="S105" s="182" t="n">
        <v>90</v>
      </c>
      <c r="T105" s="182" t="n">
        <v>170</v>
      </c>
      <c r="U105" s="182" t="n">
        <v>30</v>
      </c>
      <c r="V105" s="182" t="n">
        <v>90</v>
      </c>
      <c r="W105" s="182" t="n">
        <v>370</v>
      </c>
      <c r="X105" s="182" t="n">
        <v>110.2</v>
      </c>
      <c r="Y105" s="182" t="n">
        <v>140</v>
      </c>
      <c r="Z105" s="182" t="n">
        <v>105</v>
      </c>
      <c r="AA105" s="182" t="n">
        <v>34.2</v>
      </c>
      <c r="AB105" s="182" t="n">
        <v>24</v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4" t="n"/>
      <c r="B106" s="231" t="inlineStr">
        <is>
          <t>SKU-9165C4CC</t>
        </is>
      </c>
      <c r="C106" s="231" t="inlineStr">
        <is>
          <t>是</t>
        </is>
      </c>
      <c r="D106" s="231" t="n">
        <v>11</v>
      </c>
      <c r="E106" s="231" t="inlineStr"/>
      <c r="F106" s="231" t="inlineStr"/>
      <c r="G106" s="231" t="inlineStr"/>
      <c r="H106" s="231" t="inlineStr"/>
      <c r="I106" s="231" t="inlineStr"/>
      <c r="J106" s="27" t="inlineStr"/>
      <c r="K106" s="27" t="inlineStr"/>
      <c r="L106" s="231" t="n">
        <v>100</v>
      </c>
      <c r="M106" s="44" t="inlineStr">
        <is>
          <t>Product-4EAD9177</t>
        </is>
      </c>
      <c r="N106" s="231" t="n">
        <v>2</v>
      </c>
      <c r="O106" s="181">
        <f>SUM(P106:AB106)</f>
        <v/>
      </c>
      <c r="P106" s="182" t="n">
        <v>0</v>
      </c>
      <c r="Q106" s="182" t="n">
        <v>0</v>
      </c>
      <c r="R106" s="182" t="n">
        <v>0</v>
      </c>
      <c r="S106" s="182" t="n">
        <v>0</v>
      </c>
      <c r="T106" s="182" t="n">
        <v>0</v>
      </c>
      <c r="U106" s="182" t="n">
        <v>0</v>
      </c>
      <c r="V106" s="182" t="n">
        <v>0</v>
      </c>
      <c r="W106" s="182" t="n">
        <v>0</v>
      </c>
      <c r="X106" s="182" t="n">
        <v>0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4" t="n"/>
      <c r="B107" s="231" t="inlineStr">
        <is>
          <t>SKU-7B3379FF</t>
        </is>
      </c>
      <c r="C107" s="231" t="inlineStr">
        <is>
          <t>是</t>
        </is>
      </c>
      <c r="D107" s="231" t="n">
        <v>8</v>
      </c>
      <c r="E107" s="231" t="inlineStr"/>
      <c r="F107" s="231" t="inlineStr"/>
      <c r="G107" s="231" t="inlineStr"/>
      <c r="H107" s="231" t="inlineStr"/>
      <c r="I107" s="231" t="inlineStr"/>
      <c r="J107" s="27" t="inlineStr"/>
      <c r="K107" s="27" t="inlineStr"/>
      <c r="L107" s="231" t="n">
        <v>100</v>
      </c>
      <c r="M107" s="19" t="inlineStr">
        <is>
          <t>Product-B1B25B5B</t>
        </is>
      </c>
      <c r="N107" s="231" t="n">
        <v>1</v>
      </c>
      <c r="O107" s="181">
        <f>SUM(P107:AB107)</f>
        <v/>
      </c>
      <c r="P107" s="182" t="n">
        <v>66</v>
      </c>
      <c r="Q107" s="182" t="n">
        <v>144</v>
      </c>
      <c r="R107" s="182" t="n">
        <v>70</v>
      </c>
      <c r="S107" s="182" t="n">
        <v>25</v>
      </c>
      <c r="T107" s="182" t="n">
        <v>66</v>
      </c>
      <c r="U107" s="182" t="n">
        <v>20</v>
      </c>
      <c r="V107" s="182" t="n">
        <v>20</v>
      </c>
      <c r="W107" s="182" t="n">
        <v>180</v>
      </c>
      <c r="X107" s="182" t="n">
        <v>20.9</v>
      </c>
      <c r="Y107" s="182" t="n">
        <v>60</v>
      </c>
      <c r="Z107" s="182" t="n">
        <v>100</v>
      </c>
      <c r="AA107" s="182" t="n">
        <v>8</v>
      </c>
      <c r="AB107" s="182" t="n">
        <v>10</v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4" t="n"/>
      <c r="B108" s="231" t="inlineStr">
        <is>
          <t>SKU-32F1EBAD</t>
        </is>
      </c>
      <c r="C108" s="231" t="inlineStr">
        <is>
          <t>是</t>
        </is>
      </c>
      <c r="D108" s="231" t="n">
        <v>11</v>
      </c>
      <c r="E108" s="231" t="inlineStr"/>
      <c r="F108" s="231" t="inlineStr"/>
      <c r="G108" s="231" t="inlineStr"/>
      <c r="H108" s="231" t="inlineStr"/>
      <c r="I108" s="231" t="inlineStr"/>
      <c r="J108" s="27" t="inlineStr">
        <is>
          <t>共</t>
        </is>
      </c>
      <c r="K108" s="27" t="inlineStr"/>
      <c r="L108" s="231" t="n">
        <v>100</v>
      </c>
      <c r="M108" s="19" t="inlineStr">
        <is>
          <t>Product-1D056F53</t>
        </is>
      </c>
      <c r="N108" s="231" t="n">
        <v>1</v>
      </c>
      <c r="O108" s="181">
        <f>SUM(P108:AB108)</f>
        <v/>
      </c>
      <c r="P108" s="182" t="n">
        <v>300</v>
      </c>
      <c r="Q108" s="182" t="n">
        <v>312</v>
      </c>
      <c r="R108" s="182" t="n">
        <v>420</v>
      </c>
      <c r="S108" s="182" t="n">
        <v>120</v>
      </c>
      <c r="T108" s="182" t="n">
        <v>240</v>
      </c>
      <c r="U108" s="182" t="n">
        <v>78</v>
      </c>
      <c r="V108" s="182" t="n">
        <v>115</v>
      </c>
      <c r="W108" s="182" t="n">
        <v>520</v>
      </c>
      <c r="X108" s="182" t="n">
        <v>104.4</v>
      </c>
      <c r="Y108" s="182" t="n">
        <v>150</v>
      </c>
      <c r="Z108" s="182" t="n">
        <v>120</v>
      </c>
      <c r="AA108" s="182" t="n">
        <v>21.4</v>
      </c>
      <c r="AB108" s="182" t="n">
        <v>20.8</v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4" t="n"/>
      <c r="B109" s="231" t="inlineStr">
        <is>
          <t>SKU-94863575</t>
        </is>
      </c>
      <c r="C109" s="231" t="inlineStr">
        <is>
          <t>是</t>
        </is>
      </c>
      <c r="D109" s="231" t="n">
        <v>11</v>
      </c>
      <c r="E109" s="231" t="inlineStr"/>
      <c r="F109" s="231" t="inlineStr"/>
      <c r="G109" s="231" t="inlineStr"/>
      <c r="H109" s="231" t="inlineStr"/>
      <c r="I109" s="231" t="inlineStr"/>
      <c r="J109" s="27" t="inlineStr"/>
      <c r="K109" s="27" t="inlineStr"/>
      <c r="L109" s="231" t="n">
        <v>100</v>
      </c>
      <c r="M109" s="19" t="inlineStr">
        <is>
          <t>Product-ED96D303</t>
        </is>
      </c>
      <c r="N109" s="231" t="n">
        <v>1</v>
      </c>
      <c r="O109" s="181">
        <f>SUM(P109:AB109)</f>
        <v/>
      </c>
      <c r="P109" s="182" t="n">
        <v>2.3</v>
      </c>
      <c r="Q109" s="182" t="n">
        <v>2.8</v>
      </c>
      <c r="R109" s="182" t="n">
        <v>2</v>
      </c>
      <c r="S109" s="182" t="n">
        <v>1.3</v>
      </c>
      <c r="T109" s="182" t="n">
        <v>1.6</v>
      </c>
      <c r="U109" s="182" t="n">
        <v>1.3</v>
      </c>
      <c r="V109" s="182" t="n">
        <v>1.3</v>
      </c>
      <c r="W109" s="182" t="n">
        <v>3.8</v>
      </c>
      <c r="X109" s="182" t="n">
        <v>2.2</v>
      </c>
      <c r="Y109" s="182" t="n">
        <v>1.6</v>
      </c>
      <c r="Z109" s="182" t="n">
        <v>1.7</v>
      </c>
      <c r="AA109" s="182" t="n">
        <v>1.4</v>
      </c>
      <c r="AB109" s="182" t="n">
        <v>1</v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4" t="n"/>
      <c r="B110" s="231" t="inlineStr">
        <is>
          <t>SKU-2FCA7D22</t>
        </is>
      </c>
      <c r="C110" s="231" t="inlineStr">
        <is>
          <t>是</t>
        </is>
      </c>
      <c r="D110" s="231" t="n">
        <v>11</v>
      </c>
      <c r="E110" s="231" t="inlineStr"/>
      <c r="F110" s="231" t="inlineStr"/>
      <c r="G110" s="231" t="inlineStr"/>
      <c r="H110" s="231" t="inlineStr"/>
      <c r="I110" s="231" t="inlineStr"/>
      <c r="J110" s="27" t="inlineStr"/>
      <c r="K110" s="27" t="inlineStr"/>
      <c r="L110" s="231" t="n">
        <v>100</v>
      </c>
      <c r="M110" s="19" t="inlineStr">
        <is>
          <t>Product-7CFF1ED9</t>
        </is>
      </c>
      <c r="N110" s="231" t="n">
        <v>1</v>
      </c>
      <c r="O110" s="181">
        <f>SUM(P110:AB110)</f>
        <v/>
      </c>
      <c r="P110" s="182" t="n">
        <v>105</v>
      </c>
      <c r="Q110" s="182" t="n">
        <v>180</v>
      </c>
      <c r="R110" s="182" t="n">
        <v>160</v>
      </c>
      <c r="S110" s="182" t="n">
        <v>50</v>
      </c>
      <c r="T110" s="182" t="n">
        <v>80</v>
      </c>
      <c r="U110" s="182" t="n">
        <v>37</v>
      </c>
      <c r="V110" s="182" t="n">
        <v>45</v>
      </c>
      <c r="W110" s="182" t="n">
        <v>250</v>
      </c>
      <c r="X110" s="182" t="n">
        <v>47.5</v>
      </c>
      <c r="Y110" s="182" t="n">
        <v>120</v>
      </c>
      <c r="Z110" s="182" t="n">
        <v>60</v>
      </c>
      <c r="AA110" s="182" t="n">
        <v>21</v>
      </c>
      <c r="AB110" s="182" t="n">
        <v>35</v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4" t="n"/>
      <c r="B111" s="231" t="inlineStr">
        <is>
          <t>SKU-2B469B0C</t>
        </is>
      </c>
      <c r="C111" s="231" t="inlineStr">
        <is>
          <t>是</t>
        </is>
      </c>
      <c r="D111" s="231" t="n">
        <v>5</v>
      </c>
      <c r="E111" s="231" t="inlineStr">
        <is>
          <t>是</t>
        </is>
      </c>
      <c r="F111" s="231" t="inlineStr"/>
      <c r="G111" s="231" t="inlineStr"/>
      <c r="H111" s="231" t="inlineStr"/>
      <c r="I111" s="231" t="inlineStr">
        <is>
          <t>是</t>
        </is>
      </c>
      <c r="J111" s="27" t="inlineStr">
        <is>
          <t>共</t>
        </is>
      </c>
      <c r="K111" s="27" t="inlineStr"/>
      <c r="L111" s="231" t="n">
        <v>100</v>
      </c>
      <c r="M111" s="19" t="inlineStr">
        <is>
          <t>Product-782A1545</t>
        </is>
      </c>
      <c r="N111" s="231" t="n">
        <v>1</v>
      </c>
      <c r="O111" s="181">
        <f>SUM(P111:AB111)</f>
        <v/>
      </c>
      <c r="P111" s="182" t="n">
        <v>306.8</v>
      </c>
      <c r="Q111" s="182" t="n">
        <v>223.1</v>
      </c>
      <c r="R111" s="182" t="n">
        <v>325.4</v>
      </c>
      <c r="S111" s="182" t="n">
        <v>127.8</v>
      </c>
      <c r="T111" s="182" t="n">
        <v>158</v>
      </c>
      <c r="U111" s="182" t="n">
        <v>21.4</v>
      </c>
      <c r="V111" s="182" t="n">
        <v>116.2</v>
      </c>
      <c r="W111" s="182" t="n">
        <v>344</v>
      </c>
      <c r="X111" s="182" t="n">
        <v>132.5</v>
      </c>
      <c r="Y111" s="182" t="n">
        <v>120.9</v>
      </c>
      <c r="Z111" s="182" t="n">
        <v>27.9</v>
      </c>
      <c r="AA111" s="182" t="n">
        <v>28.1</v>
      </c>
      <c r="AB111" s="182" t="n">
        <v>13.9</v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4" t="n"/>
      <c r="B112" s="231" t="inlineStr">
        <is>
          <t>SKU-D352A232</t>
        </is>
      </c>
      <c r="C112" s="231" t="inlineStr">
        <is>
          <t>是</t>
        </is>
      </c>
      <c r="D112" s="231" t="n">
        <v>10</v>
      </c>
      <c r="E112" s="231" t="inlineStr"/>
      <c r="F112" s="231" t="inlineStr"/>
      <c r="G112" s="231" t="inlineStr">
        <is>
          <t>是</t>
        </is>
      </c>
      <c r="H112" s="231" t="inlineStr"/>
      <c r="I112" s="231" t="inlineStr">
        <is>
          <t>是</t>
        </is>
      </c>
      <c r="J112" s="27" t="inlineStr"/>
      <c r="K112" s="27" t="inlineStr"/>
      <c r="L112" s="231" t="n">
        <v>100</v>
      </c>
      <c r="M112" s="33" t="inlineStr">
        <is>
          <t>Product-6DB46461</t>
        </is>
      </c>
      <c r="N112" s="231" t="n">
        <v>1</v>
      </c>
      <c r="O112" s="181">
        <f>SUM(P112:AB112)</f>
        <v/>
      </c>
      <c r="P112" s="182" t="n">
        <v>0</v>
      </c>
      <c r="Q112" s="182" t="n">
        <v>0</v>
      </c>
      <c r="R112" s="182" t="n">
        <v>0</v>
      </c>
      <c r="S112" s="182" t="n">
        <v>0</v>
      </c>
      <c r="T112" s="182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4" t="n"/>
      <c r="B113" s="231" t="inlineStr">
        <is>
          <t>SKU-497F1297</t>
        </is>
      </c>
      <c r="C113" s="231" t="inlineStr">
        <is>
          <t>是</t>
        </is>
      </c>
      <c r="D113" s="231" t="n">
        <v>10</v>
      </c>
      <c r="E113" s="231" t="inlineStr"/>
      <c r="F113" s="231" t="inlineStr">
        <is>
          <t>是</t>
        </is>
      </c>
      <c r="G113" s="231" t="inlineStr"/>
      <c r="H113" s="231" t="inlineStr"/>
      <c r="I113" s="231" t="inlineStr">
        <is>
          <t>是</t>
        </is>
      </c>
      <c r="J113" s="27" t="inlineStr"/>
      <c r="K113" s="27" t="inlineStr"/>
      <c r="L113" s="231" t="n">
        <v>100</v>
      </c>
      <c r="M113" s="19" t="inlineStr">
        <is>
          <t>Product-FC06EE76</t>
        </is>
      </c>
      <c r="N113" s="231" t="n">
        <v>1</v>
      </c>
      <c r="O113" s="181">
        <f>SUM(P113:AB113)</f>
        <v/>
      </c>
      <c r="P113" s="182" t="n">
        <v>349</v>
      </c>
      <c r="Q113" s="182" t="n">
        <v>262</v>
      </c>
      <c r="R113" s="182" t="n">
        <v>310</v>
      </c>
      <c r="S113" s="182" t="n">
        <v>147</v>
      </c>
      <c r="T113" s="182" t="n">
        <v>194</v>
      </c>
      <c r="U113" s="182" t="n">
        <v>109</v>
      </c>
      <c r="V113" s="182" t="n">
        <v>140</v>
      </c>
      <c r="W113" s="182" t="n">
        <v>409</v>
      </c>
      <c r="X113" s="182" t="n">
        <v>163</v>
      </c>
      <c r="Y113" s="182" t="n">
        <v>155</v>
      </c>
      <c r="Z113" s="182" t="n">
        <v>160</v>
      </c>
      <c r="AA113" s="182" t="n">
        <v>137</v>
      </c>
      <c r="AB113" s="182" t="n">
        <v>110</v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4" t="n"/>
      <c r="B114" s="231" t="inlineStr">
        <is>
          <t>SKU-E6463606</t>
        </is>
      </c>
      <c r="C114" s="231" t="inlineStr">
        <is>
          <t>是</t>
        </is>
      </c>
      <c r="D114" s="231" t="n">
        <v>9</v>
      </c>
      <c r="E114" s="231" t="inlineStr"/>
      <c r="F114" s="231" t="inlineStr">
        <is>
          <t>是</t>
        </is>
      </c>
      <c r="G114" s="231" t="inlineStr"/>
      <c r="H114" s="231" t="inlineStr"/>
      <c r="I114" s="231" t="inlineStr">
        <is>
          <t>是</t>
        </is>
      </c>
      <c r="J114" s="27" t="inlineStr"/>
      <c r="K114" s="27" t="inlineStr"/>
      <c r="L114" s="231" t="n">
        <v>100</v>
      </c>
      <c r="M114" s="44" t="inlineStr">
        <is>
          <t>Product-348068FF</t>
        </is>
      </c>
      <c r="N114" s="231" t="n">
        <v>1</v>
      </c>
      <c r="O114" s="181">
        <f>SUM(P114:AB114)</f>
        <v/>
      </c>
      <c r="P114" s="182" t="n">
        <v>0</v>
      </c>
      <c r="Q114" s="182" t="n">
        <v>0</v>
      </c>
      <c r="R114" s="182" t="n">
        <v>0</v>
      </c>
      <c r="S114" s="182" t="n">
        <v>0</v>
      </c>
      <c r="T114" s="182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4" t="n"/>
      <c r="B115" s="231" t="inlineStr">
        <is>
          <t>SKU-8EB26120</t>
        </is>
      </c>
      <c r="C115" s="231" t="inlineStr">
        <is>
          <t>是</t>
        </is>
      </c>
      <c r="D115" s="231" t="n">
        <v>7</v>
      </c>
      <c r="E115" s="231" t="inlineStr">
        <is>
          <t>是</t>
        </is>
      </c>
      <c r="F115" s="231" t="inlineStr"/>
      <c r="G115" s="231" t="inlineStr"/>
      <c r="H115" s="231" t="inlineStr"/>
      <c r="I115" s="231" t="inlineStr">
        <is>
          <t>是</t>
        </is>
      </c>
      <c r="J115" s="27" t="inlineStr">
        <is>
          <t>共</t>
        </is>
      </c>
      <c r="K115" s="27" t="inlineStr"/>
      <c r="L115" s="231" t="n">
        <v>100</v>
      </c>
      <c r="M115" s="19" t="inlineStr">
        <is>
          <t>Product-73F3BBE5</t>
        </is>
      </c>
      <c r="N115" s="231" t="n">
        <v>1</v>
      </c>
      <c r="O115" s="181">
        <f>SUM(P115:AB115)</f>
        <v/>
      </c>
      <c r="P115" s="182" t="n">
        <v>18.9</v>
      </c>
      <c r="Q115" s="182" t="n">
        <v>22.5</v>
      </c>
      <c r="R115" s="182" t="n">
        <v>22.1</v>
      </c>
      <c r="S115" s="182" t="n">
        <v>10.7</v>
      </c>
      <c r="T115" s="182" t="n">
        <v>13.2</v>
      </c>
      <c r="U115" s="182" t="n">
        <v>10.8</v>
      </c>
      <c r="V115" s="182" t="n">
        <v>10.5</v>
      </c>
      <c r="W115" s="182" t="n">
        <v>29.7</v>
      </c>
      <c r="X115" s="182" t="n">
        <v>17.5</v>
      </c>
      <c r="Y115" s="182" t="n">
        <v>12.6</v>
      </c>
      <c r="Z115" s="182" t="n">
        <v>13.7</v>
      </c>
      <c r="AA115" s="182" t="n">
        <v>11.7</v>
      </c>
      <c r="AB115" s="182" t="n">
        <v>8.1</v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4" t="n"/>
      <c r="B116" s="231" t="inlineStr">
        <is>
          <t>SKU-8515A26A</t>
        </is>
      </c>
      <c r="C116" s="231" t="inlineStr">
        <is>
          <t>是</t>
        </is>
      </c>
      <c r="D116" s="231" t="n">
        <v>9</v>
      </c>
      <c r="E116" s="231" t="inlineStr"/>
      <c r="F116" s="231" t="inlineStr">
        <is>
          <t>是</t>
        </is>
      </c>
      <c r="G116" s="231" t="inlineStr"/>
      <c r="H116" s="231" t="inlineStr"/>
      <c r="I116" s="231" t="inlineStr">
        <is>
          <t>是</t>
        </is>
      </c>
      <c r="J116" s="27" t="inlineStr">
        <is>
          <t>共</t>
        </is>
      </c>
      <c r="K116" s="27" t="inlineStr"/>
      <c r="L116" s="231" t="n">
        <v>100</v>
      </c>
      <c r="M116" s="19" t="inlineStr">
        <is>
          <t>Product-2C6E1A8D</t>
        </is>
      </c>
      <c r="N116" s="231" t="n">
        <v>1</v>
      </c>
      <c r="O116" s="181">
        <f>SUM(P116:AB116)</f>
        <v/>
      </c>
      <c r="P116" s="182" t="n">
        <v>32.8</v>
      </c>
      <c r="Q116" s="182" t="n">
        <v>38.9</v>
      </c>
      <c r="R116" s="182" t="n">
        <v>38.2</v>
      </c>
      <c r="S116" s="182" t="n">
        <v>18.6</v>
      </c>
      <c r="T116" s="182" t="n">
        <v>22.8</v>
      </c>
      <c r="U116" s="182" t="n">
        <v>18.6</v>
      </c>
      <c r="V116" s="182" t="n">
        <v>18.2</v>
      </c>
      <c r="W116" s="182" t="n">
        <v>51.9</v>
      </c>
      <c r="X116" s="182" t="n">
        <v>30.3</v>
      </c>
      <c r="Y116" s="182" t="n">
        <v>21.7</v>
      </c>
      <c r="Z116" s="182" t="n">
        <v>23.7</v>
      </c>
      <c r="AA116" s="182" t="n">
        <v>20.2</v>
      </c>
      <c r="AB116" s="182" t="n">
        <v>14.1</v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4" t="n"/>
      <c r="B117" s="231" t="inlineStr">
        <is>
          <t>SKU-2164A7E1</t>
        </is>
      </c>
      <c r="C117" s="231" t="inlineStr">
        <is>
          <t>是</t>
        </is>
      </c>
      <c r="D117" s="231" t="n">
        <v>10</v>
      </c>
      <c r="E117" s="231" t="inlineStr"/>
      <c r="F117" s="231" t="inlineStr"/>
      <c r="G117" s="231" t="inlineStr"/>
      <c r="H117" s="231" t="inlineStr"/>
      <c r="I117" s="231" t="inlineStr"/>
      <c r="J117" s="27" t="inlineStr">
        <is>
          <t>共</t>
        </is>
      </c>
      <c r="K117" s="27" t="inlineStr"/>
      <c r="L117" s="231" t="n">
        <v>100</v>
      </c>
      <c r="M117" s="19" t="inlineStr">
        <is>
          <t>Product-E6A26B29</t>
        </is>
      </c>
      <c r="N117" s="231" t="n">
        <v>1</v>
      </c>
      <c r="O117" s="181">
        <f>SUM(P117:AB117)</f>
        <v/>
      </c>
      <c r="P117" s="182" t="n">
        <v>200</v>
      </c>
      <c r="Q117" s="182" t="n">
        <v>344.8</v>
      </c>
      <c r="R117" s="182" t="n">
        <v>338.6</v>
      </c>
      <c r="S117" s="182" t="n">
        <v>164.9</v>
      </c>
      <c r="T117" s="182" t="n">
        <v>202</v>
      </c>
      <c r="U117" s="182" t="n">
        <v>165</v>
      </c>
      <c r="V117" s="182" t="n">
        <v>161.5</v>
      </c>
      <c r="W117" s="182" t="n">
        <v>458.2</v>
      </c>
      <c r="X117" s="182" t="n">
        <v>268</v>
      </c>
      <c r="Y117" s="182" t="n">
        <v>192.6</v>
      </c>
      <c r="Z117" s="182" t="n">
        <v>180.2</v>
      </c>
      <c r="AA117" s="182" t="n">
        <v>139.2</v>
      </c>
      <c r="AB117" s="182" t="n">
        <v>124.7</v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4" t="n"/>
      <c r="B118" s="231" t="inlineStr">
        <is>
          <t>SKU-C3DF57B7</t>
        </is>
      </c>
      <c r="C118" s="231" t="inlineStr">
        <is>
          <t>是</t>
        </is>
      </c>
      <c r="D118" s="231" t="n">
        <v>5</v>
      </c>
      <c r="E118" s="231" t="inlineStr"/>
      <c r="F118" s="231" t="inlineStr">
        <is>
          <t>是</t>
        </is>
      </c>
      <c r="G118" s="231" t="inlineStr"/>
      <c r="H118" s="231" t="inlineStr"/>
      <c r="I118" s="231" t="inlineStr">
        <is>
          <t>是</t>
        </is>
      </c>
      <c r="J118" s="27" t="inlineStr"/>
      <c r="K118" s="27" t="inlineStr"/>
      <c r="L118" s="231" t="n">
        <v>100</v>
      </c>
      <c r="M118" s="19" t="inlineStr">
        <is>
          <t>Product-79AFFC5E</t>
        </is>
      </c>
      <c r="N118" s="231" t="n">
        <v>1</v>
      </c>
      <c r="O118" s="181">
        <f>SUM(P118:AB118)</f>
        <v/>
      </c>
      <c r="P118" s="182" t="n">
        <v>22.5</v>
      </c>
      <c r="Q118" s="182" t="n">
        <v>26.7</v>
      </c>
      <c r="R118" s="182" t="n">
        <v>26.2</v>
      </c>
      <c r="S118" s="182" t="n">
        <v>12.8</v>
      </c>
      <c r="T118" s="182" t="n">
        <v>15.6</v>
      </c>
      <c r="U118" s="182" t="n">
        <v>12.8</v>
      </c>
      <c r="V118" s="182" t="n">
        <v>12.5</v>
      </c>
      <c r="W118" s="182" t="n">
        <v>35.4</v>
      </c>
      <c r="X118" s="182" t="n">
        <v>20.7</v>
      </c>
      <c r="Y118" s="182" t="n">
        <v>14.9</v>
      </c>
      <c r="Z118" s="182" t="n">
        <v>16.3</v>
      </c>
      <c r="AA118" s="182" t="n">
        <v>13.9</v>
      </c>
      <c r="AB118" s="182" t="n">
        <v>9.699999999999999</v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5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 t="n">
        <v>2568.3</v>
      </c>
      <c r="Q119" s="51" t="n">
        <v>2654.8</v>
      </c>
      <c r="R119" s="51" t="n">
        <v>3108.5</v>
      </c>
      <c r="S119" s="51" t="n">
        <v>1319.1</v>
      </c>
      <c r="T119" s="51" t="n">
        <v>1683.2</v>
      </c>
      <c r="U119" s="51" t="n">
        <v>834.9</v>
      </c>
      <c r="V119" s="51" t="n">
        <v>1270.2</v>
      </c>
      <c r="W119" s="51" t="n">
        <v>4183</v>
      </c>
      <c r="X119" s="51" t="n">
        <v>1731.2</v>
      </c>
      <c r="Y119" s="51" t="n">
        <v>1633.3</v>
      </c>
      <c r="Z119" s="51" t="n">
        <v>1510.5</v>
      </c>
      <c r="AA119" s="51" t="n">
        <v>962.1</v>
      </c>
      <c r="AB119" s="51" t="n">
        <v>778.3</v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31" t="inlineStr">
        <is>
          <t>SKU-0E698170</t>
        </is>
      </c>
      <c r="C120" s="231" t="inlineStr">
        <is>
          <t>是</t>
        </is>
      </c>
      <c r="D120" s="231" t="n">
        <v>10</v>
      </c>
      <c r="E120" s="231" t="inlineStr"/>
      <c r="F120" s="231" t="inlineStr"/>
      <c r="G120" s="231" t="inlineStr"/>
      <c r="H120" s="231" t="inlineStr"/>
      <c r="I120" s="231" t="inlineStr"/>
      <c r="J120" s="27" t="inlineStr"/>
      <c r="K120" s="27" t="inlineStr"/>
      <c r="L120" s="231" t="n">
        <v>100</v>
      </c>
      <c r="M120" s="19" t="inlineStr">
        <is>
          <t>Product-EF8C3EC5</t>
        </is>
      </c>
      <c r="N120" s="231" t="n">
        <v>1</v>
      </c>
      <c r="O120" s="181">
        <f>SUM(P120:AB120)</f>
        <v/>
      </c>
      <c r="P120" s="182" t="n">
        <v>33.9</v>
      </c>
      <c r="Q120" s="182" t="n">
        <v>31.6</v>
      </c>
      <c r="R120" s="182" t="n">
        <v>13.6</v>
      </c>
      <c r="S120" s="182" t="n">
        <v>15.1</v>
      </c>
      <c r="T120" s="182" t="n">
        <v>7.5</v>
      </c>
      <c r="U120" s="182" t="n">
        <v>5.3</v>
      </c>
      <c r="V120" s="182" t="n">
        <v>6</v>
      </c>
      <c r="W120" s="182" t="n">
        <v>0.6</v>
      </c>
      <c r="X120" s="182" t="n">
        <v>25.1</v>
      </c>
      <c r="Y120" s="182" t="n">
        <v>15.1</v>
      </c>
      <c r="Z120" s="182" t="n">
        <v>3</v>
      </c>
      <c r="AA120" s="182" t="n">
        <v>3</v>
      </c>
      <c r="AB120" s="182" t="n">
        <v>20.2</v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4" t="n"/>
      <c r="B121" s="231" t="inlineStr">
        <is>
          <t>SKU-B0AA269B</t>
        </is>
      </c>
      <c r="C121" s="231" t="inlineStr">
        <is>
          <t>是</t>
        </is>
      </c>
      <c r="D121" s="231" t="n">
        <v>10</v>
      </c>
      <c r="E121" s="231" t="inlineStr"/>
      <c r="F121" s="231" t="inlineStr"/>
      <c r="G121" s="231" t="inlineStr">
        <is>
          <t>是</t>
        </is>
      </c>
      <c r="H121" s="231" t="inlineStr"/>
      <c r="I121" s="231" t="inlineStr">
        <is>
          <t>是</t>
        </is>
      </c>
      <c r="J121" s="27" t="inlineStr"/>
      <c r="K121" s="27" t="inlineStr"/>
      <c r="L121" s="231" t="n">
        <v>100</v>
      </c>
      <c r="M121" s="19" t="inlineStr">
        <is>
          <t>Product-BFD53BC0</t>
        </is>
      </c>
      <c r="N121" s="231" t="n">
        <v>2</v>
      </c>
      <c r="O121" s="181">
        <f>SUM(P121:AB121)</f>
        <v/>
      </c>
      <c r="P121" s="182" t="n">
        <v>15</v>
      </c>
      <c r="Q121" s="182" t="n">
        <v>15</v>
      </c>
      <c r="R121" s="182" t="n">
        <v>15</v>
      </c>
      <c r="S121" s="182" t="n">
        <v>20</v>
      </c>
      <c r="T121" s="182" t="n">
        <v>30</v>
      </c>
      <c r="U121" s="182" t="n">
        <v>25</v>
      </c>
      <c r="V121" s="182" t="n">
        <v>40</v>
      </c>
      <c r="W121" s="182" t="n">
        <v>60</v>
      </c>
      <c r="X121" s="182" t="n">
        <v>105.4</v>
      </c>
      <c r="Y121" s="182" t="n">
        <v>63</v>
      </c>
      <c r="Z121" s="182" t="n">
        <v>16</v>
      </c>
      <c r="AA121" s="182" t="n">
        <v>20.6</v>
      </c>
      <c r="AB121" s="182" t="n">
        <v>22.4</v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4" t="n"/>
      <c r="B122" s="231" t="inlineStr">
        <is>
          <t>SKU-95370A38</t>
        </is>
      </c>
      <c r="C122" s="231" t="inlineStr">
        <is>
          <t>是</t>
        </is>
      </c>
      <c r="D122" s="231" t="n">
        <v>10</v>
      </c>
      <c r="E122" s="231" t="inlineStr"/>
      <c r="F122" s="231" t="inlineStr"/>
      <c r="G122" s="231" t="inlineStr"/>
      <c r="H122" s="231" t="inlineStr"/>
      <c r="I122" s="231" t="inlineStr"/>
      <c r="J122" s="27" t="inlineStr"/>
      <c r="K122" s="27" t="inlineStr"/>
      <c r="L122" s="231" t="n">
        <v>100</v>
      </c>
      <c r="M122" s="44" t="inlineStr">
        <is>
          <t>Product-204DEBD7</t>
        </is>
      </c>
      <c r="N122" s="231" t="n">
        <v>3</v>
      </c>
      <c r="O122" s="181">
        <f>SUM(P122:AB122)</f>
        <v/>
      </c>
      <c r="P122" s="182" t="n">
        <v>0</v>
      </c>
      <c r="Q122" s="182" t="n">
        <v>0</v>
      </c>
      <c r="R122" s="182" t="n">
        <v>0</v>
      </c>
      <c r="S122" s="182" t="n">
        <v>0</v>
      </c>
      <c r="T122" s="182" t="n">
        <v>0</v>
      </c>
      <c r="U122" s="182" t="n">
        <v>0</v>
      </c>
      <c r="V122" s="182" t="n">
        <v>0</v>
      </c>
      <c r="W122" s="182" t="n">
        <v>0</v>
      </c>
      <c r="X122" s="182" t="n">
        <v>0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4" t="n"/>
      <c r="B123" s="231" t="inlineStr">
        <is>
          <t>SKU-C25067A0</t>
        </is>
      </c>
      <c r="C123" s="231" t="inlineStr">
        <is>
          <t>是</t>
        </is>
      </c>
      <c r="D123" s="231" t="n">
        <v>8</v>
      </c>
      <c r="E123" s="231" t="inlineStr">
        <is>
          <t>是</t>
        </is>
      </c>
      <c r="F123" s="231" t="inlineStr"/>
      <c r="G123" s="231" t="inlineStr"/>
      <c r="H123" s="231" t="inlineStr"/>
      <c r="I123" s="231" t="inlineStr">
        <is>
          <t>是</t>
        </is>
      </c>
      <c r="J123" s="27" t="inlineStr">
        <is>
          <t>共</t>
        </is>
      </c>
      <c r="K123" s="27" t="inlineStr"/>
      <c r="L123" s="231" t="n">
        <v>100</v>
      </c>
      <c r="M123" s="19" t="inlineStr">
        <is>
          <t>Product-0FF79B6A</t>
        </is>
      </c>
      <c r="N123" s="231" t="n">
        <v>1</v>
      </c>
      <c r="O123" s="181">
        <f>SUM(P123:AB123)</f>
        <v/>
      </c>
      <c r="P123" s="182" t="n">
        <v>230</v>
      </c>
      <c r="Q123" s="182" t="n">
        <v>258</v>
      </c>
      <c r="R123" s="182" t="n">
        <v>342</v>
      </c>
      <c r="S123" s="182" t="n">
        <v>155</v>
      </c>
      <c r="T123" s="182" t="n">
        <v>170</v>
      </c>
      <c r="U123" s="182" t="n">
        <v>230</v>
      </c>
      <c r="V123" s="182" t="n">
        <v>130</v>
      </c>
      <c r="W123" s="182" t="n">
        <v>310</v>
      </c>
      <c r="X123" s="182" t="n">
        <v>118.8</v>
      </c>
      <c r="Y123" s="182" t="n">
        <v>150</v>
      </c>
      <c r="Z123" s="182" t="n">
        <v>75</v>
      </c>
      <c r="AA123" s="182" t="n">
        <v>48</v>
      </c>
      <c r="AB123" s="182" t="n">
        <v>167.3</v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4" t="n"/>
      <c r="B124" s="231" t="inlineStr">
        <is>
          <t>SKU-D7B45BE5</t>
        </is>
      </c>
      <c r="C124" s="231" t="inlineStr">
        <is>
          <t>是</t>
        </is>
      </c>
      <c r="D124" s="231" t="n">
        <v>10</v>
      </c>
      <c r="E124" s="231" t="inlineStr"/>
      <c r="F124" s="231" t="inlineStr"/>
      <c r="G124" s="231" t="inlineStr"/>
      <c r="H124" s="231" t="inlineStr"/>
      <c r="I124" s="231" t="inlineStr"/>
      <c r="J124" s="27" t="inlineStr"/>
      <c r="K124" s="27" t="inlineStr"/>
      <c r="L124" s="231" t="n">
        <v>100</v>
      </c>
      <c r="M124" s="44" t="inlineStr">
        <is>
          <t>Product-58C86CC9</t>
        </is>
      </c>
      <c r="N124" s="231" t="n">
        <v>3</v>
      </c>
      <c r="O124" s="181">
        <f>SUM(P124:AB124)</f>
        <v/>
      </c>
      <c r="P124" s="182" t="n">
        <v>0</v>
      </c>
      <c r="Q124" s="182" t="n">
        <v>0</v>
      </c>
      <c r="R124" s="182" t="n">
        <v>0</v>
      </c>
      <c r="S124" s="182" t="n">
        <v>0</v>
      </c>
      <c r="T124" s="182" t="n">
        <v>0</v>
      </c>
      <c r="U124" s="182" t="n">
        <v>0</v>
      </c>
      <c r="V124" s="182" t="n">
        <v>0</v>
      </c>
      <c r="W124" s="182" t="n">
        <v>0</v>
      </c>
      <c r="X124" s="182" t="n">
        <v>0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4" t="n"/>
      <c r="B125" s="231" t="inlineStr">
        <is>
          <t>SKU-B2C22E30</t>
        </is>
      </c>
      <c r="C125" s="231" t="inlineStr">
        <is>
          <t>是</t>
        </is>
      </c>
      <c r="D125" s="231" t="n">
        <v>10</v>
      </c>
      <c r="E125" s="231" t="inlineStr"/>
      <c r="F125" s="231" t="inlineStr"/>
      <c r="G125" s="231" t="inlineStr"/>
      <c r="H125" s="231" t="inlineStr"/>
      <c r="I125" s="231" t="inlineStr"/>
      <c r="J125" s="27" t="inlineStr"/>
      <c r="K125" s="27" t="inlineStr"/>
      <c r="L125" s="231" t="n">
        <v>100</v>
      </c>
      <c r="M125" s="19" t="inlineStr">
        <is>
          <t>Product-5FF63CBE</t>
        </is>
      </c>
      <c r="N125" s="231" t="n">
        <v>3</v>
      </c>
      <c r="O125" s="181">
        <f>SUM(P125:AB125)</f>
        <v/>
      </c>
      <c r="P125" s="182" t="n">
        <v>505</v>
      </c>
      <c r="Q125" s="182" t="n">
        <v>493</v>
      </c>
      <c r="R125" s="182" t="n">
        <v>533</v>
      </c>
      <c r="S125" s="182" t="n">
        <v>287</v>
      </c>
      <c r="T125" s="182" t="n">
        <v>331</v>
      </c>
      <c r="U125" s="182" t="n">
        <v>328</v>
      </c>
      <c r="V125" s="182" t="n">
        <v>245</v>
      </c>
      <c r="W125" s="182" t="n">
        <v>773</v>
      </c>
      <c r="X125" s="182" t="n">
        <v>582</v>
      </c>
      <c r="Y125" s="182" t="n">
        <v>389</v>
      </c>
      <c r="Z125" s="182" t="n">
        <v>394</v>
      </c>
      <c r="AA125" s="182" t="n">
        <v>381</v>
      </c>
      <c r="AB125" s="182" t="n">
        <v>334</v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4" t="n"/>
      <c r="B126" s="231" t="inlineStr">
        <is>
          <t>SKU-F56BB5B7</t>
        </is>
      </c>
      <c r="C126" s="231" t="inlineStr">
        <is>
          <t>是</t>
        </is>
      </c>
      <c r="D126" s="231" t="n">
        <v>8</v>
      </c>
      <c r="E126" s="231" t="inlineStr">
        <is>
          <t>是</t>
        </is>
      </c>
      <c r="F126" s="231" t="inlineStr"/>
      <c r="G126" s="231" t="inlineStr"/>
      <c r="H126" s="231" t="inlineStr">
        <is>
          <t>是</t>
        </is>
      </c>
      <c r="I126" s="231" t="inlineStr">
        <is>
          <t>是</t>
        </is>
      </c>
      <c r="J126" s="27" t="inlineStr">
        <is>
          <t>共</t>
        </is>
      </c>
      <c r="K126" s="27" t="inlineStr"/>
      <c r="L126" s="231" t="n">
        <v>100</v>
      </c>
      <c r="M126" s="19" t="inlineStr">
        <is>
          <t>Product-DD0EEB81</t>
        </is>
      </c>
      <c r="N126" s="231" t="n">
        <v>1</v>
      </c>
      <c r="O126" s="181">
        <f>SUM(P126:AB126)</f>
        <v/>
      </c>
      <c r="P126" s="182" t="n">
        <v>89</v>
      </c>
      <c r="Q126" s="182" t="n">
        <v>105.7</v>
      </c>
      <c r="R126" s="182" t="n">
        <v>103.8</v>
      </c>
      <c r="S126" s="182" t="n">
        <v>50.5</v>
      </c>
      <c r="T126" s="182" t="n">
        <v>61.9</v>
      </c>
      <c r="U126" s="182" t="n">
        <v>50.6</v>
      </c>
      <c r="V126" s="182" t="n">
        <v>49.5</v>
      </c>
      <c r="W126" s="182" t="n">
        <v>140.4</v>
      </c>
      <c r="X126" s="182" t="n">
        <v>82.09999999999999</v>
      </c>
      <c r="Y126" s="182" t="n">
        <v>59</v>
      </c>
      <c r="Z126" s="182" t="n">
        <v>64.40000000000001</v>
      </c>
      <c r="AA126" s="182" t="n">
        <v>54.9</v>
      </c>
      <c r="AB126" s="182" t="n">
        <v>38.2</v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4" t="n"/>
      <c r="B127" s="231" t="inlineStr">
        <is>
          <t>SKU-3F557AF3</t>
        </is>
      </c>
      <c r="C127" s="231" t="inlineStr">
        <is>
          <t>是</t>
        </is>
      </c>
      <c r="D127" s="231" t="n">
        <v>10</v>
      </c>
      <c r="E127" s="231" t="inlineStr"/>
      <c r="F127" s="231" t="inlineStr">
        <is>
          <t>是</t>
        </is>
      </c>
      <c r="G127" s="231" t="inlineStr"/>
      <c r="H127" s="231" t="inlineStr"/>
      <c r="I127" s="231" t="inlineStr">
        <is>
          <t>是</t>
        </is>
      </c>
      <c r="J127" s="27" t="inlineStr"/>
      <c r="K127" s="27" t="inlineStr"/>
      <c r="L127" s="231" t="n">
        <v>100</v>
      </c>
      <c r="M127" s="19" t="inlineStr">
        <is>
          <t>Product-B7D004B8</t>
        </is>
      </c>
      <c r="N127" s="231" t="n">
        <v>1</v>
      </c>
      <c r="O127" s="181">
        <f>SUM(P127:AB127)</f>
        <v/>
      </c>
      <c r="P127" s="182" t="n">
        <v>179.8</v>
      </c>
      <c r="Q127" s="182" t="n">
        <v>263.9</v>
      </c>
      <c r="R127" s="182" t="n">
        <v>147.2</v>
      </c>
      <c r="S127" s="182" t="n">
        <v>99.90000000000001</v>
      </c>
      <c r="T127" s="182" t="n">
        <v>172.5</v>
      </c>
      <c r="U127" s="182" t="n">
        <v>84.09999999999999</v>
      </c>
      <c r="V127" s="182" t="n">
        <v>63.1</v>
      </c>
      <c r="W127" s="182" t="n">
        <v>210.4</v>
      </c>
      <c r="X127" s="182" t="n">
        <v>69.90000000000001</v>
      </c>
      <c r="Y127" s="182" t="n">
        <v>73.59999999999999</v>
      </c>
      <c r="Z127" s="182" t="n">
        <v>36.8</v>
      </c>
      <c r="AA127" s="182" t="n">
        <v>33.7</v>
      </c>
      <c r="AB127" s="182" t="n">
        <v>25.1</v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4" t="n"/>
      <c r="B128" s="231" t="inlineStr">
        <is>
          <t>SKU-B84F77F7</t>
        </is>
      </c>
      <c r="C128" s="231" t="inlineStr">
        <is>
          <t>是</t>
        </is>
      </c>
      <c r="D128" s="231" t="n">
        <v>11</v>
      </c>
      <c r="E128" s="231" t="inlineStr"/>
      <c r="F128" s="231" t="inlineStr"/>
      <c r="G128" s="231" t="inlineStr"/>
      <c r="H128" s="231" t="inlineStr"/>
      <c r="I128" s="231" t="inlineStr"/>
      <c r="J128" s="27" t="inlineStr">
        <is>
          <t>共</t>
        </is>
      </c>
      <c r="K128" s="27" t="inlineStr"/>
      <c r="L128" s="231" t="n">
        <v>100</v>
      </c>
      <c r="M128" s="19" t="inlineStr">
        <is>
          <t>Product-12BB50D3</t>
        </is>
      </c>
      <c r="N128" s="231" t="n">
        <v>2</v>
      </c>
      <c r="O128" s="181">
        <f>SUM(P128:AB128)</f>
        <v/>
      </c>
      <c r="P128" s="182" t="n">
        <v>112</v>
      </c>
      <c r="Q128" s="182" t="n">
        <v>151.3</v>
      </c>
      <c r="R128" s="182" t="n">
        <v>148.5</v>
      </c>
      <c r="S128" s="182" t="n">
        <v>65</v>
      </c>
      <c r="T128" s="182" t="n">
        <v>88.59999999999999</v>
      </c>
      <c r="U128" s="182" t="n">
        <v>72.40000000000001</v>
      </c>
      <c r="V128" s="182" t="n">
        <v>70.90000000000001</v>
      </c>
      <c r="W128" s="182" t="n">
        <v>201.1</v>
      </c>
      <c r="X128" s="182" t="n">
        <v>117.6</v>
      </c>
      <c r="Y128" s="182" t="n">
        <v>84.5</v>
      </c>
      <c r="Z128" s="182" t="n">
        <v>92.2</v>
      </c>
      <c r="AA128" s="182" t="n">
        <v>78.59999999999999</v>
      </c>
      <c r="AB128" s="182" t="n">
        <v>54.7</v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4" t="n"/>
      <c r="B129" s="231" t="inlineStr">
        <is>
          <t>SKU-810E6D7D</t>
        </is>
      </c>
      <c r="C129" s="231" t="inlineStr">
        <is>
          <t>是</t>
        </is>
      </c>
      <c r="D129" s="231" t="n">
        <v>8</v>
      </c>
      <c r="E129" s="231" t="inlineStr">
        <is>
          <t>是</t>
        </is>
      </c>
      <c r="F129" s="231" t="inlineStr"/>
      <c r="G129" s="231" t="inlineStr"/>
      <c r="H129" s="231" t="inlineStr">
        <is>
          <t>是</t>
        </is>
      </c>
      <c r="I129" s="231" t="inlineStr">
        <is>
          <t>是</t>
        </is>
      </c>
      <c r="J129" s="27" t="inlineStr"/>
      <c r="K129" s="27" t="inlineStr"/>
      <c r="L129" s="231" t="n">
        <v>100</v>
      </c>
      <c r="M129" s="19" t="inlineStr">
        <is>
          <t>Product-C780D3B4</t>
        </is>
      </c>
      <c r="N129" s="231" t="n">
        <v>1</v>
      </c>
      <c r="O129" s="181">
        <f>SUM(P129:AB129)</f>
        <v/>
      </c>
      <c r="P129" s="182" t="n">
        <v>0.7</v>
      </c>
      <c r="Q129" s="182" t="n">
        <v>0.9</v>
      </c>
      <c r="R129" s="182" t="n">
        <v>0.9</v>
      </c>
      <c r="S129" s="182" t="n">
        <v>0.4</v>
      </c>
      <c r="T129" s="182" t="n">
        <v>0.5</v>
      </c>
      <c r="U129" s="182" t="n">
        <v>0.4</v>
      </c>
      <c r="V129" s="182" t="n">
        <v>0.4</v>
      </c>
      <c r="W129" s="182" t="n">
        <v>1.3</v>
      </c>
      <c r="X129" s="182" t="n">
        <v>0.7</v>
      </c>
      <c r="Y129" s="182" t="n">
        <v>0.5</v>
      </c>
      <c r="Z129" s="182" t="n">
        <v>0.5</v>
      </c>
      <c r="AA129" s="182" t="n">
        <v>0.5</v>
      </c>
      <c r="AB129" s="182" t="n">
        <v>0.3</v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4" t="n"/>
      <c r="B130" s="231" t="inlineStr">
        <is>
          <t>SKU-43A0FE0C</t>
        </is>
      </c>
      <c r="C130" s="231" t="inlineStr">
        <is>
          <t>是</t>
        </is>
      </c>
      <c r="D130" s="231" t="n">
        <v>11</v>
      </c>
      <c r="E130" s="231" t="inlineStr"/>
      <c r="F130" s="231" t="inlineStr"/>
      <c r="G130" s="231" t="inlineStr"/>
      <c r="H130" s="231" t="inlineStr"/>
      <c r="I130" s="231" t="inlineStr"/>
      <c r="J130" s="27" t="inlineStr"/>
      <c r="K130" s="27" t="inlineStr"/>
      <c r="L130" s="231" t="n">
        <v>100</v>
      </c>
      <c r="M130" s="19" t="inlineStr">
        <is>
          <t>Product-48B5A7C4</t>
        </is>
      </c>
      <c r="N130" s="231" t="n">
        <v>1</v>
      </c>
      <c r="O130" s="181">
        <f>SUM(P130:AB130)</f>
        <v/>
      </c>
      <c r="P130" s="182" t="n">
        <v>15.4</v>
      </c>
      <c r="Q130" s="182" t="n">
        <v>18.2</v>
      </c>
      <c r="R130" s="182" t="n">
        <v>17.9</v>
      </c>
      <c r="S130" s="182" t="n">
        <v>8.699999999999999</v>
      </c>
      <c r="T130" s="182" t="n">
        <v>10.7</v>
      </c>
      <c r="U130" s="182" t="n">
        <v>8.699999999999999</v>
      </c>
      <c r="V130" s="182" t="n">
        <v>8.5</v>
      </c>
      <c r="W130" s="182" t="n">
        <v>24.3</v>
      </c>
      <c r="X130" s="182" t="n">
        <v>14.2</v>
      </c>
      <c r="Y130" s="182" t="n">
        <v>10.2</v>
      </c>
      <c r="Z130" s="182" t="n">
        <v>11.1</v>
      </c>
      <c r="AA130" s="182" t="n">
        <v>9.5</v>
      </c>
      <c r="AB130" s="182" t="n">
        <v>6.6</v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5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 t="n">
        <v>1180.8</v>
      </c>
      <c r="Q131" s="51" t="n">
        <v>1337.6</v>
      </c>
      <c r="R131" s="51" t="n">
        <v>1321.9</v>
      </c>
      <c r="S131" s="51" t="n">
        <v>701.6</v>
      </c>
      <c r="T131" s="51" t="n">
        <v>872.7</v>
      </c>
      <c r="U131" s="51" t="n">
        <v>804.5</v>
      </c>
      <c r="V131" s="51" t="n">
        <v>613.4</v>
      </c>
      <c r="W131" s="51" t="n">
        <v>1721.1</v>
      </c>
      <c r="X131" s="51" t="n">
        <v>1115.8</v>
      </c>
      <c r="Y131" s="51" t="n">
        <v>844.9</v>
      </c>
      <c r="Z131" s="51" t="n">
        <v>693</v>
      </c>
      <c r="AA131" s="51" t="n">
        <v>629.8</v>
      </c>
      <c r="AB131" s="51" t="n">
        <v>668.8</v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31" t="inlineStr">
        <is>
          <t>SKU-3D7D2993</t>
        </is>
      </c>
      <c r="C132" s="231" t="inlineStr">
        <is>
          <t>是</t>
        </is>
      </c>
      <c r="D132" s="231" t="n">
        <v>10</v>
      </c>
      <c r="E132" s="231" t="inlineStr"/>
      <c r="F132" s="231" t="inlineStr"/>
      <c r="G132" s="231" t="inlineStr"/>
      <c r="H132" s="231" t="inlineStr"/>
      <c r="I132" s="231" t="inlineStr"/>
      <c r="J132" s="27" t="inlineStr"/>
      <c r="K132" s="27" t="inlineStr">
        <is>
          <t>是</t>
        </is>
      </c>
      <c r="L132" s="231" t="n">
        <v>100</v>
      </c>
      <c r="M132" s="19" t="inlineStr">
        <is>
          <t>Product-E884C607</t>
        </is>
      </c>
      <c r="N132" s="231" t="n">
        <v>3</v>
      </c>
      <c r="O132" s="181">
        <f>SUM(P132:AB132)</f>
        <v/>
      </c>
      <c r="P132" s="182" t="n">
        <v>10</v>
      </c>
      <c r="Q132" s="182" t="n">
        <v>2</v>
      </c>
      <c r="R132" s="182" t="n">
        <v>2</v>
      </c>
      <c r="S132" s="182" t="n">
        <v>5</v>
      </c>
      <c r="T132" s="182" t="n">
        <v>5</v>
      </c>
      <c r="U132" s="182" t="n">
        <v>45.8</v>
      </c>
      <c r="V132" s="182" t="n">
        <v>3</v>
      </c>
      <c r="W132" s="182" t="n">
        <v>15</v>
      </c>
      <c r="X132" s="182" t="n">
        <v>30.4</v>
      </c>
      <c r="Y132" s="182" t="n">
        <v>0.5</v>
      </c>
      <c r="Z132" s="182" t="n">
        <v>0</v>
      </c>
      <c r="AA132" s="182" t="n">
        <v>3</v>
      </c>
      <c r="AB132" s="182" t="n">
        <v>3</v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4" t="n"/>
      <c r="B133" s="231" t="inlineStr">
        <is>
          <t>SKU-00283049</t>
        </is>
      </c>
      <c r="C133" s="231" t="inlineStr">
        <is>
          <t>是</t>
        </is>
      </c>
      <c r="D133" s="231" t="n">
        <v>6</v>
      </c>
      <c r="E133" s="231" t="inlineStr"/>
      <c r="F133" s="231" t="inlineStr">
        <is>
          <t>是</t>
        </is>
      </c>
      <c r="G133" s="231" t="inlineStr"/>
      <c r="H133" s="231" t="inlineStr"/>
      <c r="I133" s="231" t="inlineStr">
        <is>
          <t>是</t>
        </is>
      </c>
      <c r="J133" s="27" t="inlineStr"/>
      <c r="K133" s="27" t="inlineStr">
        <is>
          <t>是</t>
        </is>
      </c>
      <c r="L133" s="231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>
        <v>0</v>
      </c>
      <c r="Q133" s="182" t="n">
        <v>0</v>
      </c>
      <c r="R133" s="182" t="n">
        <v>0</v>
      </c>
      <c r="S133" s="182" t="n">
        <v>0</v>
      </c>
      <c r="T133" s="182" t="n">
        <v>0</v>
      </c>
      <c r="U133" s="182" t="n">
        <v>0</v>
      </c>
      <c r="V133" s="182" t="n">
        <v>0</v>
      </c>
      <c r="W133" s="182" t="n">
        <v>0</v>
      </c>
      <c r="X133" s="182" t="n">
        <v>0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4" t="n"/>
      <c r="B134" s="231" t="inlineStr">
        <is>
          <t>SKU-BB75DCA2</t>
        </is>
      </c>
      <c r="C134" s="231" t="inlineStr">
        <is>
          <t>是</t>
        </is>
      </c>
      <c r="D134" s="231" t="n">
        <v>11</v>
      </c>
      <c r="E134" s="231" t="inlineStr"/>
      <c r="F134" s="231" t="inlineStr"/>
      <c r="G134" s="231" t="inlineStr"/>
      <c r="H134" s="231" t="inlineStr"/>
      <c r="I134" s="231" t="inlineStr"/>
      <c r="J134" s="27" t="inlineStr"/>
      <c r="K134" s="27" t="inlineStr"/>
      <c r="L134" s="231" t="n">
        <v>100</v>
      </c>
      <c r="M134" s="19" t="inlineStr">
        <is>
          <t>Product-BEB895B0</t>
        </is>
      </c>
      <c r="N134" s="231" t="n">
        <v>2</v>
      </c>
      <c r="O134" s="181">
        <f>SUM(P134:AB134)</f>
        <v/>
      </c>
      <c r="P134" s="182" t="n">
        <v>26</v>
      </c>
      <c r="Q134" s="182" t="n">
        <v>19</v>
      </c>
      <c r="R134" s="182" t="n">
        <v>3</v>
      </c>
      <c r="S134" s="182" t="n">
        <v>17</v>
      </c>
      <c r="T134" s="182" t="n">
        <v>34</v>
      </c>
      <c r="U134" s="182" t="n">
        <v>67</v>
      </c>
      <c r="V134" s="182" t="n">
        <v>3</v>
      </c>
      <c r="W134" s="182" t="n">
        <v>11.7</v>
      </c>
      <c r="X134" s="182" t="n">
        <v>19.2</v>
      </c>
      <c r="Y134" s="182" t="n">
        <v>29</v>
      </c>
      <c r="Z134" s="182" t="n">
        <v>2</v>
      </c>
      <c r="AA134" s="182" t="n">
        <v>3</v>
      </c>
      <c r="AB134" s="182" t="n">
        <v>1</v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4" t="n"/>
      <c r="B135" s="231" t="inlineStr">
        <is>
          <t>SKU-388666F4</t>
        </is>
      </c>
      <c r="C135" s="231" t="inlineStr">
        <is>
          <t>是</t>
        </is>
      </c>
      <c r="D135" s="231" t="n">
        <v>10</v>
      </c>
      <c r="E135" s="231" t="inlineStr"/>
      <c r="F135" s="231" t="inlineStr"/>
      <c r="G135" s="231" t="inlineStr"/>
      <c r="H135" s="231" t="inlineStr"/>
      <c r="I135" s="231" t="inlineStr"/>
      <c r="J135" s="27" t="inlineStr"/>
      <c r="K135" s="27" t="inlineStr"/>
      <c r="L135" s="231" t="n">
        <v>100</v>
      </c>
      <c r="M135" s="44" t="inlineStr">
        <is>
          <t>Product-6CBA44B1</t>
        </is>
      </c>
      <c r="N135" s="231" t="n">
        <v>3</v>
      </c>
      <c r="O135" s="181">
        <f>SUM(P135:AB135)</f>
        <v/>
      </c>
      <c r="P135" s="182" t="n">
        <v>0</v>
      </c>
      <c r="Q135" s="182" t="n">
        <v>0</v>
      </c>
      <c r="R135" s="182" t="n">
        <v>0</v>
      </c>
      <c r="S135" s="182" t="n">
        <v>0</v>
      </c>
      <c r="T135" s="182" t="n">
        <v>0</v>
      </c>
      <c r="U135" s="182" t="n">
        <v>0</v>
      </c>
      <c r="V135" s="182" t="n">
        <v>0</v>
      </c>
      <c r="W135" s="182" t="n">
        <v>0</v>
      </c>
      <c r="X135" s="182" t="n">
        <v>0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4" t="n"/>
      <c r="B136" s="231" t="inlineStr">
        <is>
          <t>SKU-817B132C</t>
        </is>
      </c>
      <c r="C136" s="231" t="inlineStr">
        <is>
          <t>是</t>
        </is>
      </c>
      <c r="D136" s="231" t="n">
        <v>8</v>
      </c>
      <c r="E136" s="231" t="inlineStr"/>
      <c r="F136" s="231" t="inlineStr"/>
      <c r="G136" s="231" t="inlineStr"/>
      <c r="H136" s="231" t="inlineStr"/>
      <c r="I136" s="231" t="inlineStr"/>
      <c r="J136" s="27" t="inlineStr"/>
      <c r="K136" s="27" t="inlineStr"/>
      <c r="L136" s="231" t="n">
        <v>100</v>
      </c>
      <c r="M136" s="19" t="inlineStr">
        <is>
          <t>Product-9CA542CA</t>
        </is>
      </c>
      <c r="N136" s="231" t="n">
        <v>3</v>
      </c>
      <c r="O136" s="181">
        <f>SUM(P136:AB136)</f>
        <v/>
      </c>
      <c r="P136" s="182" t="n">
        <v>358</v>
      </c>
      <c r="Q136" s="182" t="n">
        <v>349</v>
      </c>
      <c r="R136" s="182" t="n">
        <v>378</v>
      </c>
      <c r="S136" s="182" t="n">
        <v>203</v>
      </c>
      <c r="T136" s="182" t="n">
        <v>235</v>
      </c>
      <c r="U136" s="182" t="n">
        <v>233</v>
      </c>
      <c r="V136" s="182" t="n">
        <v>174</v>
      </c>
      <c r="W136" s="182" t="n">
        <v>549</v>
      </c>
      <c r="X136" s="182" t="n">
        <v>413</v>
      </c>
      <c r="Y136" s="182" t="n">
        <v>277</v>
      </c>
      <c r="Z136" s="182" t="n">
        <v>279</v>
      </c>
      <c r="AA136" s="182" t="n">
        <v>270</v>
      </c>
      <c r="AB136" s="182" t="n">
        <v>237</v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4" t="n"/>
      <c r="B137" s="231" t="inlineStr">
        <is>
          <t>SKU-CE68A1C3</t>
        </is>
      </c>
      <c r="C137" s="231" t="inlineStr">
        <is>
          <t>是</t>
        </is>
      </c>
      <c r="D137" s="231" t="n">
        <v>6</v>
      </c>
      <c r="E137" s="231" t="inlineStr">
        <is>
          <t>是</t>
        </is>
      </c>
      <c r="F137" s="231" t="inlineStr"/>
      <c r="G137" s="231" t="inlineStr"/>
      <c r="H137" s="231" t="inlineStr"/>
      <c r="I137" s="231" t="inlineStr">
        <is>
          <t>是</t>
        </is>
      </c>
      <c r="J137" s="27" t="inlineStr">
        <is>
          <t>共</t>
        </is>
      </c>
      <c r="K137" s="27" t="inlineStr"/>
      <c r="L137" s="231" t="n">
        <v>100</v>
      </c>
      <c r="M137" s="19" t="inlineStr">
        <is>
          <t>Product-40217E2C</t>
        </is>
      </c>
      <c r="N137" s="231" t="n">
        <v>1</v>
      </c>
      <c r="O137" s="181">
        <f>SUM(P137:AB137)</f>
        <v/>
      </c>
      <c r="P137" s="182" t="n">
        <v>44</v>
      </c>
      <c r="Q137" s="182" t="n">
        <v>52.3</v>
      </c>
      <c r="R137" s="182" t="n">
        <v>35</v>
      </c>
      <c r="S137" s="182" t="n">
        <v>25</v>
      </c>
      <c r="T137" s="182" t="n">
        <v>30.6</v>
      </c>
      <c r="U137" s="182" t="n">
        <v>25</v>
      </c>
      <c r="V137" s="182" t="n">
        <v>24.5</v>
      </c>
      <c r="W137" s="182" t="n">
        <v>69.5</v>
      </c>
      <c r="X137" s="182" t="n">
        <v>40.6</v>
      </c>
      <c r="Y137" s="182" t="n">
        <v>29.2</v>
      </c>
      <c r="Z137" s="182" t="n">
        <v>31.9</v>
      </c>
      <c r="AA137" s="182" t="n">
        <v>27.2</v>
      </c>
      <c r="AB137" s="182" t="n">
        <v>18.9</v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4" t="n"/>
      <c r="B138" s="231" t="inlineStr">
        <is>
          <t>SKU-71660307</t>
        </is>
      </c>
      <c r="C138" s="231" t="inlineStr">
        <is>
          <t>是</t>
        </is>
      </c>
      <c r="D138" s="231" t="n">
        <v>8</v>
      </c>
      <c r="E138" s="231" t="inlineStr"/>
      <c r="F138" s="231" t="inlineStr">
        <is>
          <t>是</t>
        </is>
      </c>
      <c r="G138" s="231" t="inlineStr"/>
      <c r="H138" s="231" t="inlineStr"/>
      <c r="I138" s="231" t="inlineStr">
        <is>
          <t>是</t>
        </is>
      </c>
      <c r="J138" s="27" t="inlineStr"/>
      <c r="K138" s="27" t="inlineStr"/>
      <c r="L138" s="231" t="n">
        <v>100</v>
      </c>
      <c r="M138" s="44" t="inlineStr">
        <is>
          <t>Product-72199E85</t>
        </is>
      </c>
      <c r="N138" s="231" t="n">
        <v>1</v>
      </c>
      <c r="O138" s="181">
        <f>SUM(P138:AB138)</f>
        <v/>
      </c>
      <c r="P138" s="182" t="n">
        <v>0</v>
      </c>
      <c r="Q138" s="182" t="n">
        <v>0</v>
      </c>
      <c r="R138" s="182" t="n">
        <v>0</v>
      </c>
      <c r="S138" s="182" t="n">
        <v>0</v>
      </c>
      <c r="T138" s="182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4" t="n"/>
      <c r="B139" s="231" t="inlineStr">
        <is>
          <t>SKU-4945E111</t>
        </is>
      </c>
      <c r="C139" s="231" t="inlineStr">
        <is>
          <t>是</t>
        </is>
      </c>
      <c r="D139" s="231" t="n">
        <v>8</v>
      </c>
      <c r="E139" s="231" t="inlineStr"/>
      <c r="F139" s="231" t="inlineStr">
        <is>
          <t>是</t>
        </is>
      </c>
      <c r="G139" s="231" t="inlineStr"/>
      <c r="H139" s="231" t="inlineStr"/>
      <c r="I139" s="231" t="inlineStr">
        <is>
          <t>是</t>
        </is>
      </c>
      <c r="J139" s="27" t="inlineStr"/>
      <c r="K139" s="27" t="inlineStr"/>
      <c r="L139" s="231" t="n">
        <v>100</v>
      </c>
      <c r="M139" s="19" t="inlineStr">
        <is>
          <t>Product-A927BD78</t>
        </is>
      </c>
      <c r="N139" s="231" t="n">
        <v>2</v>
      </c>
      <c r="O139" s="181">
        <f>SUM(P139:AB139)</f>
        <v/>
      </c>
      <c r="P139" s="182" t="n">
        <v>262.2</v>
      </c>
      <c r="Q139" s="182" t="n">
        <v>311.4</v>
      </c>
      <c r="R139" s="182" t="n">
        <v>305.8</v>
      </c>
      <c r="S139" s="182" t="n">
        <v>148.9</v>
      </c>
      <c r="T139" s="182" t="n">
        <v>182.5</v>
      </c>
      <c r="U139" s="182" t="n">
        <v>149</v>
      </c>
      <c r="V139" s="182" t="n">
        <v>145.9</v>
      </c>
      <c r="W139" s="182" t="n">
        <v>413.9</v>
      </c>
      <c r="X139" s="182" t="n">
        <v>242.1</v>
      </c>
      <c r="Y139" s="182" t="n">
        <v>174</v>
      </c>
      <c r="Z139" s="182" t="n">
        <v>189.8</v>
      </c>
      <c r="AA139" s="182" t="n">
        <v>161.9</v>
      </c>
      <c r="AB139" s="182" t="n">
        <v>112.6</v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4" t="n"/>
      <c r="B140" s="231" t="inlineStr">
        <is>
          <t>SKU-823A2107</t>
        </is>
      </c>
      <c r="C140" s="231" t="inlineStr">
        <is>
          <t>是</t>
        </is>
      </c>
      <c r="D140" s="231" t="n">
        <v>8</v>
      </c>
      <c r="E140" s="231" t="inlineStr"/>
      <c r="F140" s="231" t="inlineStr">
        <is>
          <t>是</t>
        </is>
      </c>
      <c r="G140" s="231" t="inlineStr"/>
      <c r="H140" s="231" t="inlineStr"/>
      <c r="I140" s="231" t="inlineStr">
        <is>
          <t>是</t>
        </is>
      </c>
      <c r="J140" s="27" t="inlineStr"/>
      <c r="K140" s="27" t="inlineStr"/>
      <c r="L140" s="231" t="n">
        <v>100</v>
      </c>
      <c r="M140" s="19" t="inlineStr">
        <is>
          <t>Product-0D4369D8</t>
        </is>
      </c>
      <c r="N140" s="231" t="n">
        <v>2</v>
      </c>
      <c r="O140" s="181">
        <f>SUM(P140:AB140)</f>
        <v/>
      </c>
      <c r="P140" s="182" t="n">
        <v>132.5</v>
      </c>
      <c r="Q140" s="182" t="n">
        <v>157.4</v>
      </c>
      <c r="R140" s="182" t="n">
        <v>154.5</v>
      </c>
      <c r="S140" s="182" t="n">
        <v>75.3</v>
      </c>
      <c r="T140" s="182" t="n">
        <v>92.2</v>
      </c>
      <c r="U140" s="182" t="n">
        <v>75.3</v>
      </c>
      <c r="V140" s="182" t="n">
        <v>73.7</v>
      </c>
      <c r="W140" s="182" t="n">
        <v>209.3</v>
      </c>
      <c r="X140" s="182" t="n">
        <v>122.3</v>
      </c>
      <c r="Y140" s="182" t="n">
        <v>87.90000000000001</v>
      </c>
      <c r="Z140" s="182" t="n">
        <v>95.90000000000001</v>
      </c>
      <c r="AA140" s="182" t="n">
        <v>81.8</v>
      </c>
      <c r="AB140" s="182" t="n">
        <v>56.9</v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4" t="n"/>
      <c r="B141" s="231" t="inlineStr">
        <is>
          <t>SKU-C4DEF3A3</t>
        </is>
      </c>
      <c r="C141" s="231" t="inlineStr">
        <is>
          <t>是</t>
        </is>
      </c>
      <c r="D141" s="231" t="n">
        <v>9</v>
      </c>
      <c r="E141" s="231" t="inlineStr"/>
      <c r="F141" s="231" t="inlineStr">
        <is>
          <t>是</t>
        </is>
      </c>
      <c r="G141" s="231" t="inlineStr"/>
      <c r="H141" s="231" t="inlineStr"/>
      <c r="I141" s="231" t="inlineStr">
        <is>
          <t>是</t>
        </is>
      </c>
      <c r="J141" s="27" t="inlineStr">
        <is>
          <t>共</t>
        </is>
      </c>
      <c r="K141" s="27" t="inlineStr"/>
      <c r="L141" s="231" t="n">
        <v>100</v>
      </c>
      <c r="M141" s="19" t="inlineStr">
        <is>
          <t>Product-49C45F99</t>
        </is>
      </c>
      <c r="N141" s="231" t="n">
        <v>1</v>
      </c>
      <c r="O141" s="181">
        <f>SUM(P141:AB141)</f>
        <v/>
      </c>
      <c r="P141" s="182" t="n">
        <v>46.8</v>
      </c>
      <c r="Q141" s="182" t="n">
        <v>55.6</v>
      </c>
      <c r="R141" s="182" t="n">
        <v>54.6</v>
      </c>
      <c r="S141" s="182" t="n">
        <v>26.6</v>
      </c>
      <c r="T141" s="182" t="n">
        <v>32.6</v>
      </c>
      <c r="U141" s="182" t="n">
        <v>26.6</v>
      </c>
      <c r="V141" s="182" t="n">
        <v>26.1</v>
      </c>
      <c r="W141" s="182" t="n">
        <v>73.90000000000001</v>
      </c>
      <c r="X141" s="182" t="n">
        <v>43.2</v>
      </c>
      <c r="Y141" s="182" t="n">
        <v>31.1</v>
      </c>
      <c r="Z141" s="182" t="n">
        <v>33.9</v>
      </c>
      <c r="AA141" s="182" t="n">
        <v>28.9</v>
      </c>
      <c r="AB141" s="182" t="n">
        <v>20.1</v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5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 t="n">
        <v>879.5</v>
      </c>
      <c r="Q142" s="51" t="n">
        <v>946.7</v>
      </c>
      <c r="R142" s="51" t="n">
        <v>932.9</v>
      </c>
      <c r="S142" s="51" t="n">
        <v>500.8</v>
      </c>
      <c r="T142" s="51" t="n">
        <v>611.9</v>
      </c>
      <c r="U142" s="51" t="n">
        <v>621.7</v>
      </c>
      <c r="V142" s="51" t="n">
        <v>450.2</v>
      </c>
      <c r="W142" s="51" t="n">
        <v>1342.3</v>
      </c>
      <c r="X142" s="51" t="n">
        <v>910.8</v>
      </c>
      <c r="Y142" s="51" t="n">
        <v>628.7</v>
      </c>
      <c r="Z142" s="51" t="n">
        <v>632.5</v>
      </c>
      <c r="AA142" s="51" t="n">
        <v>575.8</v>
      </c>
      <c r="AB142" s="51" t="n">
        <v>449.5</v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31" t="inlineStr">
        <is>
          <t>SKU-02903B09</t>
        </is>
      </c>
      <c r="C143" s="231" t="inlineStr">
        <is>
          <t>是</t>
        </is>
      </c>
      <c r="D143" s="231" t="n">
        <v>11</v>
      </c>
      <c r="E143" s="231" t="inlineStr"/>
      <c r="F143" s="231" t="inlineStr"/>
      <c r="G143" s="231" t="inlineStr"/>
      <c r="H143" s="231" t="inlineStr"/>
      <c r="I143" s="231" t="inlineStr"/>
      <c r="J143" s="27" t="inlineStr"/>
      <c r="K143" s="27" t="inlineStr"/>
      <c r="L143" s="231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>
        <v>0</v>
      </c>
      <c r="Q143" s="182" t="n">
        <v>0</v>
      </c>
      <c r="R143" s="182" t="n">
        <v>0</v>
      </c>
      <c r="S143" s="182" t="n">
        <v>0</v>
      </c>
      <c r="T143" s="182" t="n">
        <v>0</v>
      </c>
      <c r="U143" s="182" t="n">
        <v>0</v>
      </c>
      <c r="V143" s="182" t="n">
        <v>0</v>
      </c>
      <c r="W143" s="182" t="n">
        <v>0</v>
      </c>
      <c r="X143" s="182" t="n">
        <v>0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4" t="n"/>
      <c r="B144" s="231" t="inlineStr">
        <is>
          <t>SKU-D7B2F623</t>
        </is>
      </c>
      <c r="C144" s="231" t="inlineStr">
        <is>
          <t>是</t>
        </is>
      </c>
      <c r="D144" s="231" t="n">
        <v>10</v>
      </c>
      <c r="E144" s="231" t="inlineStr"/>
      <c r="F144" s="231" t="inlineStr"/>
      <c r="G144" s="231" t="inlineStr"/>
      <c r="H144" s="231" t="inlineStr"/>
      <c r="I144" s="231" t="inlineStr"/>
      <c r="J144" s="27" t="inlineStr"/>
      <c r="K144" s="27" t="inlineStr"/>
      <c r="L144" s="231" t="n">
        <v>100</v>
      </c>
      <c r="M144" s="44" t="inlineStr">
        <is>
          <t>Product-419EF208</t>
        </is>
      </c>
      <c r="N144" s="231" t="n">
        <v>3</v>
      </c>
      <c r="O144" s="181">
        <f>SUM(P144:AB144)</f>
        <v/>
      </c>
      <c r="P144" s="182" t="n">
        <v>0</v>
      </c>
      <c r="Q144" s="182" t="n">
        <v>0</v>
      </c>
      <c r="R144" s="182" t="n">
        <v>0</v>
      </c>
      <c r="S144" s="182" t="n">
        <v>0</v>
      </c>
      <c r="T144" s="182" t="n">
        <v>0</v>
      </c>
      <c r="U144" s="182" t="n">
        <v>0</v>
      </c>
      <c r="V144" s="182" t="n">
        <v>0</v>
      </c>
      <c r="W144" s="182" t="n">
        <v>0</v>
      </c>
      <c r="X144" s="182" t="n">
        <v>0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4" t="n"/>
      <c r="B145" s="231" t="inlineStr">
        <is>
          <t>SKU-5C6A175C</t>
        </is>
      </c>
      <c r="C145" s="231" t="inlineStr">
        <is>
          <t>是</t>
        </is>
      </c>
      <c r="D145" s="231" t="n">
        <v>8</v>
      </c>
      <c r="E145" s="231" t="inlineStr">
        <is>
          <t>是</t>
        </is>
      </c>
      <c r="F145" s="231" t="inlineStr"/>
      <c r="G145" s="231" t="inlineStr"/>
      <c r="H145" s="231" t="inlineStr"/>
      <c r="I145" s="231" t="inlineStr">
        <is>
          <t>是</t>
        </is>
      </c>
      <c r="J145" s="27" t="inlineStr"/>
      <c r="K145" s="27" t="inlineStr"/>
      <c r="L145" s="231" t="n">
        <v>100</v>
      </c>
      <c r="M145" s="19" t="inlineStr">
        <is>
          <t>Product-F200B9C7</t>
        </is>
      </c>
      <c r="N145" s="231" t="n">
        <v>2</v>
      </c>
      <c r="O145" s="181">
        <f>SUM(P145:AB145)</f>
        <v/>
      </c>
      <c r="P145" s="182" t="n">
        <v>80</v>
      </c>
      <c r="Q145" s="182" t="n">
        <v>27</v>
      </c>
      <c r="R145" s="182" t="n">
        <v>45</v>
      </c>
      <c r="S145" s="182" t="n">
        <v>28</v>
      </c>
      <c r="T145" s="182" t="n">
        <v>85</v>
      </c>
      <c r="U145" s="182" t="n">
        <v>67</v>
      </c>
      <c r="V145" s="182" t="n">
        <v>39</v>
      </c>
      <c r="W145" s="182" t="n">
        <v>70</v>
      </c>
      <c r="X145" s="182" t="n">
        <v>54.7</v>
      </c>
      <c r="Y145" s="182" t="n">
        <v>20</v>
      </c>
      <c r="Z145" s="182" t="n">
        <v>36</v>
      </c>
      <c r="AA145" s="182" t="n">
        <v>24.4</v>
      </c>
      <c r="AB145" s="182" t="n">
        <v>25</v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4" t="n"/>
      <c r="B146" s="231" t="inlineStr">
        <is>
          <t>SKU-C6295A43</t>
        </is>
      </c>
      <c r="C146" s="231" t="inlineStr">
        <is>
          <t>是</t>
        </is>
      </c>
      <c r="D146" s="231" t="n">
        <v>10</v>
      </c>
      <c r="E146" s="231" t="inlineStr"/>
      <c r="F146" s="231" t="inlineStr"/>
      <c r="G146" s="231" t="inlineStr"/>
      <c r="H146" s="231" t="inlineStr">
        <is>
          <t>是</t>
        </is>
      </c>
      <c r="I146" s="231" t="inlineStr">
        <is>
          <t>是</t>
        </is>
      </c>
      <c r="J146" s="27" t="inlineStr"/>
      <c r="K146" s="27" t="inlineStr"/>
      <c r="L146" s="231" t="n">
        <v>100</v>
      </c>
      <c r="M146" s="33" t="inlineStr">
        <is>
          <t>Product-C41500E8</t>
        </is>
      </c>
      <c r="N146" s="231" t="n">
        <v>1</v>
      </c>
      <c r="O146" s="181">
        <f>SUM(P146:AB146)</f>
        <v/>
      </c>
      <c r="P146" s="182" t="n">
        <v>0</v>
      </c>
      <c r="Q146" s="182" t="n">
        <v>0</v>
      </c>
      <c r="R146" s="182" t="n">
        <v>0</v>
      </c>
      <c r="S146" s="182" t="n">
        <v>0</v>
      </c>
      <c r="T146" s="182" t="n">
        <v>0</v>
      </c>
      <c r="U146" s="182" t="n">
        <v>0</v>
      </c>
      <c r="V146" s="182" t="n">
        <v>0</v>
      </c>
      <c r="W146" s="182" t="n">
        <v>0</v>
      </c>
      <c r="X146" s="182" t="n">
        <v>0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4" t="n"/>
      <c r="B147" s="231" t="inlineStr">
        <is>
          <t>SKU-68E2C9C2</t>
        </is>
      </c>
      <c r="C147" s="231" t="inlineStr">
        <is>
          <t>是</t>
        </is>
      </c>
      <c r="D147" s="231" t="n">
        <v>10</v>
      </c>
      <c r="E147" s="231" t="inlineStr"/>
      <c r="F147" s="231" t="inlineStr"/>
      <c r="G147" s="231" t="inlineStr"/>
      <c r="H147" s="231" t="inlineStr"/>
      <c r="I147" s="231" t="inlineStr"/>
      <c r="J147" s="27" t="inlineStr">
        <is>
          <t>共</t>
        </is>
      </c>
      <c r="K147" s="27" t="inlineStr"/>
      <c r="L147" s="231" t="n">
        <v>100</v>
      </c>
      <c r="M147" s="19" t="inlineStr">
        <is>
          <t>Product-61D75507</t>
        </is>
      </c>
      <c r="N147" s="231" t="n">
        <v>1</v>
      </c>
      <c r="O147" s="181">
        <f>SUM(P147:AB147)</f>
        <v/>
      </c>
      <c r="P147" s="182" t="n">
        <v>10.6</v>
      </c>
      <c r="Q147" s="182" t="n">
        <v>44.6</v>
      </c>
      <c r="R147" s="182" t="n">
        <v>5.3</v>
      </c>
      <c r="S147" s="182" t="n">
        <v>23.3</v>
      </c>
      <c r="T147" s="182" t="n">
        <v>6.4</v>
      </c>
      <c r="U147" s="182" t="n">
        <v>12.2</v>
      </c>
      <c r="V147" s="182" t="n">
        <v>6.4</v>
      </c>
      <c r="W147" s="182" t="n">
        <v>2.2</v>
      </c>
      <c r="X147" s="182" t="n">
        <v>18</v>
      </c>
      <c r="Y147" s="182" t="n">
        <v>15.9</v>
      </c>
      <c r="Z147" s="182" t="n">
        <v>5.3</v>
      </c>
      <c r="AA147" s="182" t="n">
        <v>19.5</v>
      </c>
      <c r="AB147" s="182" t="n">
        <v>5.3</v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4" t="n"/>
      <c r="B148" s="231" t="inlineStr">
        <is>
          <t>SKU-3821C959</t>
        </is>
      </c>
      <c r="C148" s="231" t="inlineStr">
        <is>
          <t>是</t>
        </is>
      </c>
      <c r="D148" s="231" t="n">
        <v>10</v>
      </c>
      <c r="E148" s="231" t="inlineStr"/>
      <c r="F148" s="231" t="inlineStr"/>
      <c r="G148" s="231" t="inlineStr"/>
      <c r="H148" s="231" t="inlineStr"/>
      <c r="I148" s="231" t="inlineStr"/>
      <c r="J148" s="27" t="inlineStr"/>
      <c r="K148" s="27" t="inlineStr"/>
      <c r="L148" s="231" t="n">
        <v>100</v>
      </c>
      <c r="M148" s="19" t="inlineStr">
        <is>
          <t>Product-E665821D</t>
        </is>
      </c>
      <c r="N148" s="231" t="n">
        <v>1</v>
      </c>
      <c r="O148" s="181">
        <f>SUM(P148:AB148)</f>
        <v/>
      </c>
      <c r="P148" s="182" t="n">
        <v>11.7</v>
      </c>
      <c r="Q148" s="182" t="n">
        <v>13.9</v>
      </c>
      <c r="R148" s="182" t="n">
        <v>13.7</v>
      </c>
      <c r="S148" s="182" t="n">
        <v>6.6</v>
      </c>
      <c r="T148" s="182" t="n">
        <v>8.1</v>
      </c>
      <c r="U148" s="182" t="n">
        <v>6.7</v>
      </c>
      <c r="V148" s="182" t="n">
        <v>6.5</v>
      </c>
      <c r="W148" s="182" t="n">
        <v>18.5</v>
      </c>
      <c r="X148" s="182" t="n">
        <v>10.8</v>
      </c>
      <c r="Y148" s="182" t="n">
        <v>7.8</v>
      </c>
      <c r="Z148" s="182" t="n">
        <v>8.5</v>
      </c>
      <c r="AA148" s="182" t="n">
        <v>7.2</v>
      </c>
      <c r="AB148" s="182" t="n">
        <v>5</v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4" t="n"/>
      <c r="B149" s="231" t="inlineStr">
        <is>
          <t>SKU-22F094B2</t>
        </is>
      </c>
      <c r="C149" s="231" t="inlineStr">
        <is>
          <t>是</t>
        </is>
      </c>
      <c r="D149" s="231" t="n">
        <v>10</v>
      </c>
      <c r="E149" s="231" t="inlineStr"/>
      <c r="F149" s="231" t="inlineStr"/>
      <c r="G149" s="231" t="inlineStr"/>
      <c r="H149" s="231" t="inlineStr"/>
      <c r="I149" s="231" t="inlineStr"/>
      <c r="J149" s="27" t="inlineStr"/>
      <c r="K149" s="27" t="inlineStr"/>
      <c r="L149" s="231" t="n">
        <v>100</v>
      </c>
      <c r="M149" s="19" t="inlineStr">
        <is>
          <t>Product-A2C9FA4B</t>
        </is>
      </c>
      <c r="N149" s="231" t="n">
        <v>3</v>
      </c>
      <c r="O149" s="181">
        <f>SUM(P149:AB149)</f>
        <v/>
      </c>
      <c r="P149" s="182" t="n">
        <v>37</v>
      </c>
      <c r="Q149" s="182" t="n">
        <v>36</v>
      </c>
      <c r="R149" s="182" t="n">
        <v>39</v>
      </c>
      <c r="S149" s="182" t="n">
        <v>21</v>
      </c>
      <c r="T149" s="182" t="n">
        <v>25</v>
      </c>
      <c r="U149" s="182" t="n">
        <v>24</v>
      </c>
      <c r="V149" s="182" t="n">
        <v>18</v>
      </c>
      <c r="W149" s="182" t="n">
        <v>57</v>
      </c>
      <c r="X149" s="182" t="n">
        <v>42</v>
      </c>
      <c r="Y149" s="182" t="n">
        <v>29</v>
      </c>
      <c r="Z149" s="182" t="n">
        <v>29</v>
      </c>
      <c r="AA149" s="182" t="n">
        <v>28</v>
      </c>
      <c r="AB149" s="182" t="n">
        <v>25</v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4" t="n"/>
      <c r="B150" s="231" t="inlineStr">
        <is>
          <t>SKU-A00C82DC</t>
        </is>
      </c>
      <c r="C150" s="231" t="inlineStr">
        <is>
          <t>是</t>
        </is>
      </c>
      <c r="D150" s="231" t="n">
        <v>8</v>
      </c>
      <c r="E150" s="231" t="inlineStr"/>
      <c r="F150" s="231" t="inlineStr">
        <is>
          <t>是</t>
        </is>
      </c>
      <c r="G150" s="231" t="inlineStr"/>
      <c r="H150" s="231" t="inlineStr"/>
      <c r="I150" s="231" t="inlineStr">
        <is>
          <t>是</t>
        </is>
      </c>
      <c r="J150" s="27" t="inlineStr"/>
      <c r="K150" s="27" t="inlineStr"/>
      <c r="L150" s="231" t="n">
        <v>100</v>
      </c>
      <c r="M150" s="19" t="inlineStr">
        <is>
          <t>Product-C42233E0</t>
        </is>
      </c>
      <c r="N150" s="231" t="n">
        <v>1</v>
      </c>
      <c r="O150" s="181">
        <f>SUM(P150:AB150)</f>
        <v/>
      </c>
      <c r="P150" s="182" t="n">
        <v>1.4</v>
      </c>
      <c r="Q150" s="182" t="n">
        <v>1.7</v>
      </c>
      <c r="R150" s="182" t="n">
        <v>1.6</v>
      </c>
      <c r="S150" s="182" t="n">
        <v>0.8</v>
      </c>
      <c r="T150" s="182" t="n">
        <v>1</v>
      </c>
      <c r="U150" s="182" t="n">
        <v>0.8</v>
      </c>
      <c r="V150" s="182" t="n">
        <v>0.8</v>
      </c>
      <c r="W150" s="182" t="n">
        <v>2.2</v>
      </c>
      <c r="X150" s="182" t="n">
        <v>1.3</v>
      </c>
      <c r="Y150" s="182" t="n">
        <v>0.9</v>
      </c>
      <c r="Z150" s="182" t="n">
        <v>1</v>
      </c>
      <c r="AA150" s="182" t="n">
        <v>0.9</v>
      </c>
      <c r="AB150" s="182" t="n">
        <v>0.6</v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5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 t="n">
        <v>140.7</v>
      </c>
      <c r="Q151" s="51" t="n">
        <v>123.2</v>
      </c>
      <c r="R151" s="51" t="n">
        <v>104.6</v>
      </c>
      <c r="S151" s="51" t="n">
        <v>79.7</v>
      </c>
      <c r="T151" s="51" t="n">
        <v>125.5</v>
      </c>
      <c r="U151" s="51" t="n">
        <v>110.7</v>
      </c>
      <c r="V151" s="51" t="n">
        <v>70.7</v>
      </c>
      <c r="W151" s="51" t="n">
        <v>149.9</v>
      </c>
      <c r="X151" s="51" t="n">
        <v>126.8</v>
      </c>
      <c r="Y151" s="51" t="n">
        <v>73.59999999999999</v>
      </c>
      <c r="Z151" s="51" t="n">
        <v>79.8</v>
      </c>
      <c r="AA151" s="51" t="n">
        <v>80</v>
      </c>
      <c r="AB151" s="51" t="n">
        <v>60.9</v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31" t="inlineStr">
        <is>
          <t>SKU-85EB87C2</t>
        </is>
      </c>
      <c r="C152" s="231" t="inlineStr"/>
      <c r="D152" s="231" t="n">
        <v>10</v>
      </c>
      <c r="E152" s="231" t="inlineStr"/>
      <c r="F152" s="231" t="inlineStr"/>
      <c r="G152" s="231" t="inlineStr"/>
      <c r="H152" s="231" t="inlineStr"/>
      <c r="I152" s="231" t="inlineStr"/>
      <c r="J152" s="27" t="inlineStr"/>
      <c r="K152" s="27" t="inlineStr"/>
      <c r="L152" s="231" t="n">
        <v>100</v>
      </c>
      <c r="M152" s="43" t="inlineStr">
        <is>
          <t>Product-21719E56</t>
        </is>
      </c>
      <c r="N152" s="231" t="n">
        <v>3</v>
      </c>
      <c r="O152" s="181">
        <f>SUM(P152:AB152)</f>
        <v/>
      </c>
      <c r="P152" s="182" t="n">
        <v>0</v>
      </c>
      <c r="Q152" s="182" t="n">
        <v>0</v>
      </c>
      <c r="R152" s="182" t="n">
        <v>0</v>
      </c>
      <c r="S152" s="182" t="n">
        <v>0</v>
      </c>
      <c r="T152" s="182" t="n">
        <v>0</v>
      </c>
      <c r="U152" s="182" t="n">
        <v>0</v>
      </c>
      <c r="V152" s="182" t="n">
        <v>0</v>
      </c>
      <c r="W152" s="182" t="n">
        <v>0</v>
      </c>
      <c r="X152" s="182" t="n">
        <v>0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4" t="n"/>
      <c r="B153" s="231" t="inlineStr">
        <is>
          <t>SKU-D52742FC</t>
        </is>
      </c>
      <c r="C153" s="231" t="inlineStr">
        <is>
          <t>是</t>
        </is>
      </c>
      <c r="D153" s="231" t="n">
        <v>8</v>
      </c>
      <c r="E153" s="231" t="inlineStr"/>
      <c r="F153" s="231" t="inlineStr"/>
      <c r="G153" s="231" t="inlineStr"/>
      <c r="H153" s="231" t="inlineStr"/>
      <c r="I153" s="231" t="inlineStr"/>
      <c r="J153" s="27" t="inlineStr"/>
      <c r="K153" s="27" t="inlineStr"/>
      <c r="L153" s="231" t="n">
        <v>100</v>
      </c>
      <c r="M153" s="19" t="inlineStr">
        <is>
          <t>Product-651736B9</t>
        </is>
      </c>
      <c r="N153" s="231" t="n">
        <v>1</v>
      </c>
      <c r="O153" s="181">
        <f>SUM(P153:AB153)</f>
        <v/>
      </c>
      <c r="P153" s="182" t="n">
        <v>182.6</v>
      </c>
      <c r="Q153" s="182" t="n">
        <v>136.9</v>
      </c>
      <c r="R153" s="182" t="n">
        <v>91.3</v>
      </c>
      <c r="S153" s="182" t="n">
        <v>68.5</v>
      </c>
      <c r="T153" s="182" t="n">
        <v>164.3</v>
      </c>
      <c r="U153" s="182" t="n">
        <v>43.8</v>
      </c>
      <c r="V153" s="182" t="n">
        <v>22.8</v>
      </c>
      <c r="W153" s="182" t="n">
        <v>109.5</v>
      </c>
      <c r="X153" s="182" t="n">
        <v>102.3</v>
      </c>
      <c r="Y153" s="182" t="n">
        <v>27.4</v>
      </c>
      <c r="Z153" s="182" t="n">
        <v>50.2</v>
      </c>
      <c r="AA153" s="182" t="n">
        <v>50.2</v>
      </c>
      <c r="AB153" s="182" t="n">
        <v>50.2</v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4" t="n"/>
      <c r="B154" s="231" t="inlineStr">
        <is>
          <t>SKU-D4326C5A</t>
        </is>
      </c>
      <c r="C154" s="231" t="inlineStr">
        <is>
          <t>是</t>
        </is>
      </c>
      <c r="D154" s="231" t="n">
        <v>11</v>
      </c>
      <c r="E154" s="231" t="inlineStr"/>
      <c r="F154" s="231" t="inlineStr"/>
      <c r="G154" s="231" t="inlineStr"/>
      <c r="H154" s="231" t="inlineStr"/>
      <c r="I154" s="231" t="inlineStr"/>
      <c r="J154" s="27" t="inlineStr"/>
      <c r="K154" s="27" t="inlineStr"/>
      <c r="L154" s="231" t="n">
        <v>100</v>
      </c>
      <c r="M154" s="19" t="inlineStr">
        <is>
          <t>Product-E1F8C543</t>
        </is>
      </c>
      <c r="N154" s="231" t="n">
        <v>3</v>
      </c>
      <c r="O154" s="181">
        <f>SUM(P154:AB154)</f>
        <v/>
      </c>
      <c r="P154" s="182" t="n">
        <v>198.8</v>
      </c>
      <c r="Q154" s="182" t="n">
        <v>206.7</v>
      </c>
      <c r="R154" s="182" t="n">
        <v>225.9</v>
      </c>
      <c r="S154" s="182" t="n">
        <v>96</v>
      </c>
      <c r="T154" s="182" t="n">
        <v>259.8</v>
      </c>
      <c r="U154" s="182" t="n">
        <v>246.2</v>
      </c>
      <c r="V154" s="182" t="n">
        <v>169.4</v>
      </c>
      <c r="W154" s="182" t="n">
        <v>858.6</v>
      </c>
      <c r="X154" s="182" t="n">
        <v>315.7</v>
      </c>
      <c r="Y154" s="182" t="n">
        <v>159.3</v>
      </c>
      <c r="Z154" s="182" t="n">
        <v>124.3</v>
      </c>
      <c r="AA154" s="182" t="n">
        <v>431.5</v>
      </c>
      <c r="AB154" s="182" t="n">
        <v>207.8</v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4" t="n"/>
      <c r="B155" s="231" t="inlineStr">
        <is>
          <t>SKU-7882C790</t>
        </is>
      </c>
      <c r="C155" s="231" t="inlineStr">
        <is>
          <t>是</t>
        </is>
      </c>
      <c r="D155" s="231" t="n">
        <v>11</v>
      </c>
      <c r="E155" s="231" t="inlineStr"/>
      <c r="F155" s="231" t="inlineStr"/>
      <c r="G155" s="231" t="inlineStr"/>
      <c r="H155" s="231" t="inlineStr"/>
      <c r="I155" s="231" t="inlineStr"/>
      <c r="J155" s="27" t="inlineStr"/>
      <c r="K155" s="27" t="inlineStr"/>
      <c r="L155" s="231" t="n">
        <v>100</v>
      </c>
      <c r="M155" s="43" t="inlineStr">
        <is>
          <t>Product-F864C796</t>
        </is>
      </c>
      <c r="N155" s="231" t="n">
        <v>3</v>
      </c>
      <c r="O155" s="181">
        <f>SUM(P155:AB155)</f>
        <v/>
      </c>
      <c r="P155" s="182" t="n">
        <v>0</v>
      </c>
      <c r="Q155" s="182" t="n">
        <v>0</v>
      </c>
      <c r="R155" s="182" t="n">
        <v>0</v>
      </c>
      <c r="S155" s="182" t="n">
        <v>0</v>
      </c>
      <c r="T155" s="182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4" t="n"/>
      <c r="B156" s="231" t="inlineStr">
        <is>
          <t>SKU-9A453BC6</t>
        </is>
      </c>
      <c r="C156" s="231" t="inlineStr">
        <is>
          <t>是</t>
        </is>
      </c>
      <c r="D156" s="231" t="n">
        <v>8</v>
      </c>
      <c r="E156" s="231" t="inlineStr"/>
      <c r="F156" s="231" t="inlineStr"/>
      <c r="G156" s="231" t="inlineStr"/>
      <c r="H156" s="231" t="inlineStr"/>
      <c r="I156" s="231" t="inlineStr"/>
      <c r="J156" s="27" t="inlineStr"/>
      <c r="K156" s="27" t="inlineStr"/>
      <c r="L156" s="231" t="n">
        <v>100</v>
      </c>
      <c r="M156" s="19" t="inlineStr">
        <is>
          <t>Product-C344580B</t>
        </is>
      </c>
      <c r="N156" s="231" t="n">
        <v>2</v>
      </c>
      <c r="O156" s="181">
        <f>SUM(P156:AB156)</f>
        <v/>
      </c>
      <c r="P156" s="182" t="n">
        <v>293.5</v>
      </c>
      <c r="Q156" s="182" t="n">
        <v>280.6</v>
      </c>
      <c r="R156" s="182" t="n">
        <v>380</v>
      </c>
      <c r="S156" s="182" t="n">
        <v>187.1</v>
      </c>
      <c r="T156" s="182" t="n">
        <v>184.8</v>
      </c>
      <c r="U156" s="182" t="n">
        <v>70.2</v>
      </c>
      <c r="V156" s="182" t="n">
        <v>146.2</v>
      </c>
      <c r="W156" s="182" t="n">
        <v>116.9</v>
      </c>
      <c r="X156" s="182" t="n">
        <v>161.1</v>
      </c>
      <c r="Y156" s="182" t="n">
        <v>29.2</v>
      </c>
      <c r="Z156" s="182" t="n">
        <v>52.6</v>
      </c>
      <c r="AA156" s="182" t="n">
        <v>97.8</v>
      </c>
      <c r="AB156" s="182" t="n">
        <v>0</v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4" t="n"/>
      <c r="B157" s="231" t="inlineStr">
        <is>
          <t>SKU-EE07E257</t>
        </is>
      </c>
      <c r="C157" s="231" t="inlineStr">
        <is>
          <t>是</t>
        </is>
      </c>
      <c r="D157" s="231" t="n">
        <v>6</v>
      </c>
      <c r="E157" s="231" t="inlineStr">
        <is>
          <t>是</t>
        </is>
      </c>
      <c r="F157" s="231" t="inlineStr"/>
      <c r="G157" s="231" t="inlineStr"/>
      <c r="H157" s="231" t="inlineStr"/>
      <c r="I157" s="231" t="inlineStr">
        <is>
          <t>是</t>
        </is>
      </c>
      <c r="J157" s="27" t="inlineStr">
        <is>
          <t>共</t>
        </is>
      </c>
      <c r="K157" s="27" t="inlineStr"/>
      <c r="L157" s="231" t="n">
        <v>100</v>
      </c>
      <c r="M157" s="19" t="inlineStr">
        <is>
          <t>Product-1F0D9429</t>
        </is>
      </c>
      <c r="N157" s="231" t="n">
        <v>2</v>
      </c>
      <c r="O157" s="181">
        <f>SUM(P157:AB157)</f>
        <v/>
      </c>
      <c r="P157" s="182" t="n">
        <v>523.1</v>
      </c>
      <c r="Q157" s="182" t="n">
        <v>690.4</v>
      </c>
      <c r="R157" s="182" t="n">
        <v>435</v>
      </c>
      <c r="S157" s="182" t="n">
        <v>198.2</v>
      </c>
      <c r="T157" s="182" t="n">
        <v>203.7</v>
      </c>
      <c r="U157" s="182" t="n">
        <v>181.7</v>
      </c>
      <c r="V157" s="182" t="n">
        <v>166.3</v>
      </c>
      <c r="W157" s="182" t="n">
        <v>462.5</v>
      </c>
      <c r="X157" s="182" t="n">
        <v>276.6</v>
      </c>
      <c r="Y157" s="182" t="n">
        <v>77.09999999999999</v>
      </c>
      <c r="Z157" s="182" t="n">
        <v>154.2</v>
      </c>
      <c r="AA157" s="182" t="n">
        <v>110.1</v>
      </c>
      <c r="AB157" s="182" t="n">
        <v>121.1</v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4" t="n"/>
      <c r="B158" s="55" t="inlineStr">
        <is>
          <t>SKU-49DCD58C</t>
        </is>
      </c>
      <c r="C158" s="231" t="inlineStr">
        <is>
          <t>是</t>
        </is>
      </c>
      <c r="D158" s="55" t="n">
        <v>10</v>
      </c>
      <c r="E158" s="231" t="inlineStr"/>
      <c r="F158" s="231" t="inlineStr">
        <is>
          <t>是</t>
        </is>
      </c>
      <c r="G158" s="231" t="inlineStr"/>
      <c r="H158" s="231" t="inlineStr"/>
      <c r="I158" s="231" t="inlineStr">
        <is>
          <t>是</t>
        </is>
      </c>
      <c r="J158" s="56" t="inlineStr"/>
      <c r="K158" s="56" t="inlineStr"/>
      <c r="L158" s="231" t="n">
        <v>100</v>
      </c>
      <c r="M158" s="33" t="inlineStr">
        <is>
          <t>Product-BF9865D9</t>
        </is>
      </c>
      <c r="N158" s="231" t="n">
        <v>1</v>
      </c>
      <c r="O158" s="181">
        <f>SUM(P158:AB158)</f>
        <v/>
      </c>
      <c r="P158" s="182" t="n">
        <v>0</v>
      </c>
      <c r="Q158" s="182" t="n">
        <v>0</v>
      </c>
      <c r="R158" s="182" t="n">
        <v>0</v>
      </c>
      <c r="S158" s="182" t="n">
        <v>0</v>
      </c>
      <c r="T158" s="182" t="n">
        <v>0</v>
      </c>
      <c r="U158" s="182" t="n">
        <v>0</v>
      </c>
      <c r="V158" s="182" t="n">
        <v>0</v>
      </c>
      <c r="W158" s="182" t="n">
        <v>0</v>
      </c>
      <c r="X158" s="182" t="n">
        <v>0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4" t="n"/>
      <c r="B159" s="231" t="inlineStr">
        <is>
          <t>SKU-5D621FD4</t>
        </is>
      </c>
      <c r="C159" s="231" t="inlineStr">
        <is>
          <t>是</t>
        </is>
      </c>
      <c r="D159" s="231" t="n">
        <v>6</v>
      </c>
      <c r="E159" s="231" t="inlineStr">
        <is>
          <t>是</t>
        </is>
      </c>
      <c r="F159" s="231" t="inlineStr"/>
      <c r="G159" s="231" t="inlineStr"/>
      <c r="H159" s="231" t="inlineStr">
        <is>
          <t>是</t>
        </is>
      </c>
      <c r="I159" s="231" t="inlineStr">
        <is>
          <t>是</t>
        </is>
      </c>
      <c r="J159" s="56" t="inlineStr">
        <is>
          <t>共</t>
        </is>
      </c>
      <c r="K159" s="56" t="inlineStr"/>
      <c r="L159" s="231" t="n">
        <v>100</v>
      </c>
      <c r="M159" s="19" t="inlineStr">
        <is>
          <t>Product-26631748</t>
        </is>
      </c>
      <c r="N159" s="231" t="n">
        <v>1</v>
      </c>
      <c r="O159" s="181">
        <f>SUM(P159:AB159)</f>
        <v/>
      </c>
      <c r="P159" s="182" t="n">
        <v>16</v>
      </c>
      <c r="Q159" s="182" t="n">
        <v>60</v>
      </c>
      <c r="R159" s="182" t="n">
        <v>18</v>
      </c>
      <c r="S159" s="182" t="n">
        <v>8</v>
      </c>
      <c r="T159" s="182" t="n">
        <v>25</v>
      </c>
      <c r="U159" s="182" t="n">
        <v>40</v>
      </c>
      <c r="V159" s="182" t="n">
        <v>11</v>
      </c>
      <c r="W159" s="182" t="n">
        <v>36</v>
      </c>
      <c r="X159" s="182" t="n">
        <v>11.4</v>
      </c>
      <c r="Y159" s="182" t="n">
        <v>43</v>
      </c>
      <c r="Z159" s="182" t="n">
        <v>6</v>
      </c>
      <c r="AA159" s="182" t="n">
        <v>7</v>
      </c>
      <c r="AB159" s="182" t="n">
        <v>18</v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4" t="n"/>
      <c r="B160" s="231" t="inlineStr">
        <is>
          <t>SKU-CA16AEB9</t>
        </is>
      </c>
      <c r="C160" s="231" t="inlineStr">
        <is>
          <t>是</t>
        </is>
      </c>
      <c r="D160" s="231" t="n">
        <v>7</v>
      </c>
      <c r="E160" s="231" t="inlineStr">
        <is>
          <t>是</t>
        </is>
      </c>
      <c r="F160" s="231" t="inlineStr"/>
      <c r="G160" s="231" t="inlineStr"/>
      <c r="H160" s="231" t="inlineStr"/>
      <c r="I160" s="231" t="inlineStr">
        <is>
          <t>是</t>
        </is>
      </c>
      <c r="J160" s="27" t="inlineStr"/>
      <c r="K160" s="27" t="inlineStr"/>
      <c r="L160" s="231" t="n">
        <v>100</v>
      </c>
      <c r="M160" s="19" t="inlineStr">
        <is>
          <t>Product-4B7D4BD1</t>
        </is>
      </c>
      <c r="N160" s="231" t="n">
        <v>1</v>
      </c>
      <c r="O160" s="181">
        <f>SUM(P160:AB160)</f>
        <v/>
      </c>
      <c r="P160" s="182" t="n">
        <v>2.8</v>
      </c>
      <c r="Q160" s="182" t="n">
        <v>3.3</v>
      </c>
      <c r="R160" s="182" t="n">
        <v>3.3</v>
      </c>
      <c r="S160" s="182" t="n">
        <v>1.6</v>
      </c>
      <c r="T160" s="182" t="n">
        <v>2</v>
      </c>
      <c r="U160" s="182" t="n">
        <v>1.6</v>
      </c>
      <c r="V160" s="182" t="n">
        <v>1.6</v>
      </c>
      <c r="W160" s="182" t="n">
        <v>4.4</v>
      </c>
      <c r="X160" s="182" t="n">
        <v>2.6</v>
      </c>
      <c r="Y160" s="182" t="n">
        <v>1.9</v>
      </c>
      <c r="Z160" s="182" t="n">
        <v>2</v>
      </c>
      <c r="AA160" s="182" t="n">
        <v>1.7</v>
      </c>
      <c r="AB160" s="182" t="n">
        <v>1.2</v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4" t="n"/>
      <c r="B161" s="231" t="inlineStr">
        <is>
          <t>SKU-8ED723E3</t>
        </is>
      </c>
      <c r="C161" s="231" t="inlineStr">
        <is>
          <t>是</t>
        </is>
      </c>
      <c r="D161" s="231" t="n">
        <v>8</v>
      </c>
      <c r="E161" s="231" t="inlineStr">
        <is>
          <t>是</t>
        </is>
      </c>
      <c r="F161" s="231" t="inlineStr"/>
      <c r="G161" s="231" t="inlineStr"/>
      <c r="H161" s="231" t="inlineStr"/>
      <c r="I161" s="231" t="inlineStr">
        <is>
          <t>是</t>
        </is>
      </c>
      <c r="J161" s="27" t="inlineStr"/>
      <c r="K161" s="27" t="inlineStr"/>
      <c r="L161" s="231" t="n">
        <v>100</v>
      </c>
      <c r="M161" s="19" t="inlineStr">
        <is>
          <t>Product-E8BD5CCF</t>
        </is>
      </c>
      <c r="N161" s="231" t="n">
        <v>1</v>
      </c>
      <c r="O161" s="181">
        <f>SUM(P161:AB161)</f>
        <v/>
      </c>
      <c r="P161" s="182" t="n">
        <v>65.5</v>
      </c>
      <c r="Q161" s="182" t="n">
        <v>77.90000000000001</v>
      </c>
      <c r="R161" s="182" t="n">
        <v>76.5</v>
      </c>
      <c r="S161" s="182" t="n">
        <v>37.2</v>
      </c>
      <c r="T161" s="182" t="n">
        <v>45.6</v>
      </c>
      <c r="U161" s="182" t="n">
        <v>37.3</v>
      </c>
      <c r="V161" s="182" t="n">
        <v>36.5</v>
      </c>
      <c r="W161" s="182" t="n">
        <v>103.3</v>
      </c>
      <c r="X161" s="182" t="n">
        <v>60.5</v>
      </c>
      <c r="Y161" s="182" t="n">
        <v>43.5</v>
      </c>
      <c r="Z161" s="182" t="n">
        <v>47.5</v>
      </c>
      <c r="AA161" s="182" t="n">
        <v>40.5</v>
      </c>
      <c r="AB161" s="182" t="n">
        <v>28.2</v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4" t="n"/>
      <c r="B162" s="231" t="inlineStr">
        <is>
          <t>SKU-DBA86E65</t>
        </is>
      </c>
      <c r="C162" s="231" t="inlineStr">
        <is>
          <t>是</t>
        </is>
      </c>
      <c r="D162" s="231" t="n">
        <v>6</v>
      </c>
      <c r="E162" s="231" t="inlineStr">
        <is>
          <t>是</t>
        </is>
      </c>
      <c r="F162" s="231" t="inlineStr"/>
      <c r="G162" s="231" t="inlineStr"/>
      <c r="H162" s="231" t="inlineStr">
        <is>
          <t>是</t>
        </is>
      </c>
      <c r="I162" s="231" t="inlineStr">
        <is>
          <t>是</t>
        </is>
      </c>
      <c r="J162" s="27" t="inlineStr"/>
      <c r="K162" s="27" t="inlineStr"/>
      <c r="L162" s="231" t="n">
        <v>100</v>
      </c>
      <c r="M162" s="45" t="inlineStr">
        <is>
          <t>Product-621BB3A5</t>
        </is>
      </c>
      <c r="N162" s="231" t="n">
        <v>1</v>
      </c>
      <c r="O162" s="181">
        <f>SUM(P162:AB162)</f>
        <v/>
      </c>
      <c r="P162" s="182" t="n">
        <v>2.3</v>
      </c>
      <c r="Q162" s="182" t="n">
        <v>2.8</v>
      </c>
      <c r="R162" s="182" t="n">
        <v>2.7</v>
      </c>
      <c r="S162" s="182" t="n">
        <v>1.3</v>
      </c>
      <c r="T162" s="182" t="n">
        <v>1.6</v>
      </c>
      <c r="U162" s="182" t="n">
        <v>1.3</v>
      </c>
      <c r="V162" s="182" t="n">
        <v>1.3</v>
      </c>
      <c r="W162" s="182" t="n">
        <v>3.8</v>
      </c>
      <c r="X162" s="182" t="n">
        <v>2.2</v>
      </c>
      <c r="Y162" s="182" t="n">
        <v>1.6</v>
      </c>
      <c r="Z162" s="182" t="n">
        <v>1.7</v>
      </c>
      <c r="AA162" s="182" t="n">
        <v>1.4</v>
      </c>
      <c r="AB162" s="182" t="n">
        <v>1</v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4" t="n"/>
      <c r="B163" s="231" t="inlineStr">
        <is>
          <t>SKU-B757BD73</t>
        </is>
      </c>
      <c r="C163" s="231" t="inlineStr">
        <is>
          <t>是</t>
        </is>
      </c>
      <c r="D163" s="231" t="n">
        <v>8</v>
      </c>
      <c r="E163" s="231" t="inlineStr"/>
      <c r="F163" s="231" t="inlineStr"/>
      <c r="G163" s="231" t="inlineStr"/>
      <c r="H163" s="231" t="inlineStr"/>
      <c r="I163" s="231" t="inlineStr"/>
      <c r="J163" s="27" t="inlineStr"/>
      <c r="K163" s="27" t="inlineStr"/>
      <c r="L163" s="231" t="n">
        <v>100</v>
      </c>
      <c r="M163" s="45" t="inlineStr">
        <is>
          <t>Product-3A2FFD27</t>
        </is>
      </c>
      <c r="N163" s="231" t="n">
        <v>3</v>
      </c>
      <c r="O163" s="181">
        <f>SUM(P163:AB163)</f>
        <v/>
      </c>
      <c r="P163" s="182" t="n">
        <v>258</v>
      </c>
      <c r="Q163" s="182" t="n">
        <v>251</v>
      </c>
      <c r="R163" s="182" t="n">
        <v>271</v>
      </c>
      <c r="S163" s="182" t="n">
        <v>146</v>
      </c>
      <c r="T163" s="182" t="n">
        <v>169</v>
      </c>
      <c r="U163" s="182" t="n">
        <v>167</v>
      </c>
      <c r="V163" s="182" t="n">
        <v>125</v>
      </c>
      <c r="W163" s="182" t="n">
        <v>394</v>
      </c>
      <c r="X163" s="182" t="n">
        <v>296</v>
      </c>
      <c r="Y163" s="182" t="n">
        <v>198</v>
      </c>
      <c r="Z163" s="182" t="n">
        <v>201</v>
      </c>
      <c r="AA163" s="182" t="n">
        <v>194</v>
      </c>
      <c r="AB163" s="182" t="n">
        <v>170</v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5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 t="n">
        <v>1542.6</v>
      </c>
      <c r="Q164" s="51" t="n">
        <v>1709.6</v>
      </c>
      <c r="R164" s="51" t="n">
        <v>1503.7</v>
      </c>
      <c r="S164" s="51" t="n">
        <v>743.9</v>
      </c>
      <c r="T164" s="51" t="n">
        <v>1055.8</v>
      </c>
      <c r="U164" s="51" t="n">
        <v>789.1</v>
      </c>
      <c r="V164" s="51" t="n">
        <v>680.1</v>
      </c>
      <c r="W164" s="51" t="n">
        <v>2089</v>
      </c>
      <c r="X164" s="51" t="n">
        <v>1228.4</v>
      </c>
      <c r="Y164" s="51" t="n">
        <v>581</v>
      </c>
      <c r="Z164" s="51" t="n">
        <v>639.5</v>
      </c>
      <c r="AA164" s="51" t="n">
        <v>934.2</v>
      </c>
      <c r="AB164" s="51" t="n">
        <v>597.5</v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31" t="inlineStr">
        <is>
          <t>SKU-73F9B5D4</t>
        </is>
      </c>
      <c r="C165" s="231" t="inlineStr">
        <is>
          <t>是</t>
        </is>
      </c>
      <c r="D165" s="231" t="n">
        <v>10</v>
      </c>
      <c r="E165" s="231" t="inlineStr"/>
      <c r="F165" s="231" t="inlineStr"/>
      <c r="G165" s="231" t="inlineStr"/>
      <c r="H165" s="231" t="inlineStr"/>
      <c r="I165" s="231" t="inlineStr"/>
      <c r="J165" s="27" t="inlineStr"/>
      <c r="K165" s="27" t="inlineStr"/>
      <c r="L165" s="231" t="n">
        <v>100</v>
      </c>
      <c r="M165" s="43" t="inlineStr">
        <is>
          <t>Product-E50899B3</t>
        </is>
      </c>
      <c r="N165" s="231" t="n">
        <v>2</v>
      </c>
      <c r="O165" s="181">
        <f>SUM(P165:AB165)</f>
        <v/>
      </c>
      <c r="P165" s="182" t="n">
        <v>0</v>
      </c>
      <c r="Q165" s="182" t="n">
        <v>0</v>
      </c>
      <c r="R165" s="182" t="n">
        <v>0</v>
      </c>
      <c r="S165" s="182" t="n">
        <v>0</v>
      </c>
      <c r="T165" s="182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4" t="n"/>
      <c r="B166" s="231" t="inlineStr">
        <is>
          <t>SKU-7C4AE0E1</t>
        </is>
      </c>
      <c r="C166" s="231" t="inlineStr">
        <is>
          <t>是</t>
        </is>
      </c>
      <c r="D166" s="231" t="n">
        <v>11</v>
      </c>
      <c r="E166" s="231" t="inlineStr"/>
      <c r="F166" s="231" t="inlineStr"/>
      <c r="G166" s="231" t="inlineStr"/>
      <c r="H166" s="231" t="inlineStr"/>
      <c r="I166" s="231" t="inlineStr"/>
      <c r="J166" s="27" t="inlineStr">
        <is>
          <t>共</t>
        </is>
      </c>
      <c r="K166" s="27" t="inlineStr"/>
      <c r="L166" s="231" t="n">
        <v>100</v>
      </c>
      <c r="M166" s="19" t="inlineStr">
        <is>
          <t>Product-69803ED8</t>
        </is>
      </c>
      <c r="N166" s="231" t="n">
        <v>1</v>
      </c>
      <c r="O166" s="181">
        <f>SUM(P166:AB166)</f>
        <v/>
      </c>
      <c r="P166" s="182" t="n">
        <v>38.4</v>
      </c>
      <c r="Q166" s="182" t="n">
        <v>45.6</v>
      </c>
      <c r="R166" s="182" t="n">
        <v>44.8</v>
      </c>
      <c r="S166" s="182" t="n">
        <v>21.8</v>
      </c>
      <c r="T166" s="182" t="n">
        <v>26.7</v>
      </c>
      <c r="U166" s="182" t="n">
        <v>21.8</v>
      </c>
      <c r="V166" s="182" t="n">
        <v>21.4</v>
      </c>
      <c r="W166" s="182" t="n">
        <v>60.6</v>
      </c>
      <c r="X166" s="182" t="n">
        <v>35.4</v>
      </c>
      <c r="Y166" s="182" t="n">
        <v>25.5</v>
      </c>
      <c r="Z166" s="182" t="n">
        <v>27.8</v>
      </c>
      <c r="AA166" s="182" t="n">
        <v>23.7</v>
      </c>
      <c r="AB166" s="182" t="n">
        <v>16.5</v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4" t="n"/>
      <c r="B167" s="231" t="inlineStr">
        <is>
          <t>SKU-38CF6D81</t>
        </is>
      </c>
      <c r="C167" s="231" t="inlineStr">
        <is>
          <t>是</t>
        </is>
      </c>
      <c r="D167" s="231" t="n">
        <v>10</v>
      </c>
      <c r="E167" s="231" t="inlineStr"/>
      <c r="F167" s="231" t="inlineStr"/>
      <c r="G167" s="231" t="inlineStr"/>
      <c r="H167" s="231" t="inlineStr"/>
      <c r="I167" s="231" t="inlineStr"/>
      <c r="J167" s="27" t="inlineStr"/>
      <c r="K167" s="27" t="inlineStr"/>
      <c r="L167" s="231" t="n">
        <v>100</v>
      </c>
      <c r="M167" s="19" t="inlineStr">
        <is>
          <t>Product-770D085E</t>
        </is>
      </c>
      <c r="N167" s="231" t="n">
        <v>3</v>
      </c>
      <c r="O167" s="181">
        <f>SUM(P167:AB167)</f>
        <v/>
      </c>
      <c r="P167" s="182" t="n">
        <v>102</v>
      </c>
      <c r="Q167" s="182" t="n">
        <v>237</v>
      </c>
      <c r="R167" s="182" t="n">
        <v>120</v>
      </c>
      <c r="S167" s="182" t="n">
        <v>46</v>
      </c>
      <c r="T167" s="182" t="n">
        <v>115</v>
      </c>
      <c r="U167" s="182" t="n">
        <v>251</v>
      </c>
      <c r="V167" s="182" t="n">
        <v>70</v>
      </c>
      <c r="W167" s="182" t="n">
        <v>180</v>
      </c>
      <c r="X167" s="182" t="n">
        <v>243.1</v>
      </c>
      <c r="Y167" s="182" t="n">
        <v>230</v>
      </c>
      <c r="Z167" s="182" t="n">
        <v>130</v>
      </c>
      <c r="AA167" s="182" t="n">
        <v>115</v>
      </c>
      <c r="AB167" s="182" t="n">
        <v>94.7</v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4" t="n"/>
      <c r="B168" s="231" t="inlineStr">
        <is>
          <t>SKU-87F8B8AB</t>
        </is>
      </c>
      <c r="C168" s="231" t="inlineStr">
        <is>
          <t>是</t>
        </is>
      </c>
      <c r="D168" s="231" t="n">
        <v>6</v>
      </c>
      <c r="E168" s="231" t="inlineStr">
        <is>
          <t>是</t>
        </is>
      </c>
      <c r="F168" s="231" t="inlineStr"/>
      <c r="G168" s="231" t="inlineStr"/>
      <c r="H168" s="231" t="inlineStr"/>
      <c r="I168" s="231" t="inlineStr">
        <is>
          <t>是</t>
        </is>
      </c>
      <c r="J168" s="27" t="inlineStr"/>
      <c r="K168" s="27" t="inlineStr"/>
      <c r="L168" s="231" t="n">
        <v>100</v>
      </c>
      <c r="M168" s="19" t="inlineStr">
        <is>
          <t>Product-7BF3E316</t>
        </is>
      </c>
      <c r="N168" s="231" t="n">
        <v>2</v>
      </c>
      <c r="O168" s="181">
        <f>SUM(P168:AB168)</f>
        <v/>
      </c>
      <c r="P168" s="182" t="n">
        <v>80</v>
      </c>
      <c r="Q168" s="182" t="n">
        <v>245</v>
      </c>
      <c r="R168" s="182" t="n">
        <v>160</v>
      </c>
      <c r="S168" s="182" t="n">
        <v>110</v>
      </c>
      <c r="T168" s="182" t="n">
        <v>150</v>
      </c>
      <c r="U168" s="182" t="n">
        <v>128</v>
      </c>
      <c r="V168" s="182" t="n">
        <v>80</v>
      </c>
      <c r="W168" s="182" t="n">
        <v>290</v>
      </c>
      <c r="X168" s="182" t="n">
        <v>131.8</v>
      </c>
      <c r="Y168" s="182" t="n">
        <v>55</v>
      </c>
      <c r="Z168" s="182" t="n">
        <v>110</v>
      </c>
      <c r="AA168" s="182" t="n">
        <v>113.6</v>
      </c>
      <c r="AB168" s="182" t="n">
        <v>41.6</v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4" t="n"/>
      <c r="B169" s="231" t="inlineStr">
        <is>
          <t>SKU-2BECE586</t>
        </is>
      </c>
      <c r="C169" s="231" t="inlineStr">
        <is>
          <t>是</t>
        </is>
      </c>
      <c r="D169" s="231" t="n">
        <v>6</v>
      </c>
      <c r="E169" s="231" t="inlineStr">
        <is>
          <t>是</t>
        </is>
      </c>
      <c r="F169" s="231" t="inlineStr"/>
      <c r="G169" s="231" t="inlineStr"/>
      <c r="H169" s="231" t="inlineStr"/>
      <c r="I169" s="231" t="inlineStr">
        <is>
          <t>是</t>
        </is>
      </c>
      <c r="J169" s="27" t="inlineStr">
        <is>
          <t>共</t>
        </is>
      </c>
      <c r="K169" s="27" t="inlineStr"/>
      <c r="L169" s="231" t="n">
        <v>100</v>
      </c>
      <c r="M169" s="19" t="inlineStr">
        <is>
          <t>Product-AECED13C</t>
        </is>
      </c>
      <c r="N169" s="231" t="n">
        <v>1</v>
      </c>
      <c r="O169" s="181">
        <f>SUM(P169:AB169)</f>
        <v/>
      </c>
      <c r="P169" s="182" t="n">
        <v>39.9</v>
      </c>
      <c r="Q169" s="182" t="n">
        <v>47.5</v>
      </c>
      <c r="R169" s="182" t="n">
        <v>28.5</v>
      </c>
      <c r="S169" s="182" t="n">
        <v>23.7</v>
      </c>
      <c r="T169" s="182" t="n">
        <v>26.6</v>
      </c>
      <c r="U169" s="182" t="n">
        <v>36.1</v>
      </c>
      <c r="V169" s="182" t="n">
        <v>21.8</v>
      </c>
      <c r="W169" s="182" t="n">
        <v>95</v>
      </c>
      <c r="X169" s="182" t="n">
        <v>30.7</v>
      </c>
      <c r="Y169" s="182" t="n">
        <v>25.6</v>
      </c>
      <c r="Z169" s="182" t="n">
        <v>11.4</v>
      </c>
      <c r="AA169" s="182" t="n">
        <v>20.9</v>
      </c>
      <c r="AB169" s="182" t="n">
        <v>12.3</v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4" t="n"/>
      <c r="B170" s="231" t="inlineStr">
        <is>
          <t>SKU-E2A6D7B2</t>
        </is>
      </c>
      <c r="C170" s="231" t="inlineStr">
        <is>
          <t>是</t>
        </is>
      </c>
      <c r="D170" s="231" t="n">
        <v>10</v>
      </c>
      <c r="E170" s="231" t="inlineStr"/>
      <c r="F170" s="231" t="inlineStr"/>
      <c r="G170" s="231" t="inlineStr"/>
      <c r="H170" s="231" t="inlineStr"/>
      <c r="I170" s="231" t="inlineStr"/>
      <c r="J170" s="27" t="inlineStr"/>
      <c r="K170" s="27" t="inlineStr"/>
      <c r="L170" s="231" t="n">
        <v>100</v>
      </c>
      <c r="M170" s="19" t="inlineStr">
        <is>
          <t>Product-7068DBFE</t>
        </is>
      </c>
      <c r="N170" s="231" t="n">
        <v>3</v>
      </c>
      <c r="O170" s="181">
        <f>SUM(P170:AB170)</f>
        <v/>
      </c>
      <c r="P170" s="182" t="n">
        <v>83</v>
      </c>
      <c r="Q170" s="182" t="n">
        <v>0</v>
      </c>
      <c r="R170" s="182" t="n">
        <v>62.3</v>
      </c>
      <c r="S170" s="182" t="n">
        <v>92</v>
      </c>
      <c r="T170" s="182" t="n">
        <v>118</v>
      </c>
      <c r="U170" s="182" t="n">
        <v>122</v>
      </c>
      <c r="V170" s="182" t="n">
        <v>43</v>
      </c>
      <c r="W170" s="182" t="n">
        <v>80</v>
      </c>
      <c r="X170" s="182" t="n">
        <v>83</v>
      </c>
      <c r="Y170" s="182" t="n">
        <v>270</v>
      </c>
      <c r="Z170" s="182" t="n">
        <v>90</v>
      </c>
      <c r="AA170" s="182" t="n">
        <v>89</v>
      </c>
      <c r="AB170" s="182" t="n">
        <v>78.59999999999999</v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4" t="n"/>
      <c r="B171" s="231" t="inlineStr">
        <is>
          <t>SKU-DF4C456E</t>
        </is>
      </c>
      <c r="C171" s="231" t="inlineStr">
        <is>
          <t>是</t>
        </is>
      </c>
      <c r="D171" s="231" t="n">
        <v>10</v>
      </c>
      <c r="E171" s="231" t="inlineStr"/>
      <c r="F171" s="231" t="inlineStr"/>
      <c r="G171" s="231" t="inlineStr">
        <is>
          <t>是</t>
        </is>
      </c>
      <c r="H171" s="231" t="inlineStr"/>
      <c r="I171" s="231" t="inlineStr">
        <is>
          <t>是</t>
        </is>
      </c>
      <c r="J171" s="27" t="inlineStr">
        <is>
          <t>共</t>
        </is>
      </c>
      <c r="K171" s="27" t="inlineStr"/>
      <c r="L171" s="231" t="n">
        <v>100</v>
      </c>
      <c r="M171" s="19" t="inlineStr">
        <is>
          <t>Product-2194AF5F</t>
        </is>
      </c>
      <c r="N171" s="231" t="n">
        <v>2</v>
      </c>
      <c r="O171" s="181">
        <f>SUM(P171:AB171)</f>
        <v/>
      </c>
      <c r="P171" s="182" t="n">
        <v>228.1</v>
      </c>
      <c r="Q171" s="182" t="n">
        <v>84.2</v>
      </c>
      <c r="R171" s="182" t="n">
        <v>131.6</v>
      </c>
      <c r="S171" s="182" t="n">
        <v>72.8</v>
      </c>
      <c r="T171" s="182" t="n">
        <v>117.5</v>
      </c>
      <c r="U171" s="182" t="n">
        <v>102.6</v>
      </c>
      <c r="V171" s="182" t="n">
        <v>149.1</v>
      </c>
      <c r="W171" s="182" t="n">
        <v>263.2</v>
      </c>
      <c r="X171" s="182" t="n">
        <v>173.2</v>
      </c>
      <c r="Y171" s="182" t="n">
        <v>83.3</v>
      </c>
      <c r="Z171" s="182" t="n">
        <v>96.5</v>
      </c>
      <c r="AA171" s="182" t="n">
        <v>78.09999999999999</v>
      </c>
      <c r="AB171" s="182" t="n">
        <v>19.8</v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4" t="n"/>
      <c r="B172" s="231" t="inlineStr">
        <is>
          <t>SKU-346CCBE7</t>
        </is>
      </c>
      <c r="C172" s="231" t="inlineStr">
        <is>
          <t>是</t>
        </is>
      </c>
      <c r="D172" s="231" t="n">
        <v>8</v>
      </c>
      <c r="E172" s="231" t="inlineStr">
        <is>
          <t>是</t>
        </is>
      </c>
      <c r="F172" s="231" t="inlineStr"/>
      <c r="G172" s="231" t="inlineStr"/>
      <c r="H172" s="231" t="inlineStr"/>
      <c r="I172" s="231" t="inlineStr">
        <is>
          <t>是</t>
        </is>
      </c>
      <c r="J172" s="27" t="inlineStr">
        <is>
          <t>共</t>
        </is>
      </c>
      <c r="K172" s="27" t="inlineStr"/>
      <c r="L172" s="231" t="n">
        <v>100</v>
      </c>
      <c r="M172" s="19" t="inlineStr">
        <is>
          <t>Product-5785945E</t>
        </is>
      </c>
      <c r="N172" s="231" t="n">
        <v>1</v>
      </c>
      <c r="O172" s="181">
        <f>SUM(P172:AB172)</f>
        <v/>
      </c>
      <c r="P172" s="182" t="n">
        <v>7.7</v>
      </c>
      <c r="Q172" s="182" t="n">
        <v>9.1</v>
      </c>
      <c r="R172" s="182" t="n">
        <v>9</v>
      </c>
      <c r="S172" s="182" t="n">
        <v>4.4</v>
      </c>
      <c r="T172" s="182" t="n">
        <v>5.3</v>
      </c>
      <c r="U172" s="182" t="n">
        <v>4.4</v>
      </c>
      <c r="V172" s="182" t="n">
        <v>4.3</v>
      </c>
      <c r="W172" s="182" t="n">
        <v>12</v>
      </c>
      <c r="X172" s="182" t="n">
        <v>7.1</v>
      </c>
      <c r="Y172" s="182" t="n">
        <v>5.1</v>
      </c>
      <c r="Z172" s="182" t="n">
        <v>5.6</v>
      </c>
      <c r="AA172" s="182" t="n">
        <v>4.7</v>
      </c>
      <c r="AB172" s="182" t="n">
        <v>3.3</v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4" t="n"/>
      <c r="B173" s="231" t="inlineStr">
        <is>
          <t>SKU-DF067F13</t>
        </is>
      </c>
      <c r="C173" s="231" t="inlineStr">
        <is>
          <t>是</t>
        </is>
      </c>
      <c r="D173" s="231" t="n">
        <v>10</v>
      </c>
      <c r="E173" s="231" t="inlineStr"/>
      <c r="F173" s="231" t="inlineStr"/>
      <c r="G173" s="231" t="inlineStr"/>
      <c r="H173" s="231" t="inlineStr"/>
      <c r="I173" s="231" t="inlineStr"/>
      <c r="J173" s="27" t="inlineStr"/>
      <c r="K173" s="27" t="inlineStr"/>
      <c r="L173" s="231" t="n">
        <v>100</v>
      </c>
      <c r="M173" s="19" t="inlineStr">
        <is>
          <t>Product-2FB2C039</t>
        </is>
      </c>
      <c r="N173" s="231" t="n">
        <v>2</v>
      </c>
      <c r="O173" s="181">
        <f>SUM(P173:AB173)</f>
        <v/>
      </c>
      <c r="P173" s="182" t="n">
        <v>30</v>
      </c>
      <c r="Q173" s="182" t="n">
        <v>77</v>
      </c>
      <c r="R173" s="182" t="n">
        <v>80</v>
      </c>
      <c r="S173" s="182" t="n">
        <v>22</v>
      </c>
      <c r="T173" s="182" t="n">
        <v>212</v>
      </c>
      <c r="U173" s="182" t="n">
        <v>46</v>
      </c>
      <c r="V173" s="182" t="n">
        <v>40</v>
      </c>
      <c r="W173" s="182" t="n">
        <v>180</v>
      </c>
      <c r="X173" s="182" t="n">
        <v>106.4</v>
      </c>
      <c r="Y173" s="182" t="n">
        <v>26</v>
      </c>
      <c r="Z173" s="182" t="n">
        <v>80</v>
      </c>
      <c r="AA173" s="182" t="n">
        <v>71</v>
      </c>
      <c r="AB173" s="182" t="n">
        <v>13.3</v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4" t="n"/>
      <c r="B174" s="231" t="inlineStr">
        <is>
          <t>SKU-B6FC5230</t>
        </is>
      </c>
      <c r="C174" s="231" t="inlineStr">
        <is>
          <t>是</t>
        </is>
      </c>
      <c r="D174" s="231" t="n">
        <v>10</v>
      </c>
      <c r="E174" s="231" t="inlineStr"/>
      <c r="F174" s="231" t="inlineStr">
        <is>
          <t>是</t>
        </is>
      </c>
      <c r="G174" s="231" t="inlineStr"/>
      <c r="H174" s="231" t="inlineStr"/>
      <c r="I174" s="231" t="inlineStr">
        <is>
          <t>是</t>
        </is>
      </c>
      <c r="J174" s="27" t="inlineStr"/>
      <c r="K174" s="27" t="inlineStr"/>
      <c r="L174" s="231" t="n">
        <v>100</v>
      </c>
      <c r="M174" s="19" t="inlineStr">
        <is>
          <t>Product-A90CE342</t>
        </is>
      </c>
      <c r="N174" s="231" t="n">
        <v>1</v>
      </c>
      <c r="O174" s="181">
        <f>SUM(P174:AB174)</f>
        <v/>
      </c>
      <c r="P174" s="182" t="n">
        <v>35.7</v>
      </c>
      <c r="Q174" s="182" t="n">
        <v>42.4</v>
      </c>
      <c r="R174" s="182" t="n">
        <v>41.6</v>
      </c>
      <c r="S174" s="182" t="n">
        <v>20.3</v>
      </c>
      <c r="T174" s="182" t="n">
        <v>24.8</v>
      </c>
      <c r="U174" s="182" t="n">
        <v>20.3</v>
      </c>
      <c r="V174" s="182" t="n">
        <v>19.9</v>
      </c>
      <c r="W174" s="182" t="n">
        <v>56.3</v>
      </c>
      <c r="X174" s="182" t="n">
        <v>32.9</v>
      </c>
      <c r="Y174" s="182" t="n">
        <v>23.7</v>
      </c>
      <c r="Z174" s="182" t="n">
        <v>25.8</v>
      </c>
      <c r="AA174" s="182" t="n">
        <v>22</v>
      </c>
      <c r="AB174" s="182" t="n">
        <v>15.3</v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4" t="n"/>
      <c r="B175" s="231" t="inlineStr">
        <is>
          <t>SKU-AD42A3A6</t>
        </is>
      </c>
      <c r="C175" s="231" t="inlineStr">
        <is>
          <t>是</t>
        </is>
      </c>
      <c r="D175" s="231" t="n">
        <v>10</v>
      </c>
      <c r="E175" s="231" t="inlineStr"/>
      <c r="F175" s="231" t="inlineStr">
        <is>
          <t>是</t>
        </is>
      </c>
      <c r="G175" s="231" t="inlineStr"/>
      <c r="H175" s="231" t="inlineStr"/>
      <c r="I175" s="231" t="inlineStr">
        <is>
          <t>是</t>
        </is>
      </c>
      <c r="J175" s="27" t="inlineStr"/>
      <c r="K175" s="27" t="inlineStr"/>
      <c r="L175" s="231" t="n">
        <v>100</v>
      </c>
      <c r="M175" s="33" t="inlineStr">
        <is>
          <t>Product-1A22EAD1</t>
        </is>
      </c>
      <c r="N175" s="231" t="n">
        <v>1</v>
      </c>
      <c r="O175" s="181">
        <f>SUM(P175:AB175)</f>
        <v/>
      </c>
      <c r="P175" s="182" t="n">
        <v>0</v>
      </c>
      <c r="Q175" s="182" t="n">
        <v>0</v>
      </c>
      <c r="R175" s="182" t="n">
        <v>0</v>
      </c>
      <c r="S175" s="182" t="n">
        <v>0</v>
      </c>
      <c r="T175" s="182" t="n">
        <v>0</v>
      </c>
      <c r="U175" s="182" t="n">
        <v>0</v>
      </c>
      <c r="V175" s="182" t="n">
        <v>0</v>
      </c>
      <c r="W175" s="182" t="n">
        <v>0</v>
      </c>
      <c r="X175" s="182" t="n">
        <v>0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4" t="n"/>
      <c r="B176" s="231" t="inlineStr">
        <is>
          <t>SKU-E1FD63A2</t>
        </is>
      </c>
      <c r="C176" s="231" t="inlineStr">
        <is>
          <t>是</t>
        </is>
      </c>
      <c r="D176" s="231" t="n">
        <v>10</v>
      </c>
      <c r="E176" s="231" t="inlineStr"/>
      <c r="F176" s="231" t="inlineStr">
        <is>
          <t>是</t>
        </is>
      </c>
      <c r="G176" s="231" t="inlineStr"/>
      <c r="H176" s="231" t="inlineStr"/>
      <c r="I176" s="231" t="inlineStr">
        <is>
          <t>是</t>
        </is>
      </c>
      <c r="J176" s="27" t="inlineStr"/>
      <c r="K176" s="27" t="inlineStr"/>
      <c r="L176" s="231" t="n">
        <v>100</v>
      </c>
      <c r="M176" s="19" t="inlineStr">
        <is>
          <t>Product-56A72B94</t>
        </is>
      </c>
      <c r="N176" s="231" t="n">
        <v>1</v>
      </c>
      <c r="O176" s="181">
        <f>SUM(P176:AB176)</f>
        <v/>
      </c>
      <c r="P176" s="182" t="n">
        <v>261.2</v>
      </c>
      <c r="Q176" s="182" t="n">
        <v>310.3</v>
      </c>
      <c r="R176" s="182" t="n">
        <v>304.7</v>
      </c>
      <c r="S176" s="182" t="n">
        <v>148.4</v>
      </c>
      <c r="T176" s="182" t="n">
        <v>181.8</v>
      </c>
      <c r="U176" s="182" t="n">
        <v>148.5</v>
      </c>
      <c r="V176" s="182" t="n">
        <v>145.4</v>
      </c>
      <c r="W176" s="182" t="n">
        <v>412.4</v>
      </c>
      <c r="X176" s="182" t="n">
        <v>241.2</v>
      </c>
      <c r="Y176" s="182" t="n">
        <v>173.4</v>
      </c>
      <c r="Z176" s="182" t="n">
        <v>189.2</v>
      </c>
      <c r="AA176" s="182" t="n">
        <v>161.3</v>
      </c>
      <c r="AB176" s="182" t="n">
        <v>112.2</v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4" t="n"/>
      <c r="B177" s="231" t="inlineStr">
        <is>
          <t>SKU-AE256B22</t>
        </is>
      </c>
      <c r="C177" s="231" t="inlineStr">
        <is>
          <t>是</t>
        </is>
      </c>
      <c r="D177" s="231" t="n">
        <v>5</v>
      </c>
      <c r="E177" s="231" t="inlineStr">
        <is>
          <t>是</t>
        </is>
      </c>
      <c r="F177" s="231" t="inlineStr"/>
      <c r="G177" s="231" t="inlineStr"/>
      <c r="H177" s="231" t="inlineStr"/>
      <c r="I177" s="231" t="inlineStr">
        <is>
          <t>是</t>
        </is>
      </c>
      <c r="J177" s="27" t="inlineStr"/>
      <c r="K177" s="27" t="inlineStr"/>
      <c r="L177" s="231" t="n">
        <v>100</v>
      </c>
      <c r="M177" s="19" t="inlineStr">
        <is>
          <t>Product-7D4E9E50</t>
        </is>
      </c>
      <c r="N177" s="231" t="n">
        <v>1</v>
      </c>
      <c r="O177" s="181">
        <f>SUM(P177:AB177)</f>
        <v/>
      </c>
      <c r="P177" s="182" t="n">
        <v>24.8</v>
      </c>
      <c r="Q177" s="182" t="n">
        <v>29.5</v>
      </c>
      <c r="R177" s="182" t="n">
        <v>28.9</v>
      </c>
      <c r="S177" s="182" t="n">
        <v>14.1</v>
      </c>
      <c r="T177" s="182" t="n">
        <v>17.3</v>
      </c>
      <c r="U177" s="182" t="n">
        <v>14.1</v>
      </c>
      <c r="V177" s="182" t="n">
        <v>13.8</v>
      </c>
      <c r="W177" s="182" t="n">
        <v>39.1</v>
      </c>
      <c r="X177" s="182" t="n">
        <v>22.9</v>
      </c>
      <c r="Y177" s="182" t="n">
        <v>16.5</v>
      </c>
      <c r="Z177" s="182" t="n">
        <v>18</v>
      </c>
      <c r="AA177" s="182" t="n">
        <v>15.3</v>
      </c>
      <c r="AB177" s="182" t="n">
        <v>10.7</v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4" t="n"/>
      <c r="B178" s="231" t="inlineStr">
        <is>
          <t>SKU-4824EA3C</t>
        </is>
      </c>
      <c r="C178" s="231" t="inlineStr">
        <is>
          <t>是</t>
        </is>
      </c>
      <c r="D178" s="231" t="n">
        <v>7</v>
      </c>
      <c r="E178" s="231" t="inlineStr">
        <is>
          <t>是</t>
        </is>
      </c>
      <c r="F178" s="231" t="inlineStr"/>
      <c r="G178" s="231" t="inlineStr"/>
      <c r="H178" s="231" t="inlineStr"/>
      <c r="I178" s="231" t="inlineStr">
        <is>
          <t>是</t>
        </is>
      </c>
      <c r="J178" s="27" t="inlineStr"/>
      <c r="K178" s="27" t="inlineStr"/>
      <c r="L178" s="231" t="n">
        <v>100</v>
      </c>
      <c r="M178" s="45" t="inlineStr">
        <is>
          <t>Product-45B4B1EB</t>
        </is>
      </c>
      <c r="N178" s="231" t="n">
        <v>1</v>
      </c>
      <c r="O178" s="181">
        <f>SUM(P178:AB178)</f>
        <v/>
      </c>
      <c r="P178" s="182" t="n">
        <v>7.5</v>
      </c>
      <c r="Q178" s="182" t="n">
        <v>8.9</v>
      </c>
      <c r="R178" s="182" t="n">
        <v>8.699999999999999</v>
      </c>
      <c r="S178" s="182" t="n">
        <v>4.3</v>
      </c>
      <c r="T178" s="182" t="n">
        <v>5.2</v>
      </c>
      <c r="U178" s="182" t="n">
        <v>4.3</v>
      </c>
      <c r="V178" s="182" t="n">
        <v>4.2</v>
      </c>
      <c r="W178" s="182" t="n">
        <v>11.8</v>
      </c>
      <c r="X178" s="182" t="n">
        <v>6.9</v>
      </c>
      <c r="Y178" s="182" t="n">
        <v>5</v>
      </c>
      <c r="Z178" s="182" t="n">
        <v>5.4</v>
      </c>
      <c r="AA178" s="182" t="n">
        <v>4.6</v>
      </c>
      <c r="AB178" s="182" t="n">
        <v>3.2</v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5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 t="n">
        <v>938.3</v>
      </c>
      <c r="Q179" s="51" t="n">
        <v>1136.5</v>
      </c>
      <c r="R179" s="51" t="n">
        <v>1020.1</v>
      </c>
      <c r="S179" s="51" t="n">
        <v>579.8</v>
      </c>
      <c r="T179" s="51" t="n">
        <v>1000.2</v>
      </c>
      <c r="U179" s="51" t="n">
        <v>899.1</v>
      </c>
      <c r="V179" s="51" t="n">
        <v>612.9</v>
      </c>
      <c r="W179" s="51" t="n">
        <v>1680.4</v>
      </c>
      <c r="X179" s="51" t="n">
        <v>1114.6</v>
      </c>
      <c r="Y179" s="51" t="n">
        <v>939.1</v>
      </c>
      <c r="Z179" s="51" t="n">
        <v>789.7</v>
      </c>
      <c r="AA179" s="51" t="n">
        <v>719.2</v>
      </c>
      <c r="AB179" s="51" t="n">
        <v>421.5</v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31" t="inlineStr">
        <is>
          <t>SKU-5C2451E8</t>
        </is>
      </c>
      <c r="C180" s="231" t="inlineStr">
        <is>
          <t>是</t>
        </is>
      </c>
      <c r="D180" s="231" t="n">
        <v>8</v>
      </c>
      <c r="E180" s="231" t="inlineStr">
        <is>
          <t>是</t>
        </is>
      </c>
      <c r="F180" s="231" t="inlineStr"/>
      <c r="G180" s="231" t="inlineStr"/>
      <c r="H180" s="231" t="inlineStr"/>
      <c r="I180" s="231" t="inlineStr">
        <is>
          <t>是</t>
        </is>
      </c>
      <c r="J180" s="27" t="inlineStr"/>
      <c r="K180" s="27" t="inlineStr"/>
      <c r="L180" s="231" t="n">
        <v>100</v>
      </c>
      <c r="M180" s="44" t="inlineStr">
        <is>
          <t>Product-094CF930</t>
        </is>
      </c>
      <c r="N180" s="231" t="n">
        <v>3</v>
      </c>
      <c r="O180" s="181">
        <f>SUM(P180:AB180)</f>
        <v/>
      </c>
      <c r="P180" s="182" t="n">
        <v>0</v>
      </c>
      <c r="Q180" s="182" t="n">
        <v>0</v>
      </c>
      <c r="R180" s="182" t="n">
        <v>0</v>
      </c>
      <c r="S180" s="182" t="n">
        <v>0</v>
      </c>
      <c r="T180" s="182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4" t="n"/>
      <c r="B181" s="231" t="inlineStr">
        <is>
          <t>SKU-8456C17F</t>
        </is>
      </c>
      <c r="C181" s="231" t="inlineStr">
        <is>
          <t>是</t>
        </is>
      </c>
      <c r="D181" s="231" t="n">
        <v>11</v>
      </c>
      <c r="E181" s="231" t="inlineStr"/>
      <c r="F181" s="231" t="inlineStr"/>
      <c r="G181" s="231" t="inlineStr"/>
      <c r="H181" s="231" t="inlineStr"/>
      <c r="I181" s="231" t="inlineStr"/>
      <c r="J181" s="27" t="inlineStr">
        <is>
          <t>共</t>
        </is>
      </c>
      <c r="K181" s="27" t="inlineStr"/>
      <c r="L181" s="231" t="n">
        <v>100</v>
      </c>
      <c r="M181" s="19" t="inlineStr">
        <is>
          <t>Product-C5A74F5E</t>
        </is>
      </c>
      <c r="N181" s="231" t="n">
        <v>1</v>
      </c>
      <c r="O181" s="181">
        <f>SUM(P181:AB181)</f>
        <v/>
      </c>
      <c r="P181" s="182" t="n">
        <v>310</v>
      </c>
      <c r="Q181" s="182" t="n">
        <v>553</v>
      </c>
      <c r="R181" s="182" t="n">
        <v>320</v>
      </c>
      <c r="S181" s="182" t="n">
        <v>218</v>
      </c>
      <c r="T181" s="182" t="n">
        <v>245</v>
      </c>
      <c r="U181" s="182" t="n">
        <v>140</v>
      </c>
      <c r="V181" s="182" t="n">
        <v>190</v>
      </c>
      <c r="W181" s="182" t="n">
        <v>910</v>
      </c>
      <c r="X181" s="182" t="n">
        <v>238.5</v>
      </c>
      <c r="Y181" s="182" t="n">
        <v>170</v>
      </c>
      <c r="Z181" s="182" t="n">
        <v>151</v>
      </c>
      <c r="AA181" s="182" t="n">
        <v>177.4</v>
      </c>
      <c r="AB181" s="182" t="n">
        <v>98</v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4" t="n"/>
      <c r="B182" s="231" t="inlineStr">
        <is>
          <t>SKU-51089BE2</t>
        </is>
      </c>
      <c r="C182" s="231" t="inlineStr">
        <is>
          <t>是</t>
        </is>
      </c>
      <c r="D182" s="231" t="n">
        <v>8</v>
      </c>
      <c r="E182" s="231" t="inlineStr"/>
      <c r="F182" s="231" t="inlineStr"/>
      <c r="G182" s="231" t="inlineStr"/>
      <c r="H182" s="231" t="inlineStr"/>
      <c r="I182" s="231" t="inlineStr"/>
      <c r="J182" s="27" t="inlineStr"/>
      <c r="K182" s="27" t="inlineStr"/>
      <c r="L182" s="231" t="n">
        <v>100</v>
      </c>
      <c r="M182" s="19" t="inlineStr">
        <is>
          <t>Product-0FD5ABF4</t>
        </is>
      </c>
      <c r="N182" s="231" t="n">
        <v>2</v>
      </c>
      <c r="O182" s="181">
        <f>SUM(P182:AB182)</f>
        <v/>
      </c>
      <c r="P182" s="182" t="n">
        <v>160</v>
      </c>
      <c r="Q182" s="182" t="n">
        <v>160</v>
      </c>
      <c r="R182" s="182" t="n">
        <v>130</v>
      </c>
      <c r="S182" s="182" t="n">
        <v>55</v>
      </c>
      <c r="T182" s="182" t="n">
        <v>45</v>
      </c>
      <c r="U182" s="182" t="n">
        <v>38</v>
      </c>
      <c r="V182" s="182" t="n">
        <v>75</v>
      </c>
      <c r="W182" s="182" t="n">
        <v>70</v>
      </c>
      <c r="X182" s="182" t="n">
        <v>105</v>
      </c>
      <c r="Y182" s="182" t="n">
        <v>60</v>
      </c>
      <c r="Z182" s="182" t="n">
        <v>25</v>
      </c>
      <c r="AA182" s="182" t="n">
        <v>69.59999999999999</v>
      </c>
      <c r="AB182" s="182" t="n">
        <v>4</v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4" t="n"/>
      <c r="B183" s="231" t="inlineStr">
        <is>
          <t>SKU-FFE04C4D</t>
        </is>
      </c>
      <c r="C183" s="231" t="inlineStr">
        <is>
          <t>是</t>
        </is>
      </c>
      <c r="D183" s="231" t="n">
        <v>8</v>
      </c>
      <c r="E183" s="231" t="inlineStr"/>
      <c r="F183" s="231" t="inlineStr"/>
      <c r="G183" s="231" t="inlineStr"/>
      <c r="H183" s="231" t="inlineStr"/>
      <c r="I183" s="231" t="inlineStr"/>
      <c r="J183" s="27" t="inlineStr"/>
      <c r="K183" s="27" t="inlineStr"/>
      <c r="L183" s="231" t="n">
        <v>100</v>
      </c>
      <c r="M183" s="19" t="inlineStr">
        <is>
          <t>Product-B83DCFA4</t>
        </is>
      </c>
      <c r="N183" s="231" t="n">
        <v>1</v>
      </c>
      <c r="O183" s="181">
        <f>SUM(P183:AB183)</f>
        <v/>
      </c>
      <c r="P183" s="182" t="n">
        <v>20</v>
      </c>
      <c r="Q183" s="182" t="n">
        <v>90</v>
      </c>
      <c r="R183" s="182" t="n">
        <v>40</v>
      </c>
      <c r="S183" s="182" t="n">
        <v>45</v>
      </c>
      <c r="T183" s="182" t="n">
        <v>42</v>
      </c>
      <c r="U183" s="182" t="n">
        <v>18</v>
      </c>
      <c r="V183" s="182" t="n">
        <v>30</v>
      </c>
      <c r="W183" s="182" t="n">
        <v>60</v>
      </c>
      <c r="X183" s="182" t="n">
        <v>14.3</v>
      </c>
      <c r="Y183" s="182" t="n">
        <v>10</v>
      </c>
      <c r="Z183" s="182" t="n">
        <v>13</v>
      </c>
      <c r="AA183" s="182" t="n">
        <v>14.2</v>
      </c>
      <c r="AB183" s="182" t="n">
        <v>15</v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4" t="n"/>
      <c r="B184" s="231" t="inlineStr">
        <is>
          <t>SKU-97F868AB</t>
        </is>
      </c>
      <c r="C184" s="231" t="inlineStr">
        <is>
          <t>是</t>
        </is>
      </c>
      <c r="D184" s="231" t="n">
        <v>8</v>
      </c>
      <c r="E184" s="231" t="inlineStr">
        <is>
          <t>是</t>
        </is>
      </c>
      <c r="F184" s="231" t="inlineStr"/>
      <c r="G184" s="231" t="inlineStr"/>
      <c r="H184" s="231" t="inlineStr"/>
      <c r="I184" s="231" t="inlineStr">
        <is>
          <t>是</t>
        </is>
      </c>
      <c r="J184" s="27" t="inlineStr"/>
      <c r="K184" s="27" t="inlineStr"/>
      <c r="L184" s="231" t="n">
        <v>100</v>
      </c>
      <c r="M184" s="19" t="inlineStr">
        <is>
          <t>Product-C62E3340</t>
        </is>
      </c>
      <c r="N184" s="231" t="n">
        <v>2</v>
      </c>
      <c r="O184" s="181">
        <f>SUM(P184:AB184)</f>
        <v/>
      </c>
      <c r="P184" s="182" t="n">
        <v>428</v>
      </c>
      <c r="Q184" s="182" t="n">
        <v>410</v>
      </c>
      <c r="R184" s="182" t="n">
        <v>490</v>
      </c>
      <c r="S184" s="182" t="n">
        <v>224</v>
      </c>
      <c r="T184" s="182" t="n">
        <v>298</v>
      </c>
      <c r="U184" s="182" t="n">
        <v>233</v>
      </c>
      <c r="V184" s="182" t="n">
        <v>239</v>
      </c>
      <c r="W184" s="182" t="n">
        <v>650</v>
      </c>
      <c r="X184" s="182" t="n">
        <v>383</v>
      </c>
      <c r="Y184" s="182" t="n">
        <v>270</v>
      </c>
      <c r="Z184" s="182" t="n">
        <v>267</v>
      </c>
      <c r="AA184" s="182" t="n">
        <v>235</v>
      </c>
      <c r="AB184" s="182" t="n">
        <v>140</v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4" t="n"/>
      <c r="B185" s="231" t="inlineStr">
        <is>
          <t>SKU-8D644BC3</t>
        </is>
      </c>
      <c r="C185" s="231" t="inlineStr">
        <is>
          <t>是</t>
        </is>
      </c>
      <c r="D185" s="231" t="n">
        <v>10</v>
      </c>
      <c r="E185" s="231" t="inlineStr"/>
      <c r="F185" s="231" t="inlineStr"/>
      <c r="G185" s="231" t="inlineStr"/>
      <c r="H185" s="231" t="inlineStr">
        <is>
          <t>是</t>
        </is>
      </c>
      <c r="I185" s="231" t="inlineStr">
        <is>
          <t>是</t>
        </is>
      </c>
      <c r="J185" s="27" t="inlineStr">
        <is>
          <t>共</t>
        </is>
      </c>
      <c r="K185" s="27" t="inlineStr"/>
      <c r="L185" s="231" t="n">
        <v>100</v>
      </c>
      <c r="M185" s="19" t="inlineStr">
        <is>
          <t>Product-DE90CB9B</t>
        </is>
      </c>
      <c r="N185" s="231" t="n">
        <v>1</v>
      </c>
      <c r="O185" s="181">
        <f>SUM(P185:AB185)</f>
        <v/>
      </c>
      <c r="P185" s="182" t="n">
        <v>149</v>
      </c>
      <c r="Q185" s="182" t="n">
        <v>178</v>
      </c>
      <c r="R185" s="182" t="n">
        <v>174.7</v>
      </c>
      <c r="S185" s="182" t="n">
        <v>85.09999999999999</v>
      </c>
      <c r="T185" s="182" t="n">
        <v>104.3</v>
      </c>
      <c r="U185" s="182" t="n">
        <v>85.2</v>
      </c>
      <c r="V185" s="182" t="n">
        <v>83.40000000000001</v>
      </c>
      <c r="W185" s="182" t="n">
        <v>236.4</v>
      </c>
      <c r="X185" s="182" t="n">
        <v>138.3</v>
      </c>
      <c r="Y185" s="182" t="n">
        <v>99.40000000000001</v>
      </c>
      <c r="Z185" s="182" t="n">
        <v>108.5</v>
      </c>
      <c r="AA185" s="182" t="n">
        <v>92.5</v>
      </c>
      <c r="AB185" s="182" t="n">
        <v>64.40000000000001</v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4" t="n"/>
      <c r="B186" s="231" t="inlineStr">
        <is>
          <t>SKU-51C17194</t>
        </is>
      </c>
      <c r="C186" s="231" t="inlineStr">
        <is>
          <t>是</t>
        </is>
      </c>
      <c r="D186" s="231" t="n">
        <v>10</v>
      </c>
      <c r="E186" s="231" t="inlineStr"/>
      <c r="F186" s="231" t="inlineStr"/>
      <c r="G186" s="231" t="inlineStr"/>
      <c r="H186" s="231" t="inlineStr"/>
      <c r="I186" s="231" t="inlineStr"/>
      <c r="J186" s="27" t="inlineStr"/>
      <c r="K186" s="27" t="inlineStr"/>
      <c r="L186" s="231" t="n">
        <v>100</v>
      </c>
      <c r="M186" s="43" t="inlineStr">
        <is>
          <t>Product-7D9B1112</t>
        </is>
      </c>
      <c r="N186" s="231" t="n">
        <v>2</v>
      </c>
      <c r="O186" s="181">
        <f>SUM(P186:AB186)</f>
        <v/>
      </c>
      <c r="P186" s="182" t="n">
        <v>0</v>
      </c>
      <c r="Q186" s="182" t="n">
        <v>0</v>
      </c>
      <c r="R186" s="182" t="n">
        <v>0</v>
      </c>
      <c r="S186" s="182" t="n">
        <v>0</v>
      </c>
      <c r="T186" s="182" t="n">
        <v>0</v>
      </c>
      <c r="U186" s="182" t="n">
        <v>0</v>
      </c>
      <c r="V186" s="182" t="n">
        <v>0</v>
      </c>
      <c r="W186" s="182" t="n">
        <v>0</v>
      </c>
      <c r="X186" s="182" t="n">
        <v>0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4" t="n"/>
      <c r="B187" s="231" t="inlineStr">
        <is>
          <t>SKU-318D1B8B</t>
        </is>
      </c>
      <c r="C187" s="231" t="inlineStr">
        <is>
          <t>是</t>
        </is>
      </c>
      <c r="D187" s="231" t="n">
        <v>8</v>
      </c>
      <c r="E187" s="231" t="inlineStr">
        <is>
          <t>是</t>
        </is>
      </c>
      <c r="F187" s="231" t="inlineStr"/>
      <c r="G187" s="231" t="inlineStr"/>
      <c r="H187" s="231" t="inlineStr">
        <is>
          <t>是</t>
        </is>
      </c>
      <c r="I187" s="231" t="inlineStr">
        <is>
          <t>是</t>
        </is>
      </c>
      <c r="J187" s="27" t="inlineStr">
        <is>
          <t>共</t>
        </is>
      </c>
      <c r="K187" s="27" t="inlineStr"/>
      <c r="L187" s="231" t="n">
        <v>100</v>
      </c>
      <c r="M187" s="19" t="inlineStr">
        <is>
          <t>Product-C93E013F</t>
        </is>
      </c>
      <c r="N187" s="231" t="n">
        <v>1</v>
      </c>
      <c r="O187" s="181">
        <f>SUM(P187:AB187)</f>
        <v/>
      </c>
      <c r="P187" s="182" t="n">
        <v>11.6</v>
      </c>
      <c r="Q187" s="182" t="n">
        <v>13.8</v>
      </c>
      <c r="R187" s="182" t="n">
        <v>13.5</v>
      </c>
      <c r="S187" s="182" t="n">
        <v>6.6</v>
      </c>
      <c r="T187" s="182" t="n">
        <v>8.1</v>
      </c>
      <c r="U187" s="182" t="n">
        <v>6.6</v>
      </c>
      <c r="V187" s="182" t="n">
        <v>6.5</v>
      </c>
      <c r="W187" s="182" t="n">
        <v>18.3</v>
      </c>
      <c r="X187" s="182" t="n">
        <v>10.7</v>
      </c>
      <c r="Y187" s="182" t="n">
        <v>7.7</v>
      </c>
      <c r="Z187" s="182" t="n">
        <v>8.4</v>
      </c>
      <c r="AA187" s="182" t="n">
        <v>7.2</v>
      </c>
      <c r="AB187" s="182" t="n">
        <v>5</v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4" t="n"/>
      <c r="B188" s="231" t="inlineStr">
        <is>
          <t>SKU-A744A038</t>
        </is>
      </c>
      <c r="C188" s="231" t="inlineStr">
        <is>
          <t>是</t>
        </is>
      </c>
      <c r="D188" s="231" t="n">
        <v>8</v>
      </c>
      <c r="E188" s="231" t="inlineStr">
        <is>
          <t>是</t>
        </is>
      </c>
      <c r="F188" s="231" t="inlineStr"/>
      <c r="G188" s="231" t="inlineStr"/>
      <c r="H188" s="231" t="inlineStr">
        <is>
          <t>是</t>
        </is>
      </c>
      <c r="I188" s="231" t="inlineStr">
        <is>
          <t>是</t>
        </is>
      </c>
      <c r="J188" s="27" t="inlineStr">
        <is>
          <t>共</t>
        </is>
      </c>
      <c r="K188" s="27" t="inlineStr"/>
      <c r="L188" s="231" t="n">
        <v>100</v>
      </c>
      <c r="M188" s="19" t="inlineStr">
        <is>
          <t>Product-DDF99E26</t>
        </is>
      </c>
      <c r="N188" s="231" t="n">
        <v>1</v>
      </c>
      <c r="O188" s="181">
        <f>SUM(P188:AB188)</f>
        <v/>
      </c>
      <c r="P188" s="182" t="n">
        <v>183.7</v>
      </c>
      <c r="Q188" s="182" t="n">
        <v>220.4</v>
      </c>
      <c r="R188" s="182" t="n">
        <v>114.8</v>
      </c>
      <c r="S188" s="182" t="n">
        <v>75.3</v>
      </c>
      <c r="T188" s="182" t="n">
        <v>91.90000000000001</v>
      </c>
      <c r="U188" s="182" t="n">
        <v>99.2</v>
      </c>
      <c r="V188" s="182" t="n">
        <v>36.7</v>
      </c>
      <c r="W188" s="182" t="n">
        <v>159</v>
      </c>
      <c r="X188" s="182" t="n">
        <v>59.2</v>
      </c>
      <c r="Y188" s="182" t="n">
        <v>36.7</v>
      </c>
      <c r="Z188" s="182" t="n">
        <v>22</v>
      </c>
      <c r="AA188" s="182" t="n">
        <v>37.3</v>
      </c>
      <c r="AB188" s="182" t="n">
        <v>13.8</v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4" t="n"/>
      <c r="B189" s="231" t="inlineStr">
        <is>
          <t>SKU-56C78667</t>
        </is>
      </c>
      <c r="C189" s="231" t="inlineStr">
        <is>
          <t>是</t>
        </is>
      </c>
      <c r="D189" s="231" t="n">
        <v>10</v>
      </c>
      <c r="E189" s="231" t="inlineStr"/>
      <c r="F189" s="231" t="inlineStr">
        <is>
          <t>是</t>
        </is>
      </c>
      <c r="G189" s="231" t="inlineStr"/>
      <c r="H189" s="231" t="inlineStr">
        <is>
          <t>是</t>
        </is>
      </c>
      <c r="I189" s="231" t="inlineStr">
        <is>
          <t>是</t>
        </is>
      </c>
      <c r="J189" s="27" t="inlineStr"/>
      <c r="K189" s="27" t="inlineStr"/>
      <c r="L189" s="231" t="n">
        <v>100</v>
      </c>
      <c r="M189" s="19" t="inlineStr">
        <is>
          <t>Product-B81DC6F4</t>
        </is>
      </c>
      <c r="N189" s="231" t="n">
        <v>1</v>
      </c>
      <c r="O189" s="181">
        <f>SUM(P189:AB189)</f>
        <v/>
      </c>
      <c r="P189" s="182" t="n">
        <v>128</v>
      </c>
      <c r="Q189" s="182" t="n">
        <v>230</v>
      </c>
      <c r="R189" s="182" t="n">
        <v>90</v>
      </c>
      <c r="S189" s="182" t="n">
        <v>75</v>
      </c>
      <c r="T189" s="182" t="n">
        <v>150</v>
      </c>
      <c r="U189" s="182" t="n">
        <v>126</v>
      </c>
      <c r="V189" s="182" t="n">
        <v>50</v>
      </c>
      <c r="W189" s="182" t="n">
        <v>200</v>
      </c>
      <c r="X189" s="182" t="n">
        <v>45</v>
      </c>
      <c r="Y189" s="182" t="n">
        <v>26</v>
      </c>
      <c r="Z189" s="182" t="n">
        <v>44</v>
      </c>
      <c r="AA189" s="182" t="n">
        <v>67.40000000000001</v>
      </c>
      <c r="AB189" s="182" t="n">
        <v>30</v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4" t="n"/>
      <c r="B190" s="231" t="inlineStr">
        <is>
          <t>SKU-20ABB28F</t>
        </is>
      </c>
      <c r="C190" s="231" t="inlineStr">
        <is>
          <t>是</t>
        </is>
      </c>
      <c r="D190" s="231" t="n">
        <v>8</v>
      </c>
      <c r="E190" s="231" t="inlineStr"/>
      <c r="F190" s="231" t="inlineStr">
        <is>
          <t>是</t>
        </is>
      </c>
      <c r="G190" s="231" t="inlineStr"/>
      <c r="H190" s="231" t="inlineStr"/>
      <c r="I190" s="231" t="inlineStr">
        <is>
          <t>是</t>
        </is>
      </c>
      <c r="J190" s="27" t="inlineStr"/>
      <c r="K190" s="27" t="inlineStr"/>
      <c r="L190" s="231" t="n">
        <v>100</v>
      </c>
      <c r="M190" s="19" t="inlineStr">
        <is>
          <t>Product-0B2EAF74</t>
        </is>
      </c>
      <c r="N190" s="231" t="n">
        <v>1</v>
      </c>
      <c r="O190" s="181">
        <f>SUM(P190:AB190)</f>
        <v/>
      </c>
      <c r="P190" s="182" t="n">
        <v>14</v>
      </c>
      <c r="Q190" s="182" t="n">
        <v>45</v>
      </c>
      <c r="R190" s="182" t="n">
        <v>28</v>
      </c>
      <c r="S190" s="182" t="n">
        <v>10</v>
      </c>
      <c r="T190" s="182" t="n">
        <v>30</v>
      </c>
      <c r="U190" s="182" t="n">
        <v>10</v>
      </c>
      <c r="V190" s="182" t="n">
        <v>20</v>
      </c>
      <c r="W190" s="182" t="n">
        <v>25</v>
      </c>
      <c r="X190" s="182" t="n">
        <v>18.1</v>
      </c>
      <c r="Y190" s="182" t="n">
        <v>15</v>
      </c>
      <c r="Z190" s="182" t="n">
        <v>10</v>
      </c>
      <c r="AA190" s="182" t="n">
        <v>17.4</v>
      </c>
      <c r="AB190" s="182" t="n">
        <v>17</v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4" t="n"/>
      <c r="B191" s="231" t="inlineStr">
        <is>
          <t>SKU-19F38467</t>
        </is>
      </c>
      <c r="C191" s="231" t="inlineStr">
        <is>
          <t>是</t>
        </is>
      </c>
      <c r="D191" s="231" t="n">
        <v>10</v>
      </c>
      <c r="E191" s="231" t="inlineStr"/>
      <c r="F191" s="231" t="inlineStr"/>
      <c r="G191" s="231" t="inlineStr"/>
      <c r="H191" s="231" t="inlineStr"/>
      <c r="I191" s="231" t="inlineStr"/>
      <c r="J191" s="27" t="inlineStr">
        <is>
          <t>共</t>
        </is>
      </c>
      <c r="K191" s="27" t="inlineStr"/>
      <c r="L191" s="231" t="n">
        <v>100</v>
      </c>
      <c r="M191" s="19" t="inlineStr">
        <is>
          <t>Product-9435255B</t>
        </is>
      </c>
      <c r="N191" s="231" t="n">
        <v>1</v>
      </c>
      <c r="O191" s="181">
        <f>SUM(P191:AB191)</f>
        <v/>
      </c>
      <c r="P191" s="182" t="n">
        <v>8</v>
      </c>
      <c r="Q191" s="182" t="n">
        <v>14.6</v>
      </c>
      <c r="R191" s="182" t="n">
        <v>12</v>
      </c>
      <c r="S191" s="182" t="n">
        <v>7</v>
      </c>
      <c r="T191" s="182" t="n">
        <v>8.5</v>
      </c>
      <c r="U191" s="182" t="n">
        <v>7</v>
      </c>
      <c r="V191" s="182" t="n">
        <v>6.8</v>
      </c>
      <c r="W191" s="182" t="n">
        <v>19.3</v>
      </c>
      <c r="X191" s="182" t="n">
        <v>11.3</v>
      </c>
      <c r="Y191" s="182" t="n">
        <v>8.1</v>
      </c>
      <c r="Z191" s="182" t="n">
        <v>8.9</v>
      </c>
      <c r="AA191" s="182" t="n">
        <v>6.6</v>
      </c>
      <c r="AB191" s="182" t="n">
        <v>5.3</v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4" t="n"/>
      <c r="B192" s="231" t="inlineStr">
        <is>
          <t>SKU-07EAC1B8</t>
        </is>
      </c>
      <c r="C192" s="231" t="inlineStr">
        <is>
          <t>是</t>
        </is>
      </c>
      <c r="D192" s="231" t="n">
        <v>10</v>
      </c>
      <c r="E192" s="231" t="inlineStr"/>
      <c r="F192" s="231" t="inlineStr"/>
      <c r="G192" s="231" t="inlineStr"/>
      <c r="H192" s="231" t="inlineStr">
        <is>
          <t>是</t>
        </is>
      </c>
      <c r="I192" s="231" t="inlineStr">
        <is>
          <t>是</t>
        </is>
      </c>
      <c r="J192" s="27" t="inlineStr">
        <is>
          <t>共</t>
        </is>
      </c>
      <c r="K192" s="27" t="inlineStr"/>
      <c r="L192" s="231" t="n">
        <v>100</v>
      </c>
      <c r="M192" s="19" t="inlineStr">
        <is>
          <t>Product-E14FEADC</t>
        </is>
      </c>
      <c r="N192" s="231" t="n">
        <v>1</v>
      </c>
      <c r="O192" s="181">
        <f>SUM(P192:AB192)</f>
        <v/>
      </c>
      <c r="P192" s="182" t="n">
        <v>8</v>
      </c>
      <c r="Q192" s="182" t="n">
        <v>10.3</v>
      </c>
      <c r="R192" s="182" t="n">
        <v>6</v>
      </c>
      <c r="S192" s="182" t="n">
        <v>4.9</v>
      </c>
      <c r="T192" s="182" t="n">
        <v>6.1</v>
      </c>
      <c r="U192" s="182" t="n">
        <v>4.9</v>
      </c>
      <c r="V192" s="182" t="n">
        <v>4.8</v>
      </c>
      <c r="W192" s="182" t="n">
        <v>13.9</v>
      </c>
      <c r="X192" s="182" t="n">
        <v>8</v>
      </c>
      <c r="Y192" s="182" t="n">
        <v>5.8</v>
      </c>
      <c r="Z192" s="182" t="n">
        <v>6.3</v>
      </c>
      <c r="AA192" s="182" t="n">
        <v>4.4</v>
      </c>
      <c r="AB192" s="182" t="n">
        <v>3.7</v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4" t="n"/>
      <c r="B193" s="231" t="inlineStr">
        <is>
          <t>SKU-35C24552</t>
        </is>
      </c>
      <c r="C193" s="231" t="inlineStr">
        <is>
          <t>是</t>
        </is>
      </c>
      <c r="D193" s="231" t="n">
        <v>8</v>
      </c>
      <c r="E193" s="231" t="inlineStr"/>
      <c r="F193" s="231" t="inlineStr">
        <is>
          <t>是</t>
        </is>
      </c>
      <c r="G193" s="231" t="inlineStr"/>
      <c r="H193" s="231" t="inlineStr"/>
      <c r="I193" s="231" t="inlineStr">
        <is>
          <t>是</t>
        </is>
      </c>
      <c r="J193" s="27" t="inlineStr"/>
      <c r="K193" s="27" t="inlineStr"/>
      <c r="L193" s="231" t="n">
        <v>100</v>
      </c>
      <c r="M193" s="19" t="inlineStr">
        <is>
          <t>Product-37D16B86</t>
        </is>
      </c>
      <c r="N193" s="231" t="n">
        <v>1</v>
      </c>
      <c r="O193" s="181">
        <f>SUM(P193:AB193)</f>
        <v/>
      </c>
      <c r="P193" s="182" t="n">
        <v>75</v>
      </c>
      <c r="Q193" s="182" t="n">
        <v>89.7</v>
      </c>
      <c r="R193" s="182" t="n">
        <v>88</v>
      </c>
      <c r="S193" s="182" t="n">
        <v>42.9</v>
      </c>
      <c r="T193" s="182" t="n">
        <v>52.5</v>
      </c>
      <c r="U193" s="182" t="n">
        <v>42.9</v>
      </c>
      <c r="V193" s="182" t="n">
        <v>42</v>
      </c>
      <c r="W193" s="182" t="n">
        <v>119.1</v>
      </c>
      <c r="X193" s="182" t="n">
        <v>69.7</v>
      </c>
      <c r="Y193" s="182" t="n">
        <v>50.1</v>
      </c>
      <c r="Z193" s="182" t="n">
        <v>54.6</v>
      </c>
      <c r="AA193" s="182" t="n">
        <v>46.6</v>
      </c>
      <c r="AB193" s="182" t="n">
        <v>32.4</v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4" t="n"/>
      <c r="B194" s="231" t="inlineStr">
        <is>
          <t>SKU-2E4B7F7A</t>
        </is>
      </c>
      <c r="C194" s="231" t="inlineStr">
        <is>
          <t>是</t>
        </is>
      </c>
      <c r="D194" s="231" t="n">
        <v>8</v>
      </c>
      <c r="E194" s="231" t="inlineStr"/>
      <c r="F194" s="231" t="inlineStr">
        <is>
          <t>是</t>
        </is>
      </c>
      <c r="G194" s="231" t="inlineStr"/>
      <c r="H194" s="231" t="inlineStr"/>
      <c r="I194" s="231" t="inlineStr">
        <is>
          <t>是</t>
        </is>
      </c>
      <c r="J194" s="27" t="inlineStr"/>
      <c r="K194" s="27" t="inlineStr"/>
      <c r="L194" s="231" t="n">
        <v>100</v>
      </c>
      <c r="M194" s="19" t="inlineStr">
        <is>
          <t>Product-114C3CE1</t>
        </is>
      </c>
      <c r="N194" s="231" t="n">
        <v>1</v>
      </c>
      <c r="O194" s="181">
        <f>SUM(P194:AB194)</f>
        <v/>
      </c>
      <c r="P194" s="182" t="n">
        <v>12</v>
      </c>
      <c r="Q194" s="182" t="n">
        <v>14.7</v>
      </c>
      <c r="R194" s="182" t="n">
        <v>14.4</v>
      </c>
      <c r="S194" s="182" t="n">
        <v>7</v>
      </c>
      <c r="T194" s="182" t="n">
        <v>8.6</v>
      </c>
      <c r="U194" s="182" t="n">
        <v>7</v>
      </c>
      <c r="V194" s="182" t="n">
        <v>6.9</v>
      </c>
      <c r="W194" s="182" t="n">
        <v>19.6</v>
      </c>
      <c r="X194" s="182" t="n">
        <v>11.4</v>
      </c>
      <c r="Y194" s="182" t="n">
        <v>8.199999999999999</v>
      </c>
      <c r="Z194" s="182" t="n">
        <v>8.9</v>
      </c>
      <c r="AA194" s="182" t="n">
        <v>7.6</v>
      </c>
      <c r="AB194" s="182" t="n">
        <v>5.3</v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4" t="n"/>
      <c r="B195" s="231" t="inlineStr">
        <is>
          <t>SKU-C36EE9D8</t>
        </is>
      </c>
      <c r="C195" s="231" t="inlineStr">
        <is>
          <t>是</t>
        </is>
      </c>
      <c r="D195" s="231" t="n">
        <v>9</v>
      </c>
      <c r="E195" s="231" t="inlineStr"/>
      <c r="F195" s="231" t="inlineStr">
        <is>
          <t>是</t>
        </is>
      </c>
      <c r="G195" s="231" t="inlineStr"/>
      <c r="H195" s="231" t="inlineStr"/>
      <c r="I195" s="231" t="inlineStr">
        <is>
          <t>是</t>
        </is>
      </c>
      <c r="J195" s="27" t="inlineStr"/>
      <c r="K195" s="27" t="inlineStr"/>
      <c r="L195" s="231" t="n">
        <v>100</v>
      </c>
      <c r="M195" s="19" t="inlineStr">
        <is>
          <t>Product-63311DDA</t>
        </is>
      </c>
      <c r="N195" s="231" t="n">
        <v>1</v>
      </c>
      <c r="O195" s="181">
        <f>SUM(P195:AB195)</f>
        <v/>
      </c>
      <c r="P195" s="182" t="n">
        <v>7.3056</v>
      </c>
      <c r="Q195" s="182" t="n">
        <v>8.6784</v>
      </c>
      <c r="R195" s="182" t="n">
        <v>8.521599999999999</v>
      </c>
      <c r="S195" s="182" t="n">
        <v>4.1504</v>
      </c>
      <c r="T195" s="182" t="n">
        <v>5.0848</v>
      </c>
      <c r="U195" s="182" t="n">
        <v>4.1536</v>
      </c>
      <c r="V195" s="182" t="n">
        <v>4.0672</v>
      </c>
      <c r="W195" s="182" t="n">
        <v>11.504</v>
      </c>
      <c r="X195" s="182" t="n">
        <v>6.7456</v>
      </c>
      <c r="Y195" s="182" t="n">
        <v>4.848</v>
      </c>
      <c r="Z195" s="182" t="n">
        <v>5.2896</v>
      </c>
      <c r="AA195" s="182" t="n">
        <v>4.512</v>
      </c>
      <c r="AB195" s="182" t="n">
        <v>3.1392</v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4" t="n"/>
      <c r="B196" s="231" t="inlineStr">
        <is>
          <t>SKU-0235E86E</t>
        </is>
      </c>
      <c r="C196" s="231" t="inlineStr">
        <is>
          <t>是</t>
        </is>
      </c>
      <c r="D196" s="231" t="n">
        <v>8</v>
      </c>
      <c r="E196" s="231" t="inlineStr">
        <is>
          <t>是</t>
        </is>
      </c>
      <c r="F196" s="231" t="inlineStr"/>
      <c r="G196" s="231" t="inlineStr"/>
      <c r="H196" s="231" t="inlineStr"/>
      <c r="I196" s="231" t="inlineStr">
        <is>
          <t>是</t>
        </is>
      </c>
      <c r="J196" s="27" t="inlineStr"/>
      <c r="K196" s="27" t="inlineStr"/>
      <c r="L196" s="231" t="n">
        <v>100</v>
      </c>
      <c r="M196" s="45" t="inlineStr">
        <is>
          <t>Product-985CF026</t>
        </is>
      </c>
      <c r="N196" s="231" t="n">
        <v>1</v>
      </c>
      <c r="O196" s="181">
        <f>SUM(P196:AB196)</f>
        <v/>
      </c>
      <c r="P196" s="182" t="n">
        <v>18.7</v>
      </c>
      <c r="Q196" s="182" t="n">
        <v>22.2</v>
      </c>
      <c r="R196" s="182" t="n">
        <v>21.8</v>
      </c>
      <c r="S196" s="182" t="n">
        <v>10.6</v>
      </c>
      <c r="T196" s="182" t="n">
        <v>13</v>
      </c>
      <c r="U196" s="182" t="n">
        <v>10.6</v>
      </c>
      <c r="V196" s="182" t="n">
        <v>10.4</v>
      </c>
      <c r="W196" s="182" t="n">
        <v>29.8</v>
      </c>
      <c r="X196" s="182" t="n">
        <v>17.3</v>
      </c>
      <c r="Y196" s="182" t="n">
        <v>12.4</v>
      </c>
      <c r="Z196" s="182" t="n">
        <v>13.6</v>
      </c>
      <c r="AA196" s="182" t="n">
        <v>11.6</v>
      </c>
      <c r="AB196" s="182" t="n">
        <v>8</v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5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 t="n">
        <v>1533.3056</v>
      </c>
      <c r="Q197" s="51" t="n">
        <v>2060.3784</v>
      </c>
      <c r="R197" s="51" t="n">
        <v>1551.7216</v>
      </c>
      <c r="S197" s="51" t="n">
        <v>870.5504</v>
      </c>
      <c r="T197" s="51" t="n">
        <v>1108.0848</v>
      </c>
      <c r="U197" s="51" t="n">
        <v>832.5536</v>
      </c>
      <c r="V197" s="51" t="n">
        <v>805.5672</v>
      </c>
      <c r="W197" s="51" t="n">
        <v>2541.904</v>
      </c>
      <c r="X197" s="51" t="n">
        <v>1136.5456</v>
      </c>
      <c r="Y197" s="51" t="n">
        <v>784.248</v>
      </c>
      <c r="Z197" s="51" t="n">
        <v>746.4896</v>
      </c>
      <c r="AA197" s="51" t="n">
        <v>799.312</v>
      </c>
      <c r="AB197" s="51" t="n">
        <v>445.0392</v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31" t="inlineStr">
        <is>
          <t>SKU-90D85FFD</t>
        </is>
      </c>
      <c r="C198" s="231" t="inlineStr">
        <is>
          <t>是</t>
        </is>
      </c>
      <c r="D198" s="231" t="n">
        <v>10</v>
      </c>
      <c r="E198" s="231" t="inlineStr"/>
      <c r="F198" s="231" t="inlineStr"/>
      <c r="G198" s="231" t="inlineStr"/>
      <c r="H198" s="231" t="inlineStr"/>
      <c r="I198" s="231" t="inlineStr"/>
      <c r="J198" s="27" t="inlineStr"/>
      <c r="K198" s="27" t="inlineStr"/>
      <c r="L198" s="231" t="n">
        <v>100</v>
      </c>
      <c r="M198" s="44" t="inlineStr">
        <is>
          <t>Product-8495CF82</t>
        </is>
      </c>
      <c r="N198" s="231" t="n">
        <v>3</v>
      </c>
      <c r="O198" s="181">
        <f>SUM(P198:AB198)</f>
        <v/>
      </c>
      <c r="P198" s="182" t="n">
        <v>0</v>
      </c>
      <c r="Q198" s="182" t="n">
        <v>0</v>
      </c>
      <c r="R198" s="182" t="n">
        <v>0</v>
      </c>
      <c r="S198" s="182" t="n">
        <v>0</v>
      </c>
      <c r="T198" s="182" t="n">
        <v>0</v>
      </c>
      <c r="U198" s="182" t="n">
        <v>0</v>
      </c>
      <c r="V198" s="182" t="n">
        <v>0</v>
      </c>
      <c r="W198" s="182" t="n">
        <v>0</v>
      </c>
      <c r="X198" s="182" t="n">
        <v>0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4" t="n"/>
      <c r="B199" s="231" t="inlineStr">
        <is>
          <t>SKU-0CA1EAE0</t>
        </is>
      </c>
      <c r="C199" s="231" t="inlineStr">
        <is>
          <t>是</t>
        </is>
      </c>
      <c r="D199" s="231" t="n">
        <v>10</v>
      </c>
      <c r="E199" s="231" t="inlineStr"/>
      <c r="F199" s="231" t="inlineStr"/>
      <c r="G199" s="231" t="inlineStr"/>
      <c r="H199" s="231" t="inlineStr"/>
      <c r="I199" s="231" t="inlineStr"/>
      <c r="J199" s="27" t="inlineStr"/>
      <c r="K199" s="27" t="inlineStr"/>
      <c r="L199" s="231" t="n">
        <v>100</v>
      </c>
      <c r="M199" s="19" t="inlineStr">
        <is>
          <t>Product-3E742E78</t>
        </is>
      </c>
      <c r="N199" s="231" t="n">
        <v>3</v>
      </c>
      <c r="O199" s="181">
        <f>SUM(P199:AB199)</f>
        <v/>
      </c>
      <c r="P199" s="182" t="n">
        <v>179</v>
      </c>
      <c r="Q199" s="182" t="n">
        <v>175</v>
      </c>
      <c r="R199" s="182" t="n">
        <v>189</v>
      </c>
      <c r="S199" s="182" t="n">
        <v>102</v>
      </c>
      <c r="T199" s="182" t="n">
        <v>118</v>
      </c>
      <c r="U199" s="182" t="n">
        <v>116</v>
      </c>
      <c r="V199" s="182" t="n">
        <v>87</v>
      </c>
      <c r="W199" s="182" t="n">
        <v>274</v>
      </c>
      <c r="X199" s="182" t="n">
        <v>207</v>
      </c>
      <c r="Y199" s="182" t="n">
        <v>138</v>
      </c>
      <c r="Z199" s="182" t="n">
        <v>140</v>
      </c>
      <c r="AA199" s="182" t="n">
        <v>136</v>
      </c>
      <c r="AB199" s="182" t="n">
        <v>119</v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4" t="n"/>
      <c r="B200" s="231" t="inlineStr">
        <is>
          <t>SKU-1A13518F</t>
        </is>
      </c>
      <c r="C200" s="231" t="inlineStr">
        <is>
          <t>是</t>
        </is>
      </c>
      <c r="D200" s="231" t="n">
        <v>8</v>
      </c>
      <c r="E200" s="231" t="inlineStr"/>
      <c r="F200" s="231" t="inlineStr">
        <is>
          <t>是</t>
        </is>
      </c>
      <c r="G200" s="231" t="inlineStr"/>
      <c r="H200" s="231" t="inlineStr"/>
      <c r="I200" s="231" t="inlineStr">
        <is>
          <t>是</t>
        </is>
      </c>
      <c r="J200" s="27" t="inlineStr"/>
      <c r="K200" s="27" t="inlineStr"/>
      <c r="L200" s="231" t="n">
        <v>100</v>
      </c>
      <c r="M200" s="19" t="inlineStr">
        <is>
          <t>Product-8FB93E92</t>
        </is>
      </c>
      <c r="N200" s="231" t="n">
        <v>1</v>
      </c>
      <c r="O200" s="181">
        <f>SUM(P200:AB200)</f>
        <v/>
      </c>
      <c r="P200" s="182" t="n">
        <v>9.4</v>
      </c>
      <c r="Q200" s="182" t="n">
        <v>11.1</v>
      </c>
      <c r="R200" s="182" t="n">
        <v>10.9</v>
      </c>
      <c r="S200" s="182" t="n">
        <v>5.3</v>
      </c>
      <c r="T200" s="182" t="n">
        <v>6.5</v>
      </c>
      <c r="U200" s="182" t="n">
        <v>5.3</v>
      </c>
      <c r="V200" s="182" t="n">
        <v>5.2</v>
      </c>
      <c r="W200" s="182" t="n">
        <v>14.9</v>
      </c>
      <c r="X200" s="182" t="n">
        <v>8.6</v>
      </c>
      <c r="Y200" s="182" t="n">
        <v>6.2</v>
      </c>
      <c r="Z200" s="182" t="n">
        <v>6.8</v>
      </c>
      <c r="AA200" s="182" t="n">
        <v>5.8</v>
      </c>
      <c r="AB200" s="182" t="n">
        <v>4</v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4" t="n"/>
      <c r="B201" s="231" t="inlineStr">
        <is>
          <t>SKU-ED5BD0B6</t>
        </is>
      </c>
      <c r="C201" s="231" t="inlineStr">
        <is>
          <t>是</t>
        </is>
      </c>
      <c r="D201" s="231" t="n">
        <v>11</v>
      </c>
      <c r="E201" s="231" t="inlineStr"/>
      <c r="F201" s="231" t="inlineStr"/>
      <c r="G201" s="231" t="inlineStr"/>
      <c r="H201" s="231" t="inlineStr"/>
      <c r="I201" s="231" t="inlineStr"/>
      <c r="J201" s="27" t="inlineStr">
        <is>
          <t>共</t>
        </is>
      </c>
      <c r="K201" s="27" t="inlineStr"/>
      <c r="L201" s="231" t="n">
        <v>100</v>
      </c>
      <c r="M201" s="19" t="inlineStr">
        <is>
          <t>Product-37500256</t>
        </is>
      </c>
      <c r="N201" s="231" t="n">
        <v>1</v>
      </c>
      <c r="O201" s="181">
        <f>SUM(P201:AB201)</f>
        <v/>
      </c>
      <c r="P201" s="182" t="n">
        <v>7.5</v>
      </c>
      <c r="Q201" s="182" t="n">
        <v>8.9</v>
      </c>
      <c r="R201" s="182" t="n">
        <v>8.699999999999999</v>
      </c>
      <c r="S201" s="182" t="n">
        <v>4.3</v>
      </c>
      <c r="T201" s="182" t="n">
        <v>5.2</v>
      </c>
      <c r="U201" s="182" t="n">
        <v>4.3</v>
      </c>
      <c r="V201" s="182" t="n">
        <v>4.2</v>
      </c>
      <c r="W201" s="182" t="n">
        <v>11.8</v>
      </c>
      <c r="X201" s="182" t="n">
        <v>6.9</v>
      </c>
      <c r="Y201" s="182" t="n">
        <v>5</v>
      </c>
      <c r="Z201" s="182" t="n">
        <v>5.4</v>
      </c>
      <c r="AA201" s="182" t="n">
        <v>4.6</v>
      </c>
      <c r="AB201" s="182" t="n">
        <v>3.2</v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4" t="n"/>
      <c r="B202" s="231" t="inlineStr">
        <is>
          <t>SKU-CC550B39</t>
        </is>
      </c>
      <c r="C202" s="231" t="inlineStr">
        <is>
          <t>是</t>
        </is>
      </c>
      <c r="D202" s="231" t="n">
        <v>8</v>
      </c>
      <c r="E202" s="231" t="inlineStr">
        <is>
          <t>是</t>
        </is>
      </c>
      <c r="F202" s="231" t="inlineStr"/>
      <c r="G202" s="231" t="inlineStr"/>
      <c r="H202" s="231" t="inlineStr"/>
      <c r="I202" s="231" t="inlineStr">
        <is>
          <t>是</t>
        </is>
      </c>
      <c r="J202" s="27" t="inlineStr"/>
      <c r="K202" s="27" t="inlineStr"/>
      <c r="L202" s="231" t="n">
        <v>100</v>
      </c>
      <c r="M202" s="19" t="inlineStr">
        <is>
          <t>Product-A79881AA</t>
        </is>
      </c>
      <c r="N202" s="231" t="n">
        <v>2</v>
      </c>
      <c r="O202" s="181">
        <f>SUM(P202:AB202)</f>
        <v/>
      </c>
      <c r="P202" s="182" t="n">
        <v>10</v>
      </c>
      <c r="Q202" s="182" t="n">
        <v>43</v>
      </c>
      <c r="R202" s="182" t="n">
        <v>7</v>
      </c>
      <c r="S202" s="182" t="n">
        <v>8</v>
      </c>
      <c r="T202" s="182" t="n">
        <v>20</v>
      </c>
      <c r="U202" s="182" t="n">
        <v>20</v>
      </c>
      <c r="V202" s="182" t="n">
        <v>20</v>
      </c>
      <c r="W202" s="182" t="n">
        <v>30</v>
      </c>
      <c r="X202" s="182" t="n">
        <v>128</v>
      </c>
      <c r="Y202" s="182" t="n">
        <v>35</v>
      </c>
      <c r="Z202" s="182" t="n">
        <v>0</v>
      </c>
      <c r="AA202" s="182" t="n">
        <v>21.2</v>
      </c>
      <c r="AB202" s="182" t="n">
        <v>12</v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4" t="n"/>
      <c r="B203" s="231" t="inlineStr">
        <is>
          <t>SKU-B8E6833E</t>
        </is>
      </c>
      <c r="C203" s="231" t="inlineStr">
        <is>
          <t>是</t>
        </is>
      </c>
      <c r="D203" s="231" t="n">
        <v>7</v>
      </c>
      <c r="E203" s="231" t="inlineStr">
        <is>
          <t>是</t>
        </is>
      </c>
      <c r="F203" s="231" t="inlineStr"/>
      <c r="G203" s="231" t="inlineStr"/>
      <c r="H203" s="231" t="inlineStr"/>
      <c r="I203" s="231" t="inlineStr">
        <is>
          <t>是</t>
        </is>
      </c>
      <c r="J203" s="27" t="inlineStr">
        <is>
          <t>共</t>
        </is>
      </c>
      <c r="K203" s="27" t="inlineStr"/>
      <c r="L203" s="231" t="n">
        <v>100</v>
      </c>
      <c r="M203" s="19" t="inlineStr">
        <is>
          <t>Product-54830959</t>
        </is>
      </c>
      <c r="N203" s="231" t="n">
        <v>1</v>
      </c>
      <c r="O203" s="181">
        <f>SUM(P203:AB203)</f>
        <v/>
      </c>
      <c r="P203" s="182" t="n">
        <v>20.6</v>
      </c>
      <c r="Q203" s="182" t="n">
        <v>24.5</v>
      </c>
      <c r="R203" s="182" t="n">
        <v>24</v>
      </c>
      <c r="S203" s="182" t="n">
        <v>11.7</v>
      </c>
      <c r="T203" s="182" t="n">
        <v>14.3</v>
      </c>
      <c r="U203" s="182" t="n">
        <v>11.7</v>
      </c>
      <c r="V203" s="182" t="n">
        <v>11.5</v>
      </c>
      <c r="W203" s="182" t="n">
        <v>32.5</v>
      </c>
      <c r="X203" s="182" t="n">
        <v>19</v>
      </c>
      <c r="Y203" s="182" t="n">
        <v>13.7</v>
      </c>
      <c r="Z203" s="182" t="n">
        <v>14.9</v>
      </c>
      <c r="AA203" s="182" t="n">
        <v>12.7</v>
      </c>
      <c r="AB203" s="182" t="n">
        <v>8.9</v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4" t="n"/>
      <c r="B204" s="231" t="inlineStr">
        <is>
          <t>SKU-BDBE5AF3</t>
        </is>
      </c>
      <c r="C204" s="231" t="inlineStr">
        <is>
          <t>是</t>
        </is>
      </c>
      <c r="D204" s="231" t="n">
        <v>10</v>
      </c>
      <c r="E204" s="231" t="inlineStr"/>
      <c r="F204" s="231" t="inlineStr"/>
      <c r="G204" s="231" t="inlineStr"/>
      <c r="H204" s="231" t="inlineStr"/>
      <c r="I204" s="231" t="inlineStr"/>
      <c r="J204" s="27" t="inlineStr">
        <is>
          <t>共</t>
        </is>
      </c>
      <c r="K204" s="27" t="inlineStr"/>
      <c r="L204" s="231" t="n">
        <v>100</v>
      </c>
      <c r="M204" s="19" t="inlineStr">
        <is>
          <t>Product-D0D1552E</t>
        </is>
      </c>
      <c r="N204" s="231" t="n">
        <v>1</v>
      </c>
      <c r="O204" s="181">
        <f>SUM(P204:AB204)</f>
        <v/>
      </c>
      <c r="P204" s="182" t="n">
        <v>3.7</v>
      </c>
      <c r="Q204" s="182" t="n">
        <v>4.4</v>
      </c>
      <c r="R204" s="182" t="n">
        <v>4.4</v>
      </c>
      <c r="S204" s="182" t="n">
        <v>2.1</v>
      </c>
      <c r="T204" s="182" t="n">
        <v>2.6</v>
      </c>
      <c r="U204" s="182" t="n">
        <v>2.1</v>
      </c>
      <c r="V204" s="182" t="n">
        <v>2.1</v>
      </c>
      <c r="W204" s="182" t="n">
        <v>6</v>
      </c>
      <c r="X204" s="182" t="n">
        <v>3.5</v>
      </c>
      <c r="Y204" s="182" t="n">
        <v>2.5</v>
      </c>
      <c r="Z204" s="182" t="n">
        <v>2.7</v>
      </c>
      <c r="AA204" s="182" t="n">
        <v>2.3</v>
      </c>
      <c r="AB204" s="182" t="n">
        <v>1.6</v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4" t="n"/>
      <c r="B205" s="231" t="inlineStr">
        <is>
          <t>SKU-79826401</t>
        </is>
      </c>
      <c r="C205" s="231" t="inlineStr">
        <is>
          <t>是</t>
        </is>
      </c>
      <c r="D205" s="231" t="n">
        <v>8</v>
      </c>
      <c r="E205" s="231" t="inlineStr"/>
      <c r="F205" s="231" t="inlineStr"/>
      <c r="G205" s="231" t="inlineStr"/>
      <c r="H205" s="231" t="inlineStr"/>
      <c r="I205" s="231" t="inlineStr"/>
      <c r="J205" s="27" t="inlineStr"/>
      <c r="K205" s="27" t="inlineStr"/>
      <c r="L205" s="231" t="n">
        <v>100</v>
      </c>
      <c r="M205" s="19" t="inlineStr">
        <is>
          <t>Product-452F733D</t>
        </is>
      </c>
      <c r="N205" s="231" t="n">
        <v>3</v>
      </c>
      <c r="O205" s="181">
        <f>SUM(P205:AB205)</f>
        <v/>
      </c>
      <c r="P205" s="182" t="n">
        <v>124</v>
      </c>
      <c r="Q205" s="182" t="n">
        <v>50</v>
      </c>
      <c r="R205" s="182" t="n">
        <v>50</v>
      </c>
      <c r="S205" s="182" t="n">
        <v>22</v>
      </c>
      <c r="T205" s="182" t="n">
        <v>31</v>
      </c>
      <c r="U205" s="182" t="n">
        <v>44.7</v>
      </c>
      <c r="V205" s="182" t="n">
        <v>20</v>
      </c>
      <c r="W205" s="182" t="n">
        <v>50</v>
      </c>
      <c r="X205" s="182" t="n">
        <v>37.5</v>
      </c>
      <c r="Y205" s="182" t="n">
        <v>60</v>
      </c>
      <c r="Z205" s="182" t="n">
        <v>60</v>
      </c>
      <c r="AA205" s="182" t="n">
        <v>10</v>
      </c>
      <c r="AB205" s="182" t="n">
        <v>45</v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4" t="n"/>
      <c r="B206" s="231" t="inlineStr">
        <is>
          <t>SKU-DB6C02A0</t>
        </is>
      </c>
      <c r="C206" s="231" t="inlineStr">
        <is>
          <t>是</t>
        </is>
      </c>
      <c r="D206" s="231" t="n">
        <v>10</v>
      </c>
      <c r="E206" s="231" t="inlineStr"/>
      <c r="F206" s="231" t="inlineStr"/>
      <c r="G206" s="231" t="inlineStr"/>
      <c r="H206" s="231" t="inlineStr"/>
      <c r="I206" s="231" t="inlineStr"/>
      <c r="J206" s="27" t="inlineStr"/>
      <c r="K206" s="27" t="inlineStr"/>
      <c r="L206" s="231" t="n">
        <v>100</v>
      </c>
      <c r="M206" s="19" t="inlineStr">
        <is>
          <t>Product-18DC03C1</t>
        </is>
      </c>
      <c r="N206" s="231" t="n">
        <v>2</v>
      </c>
      <c r="O206" s="181">
        <f>SUM(P206:AB206)</f>
        <v/>
      </c>
      <c r="P206" s="182" t="n">
        <v>10</v>
      </c>
      <c r="Q206" s="182" t="n">
        <v>25</v>
      </c>
      <c r="R206" s="182" t="n">
        <v>30</v>
      </c>
      <c r="S206" s="182" t="n">
        <v>8</v>
      </c>
      <c r="T206" s="182" t="n">
        <v>24</v>
      </c>
      <c r="U206" s="182" t="n">
        <v>10</v>
      </c>
      <c r="V206" s="182" t="n">
        <v>25</v>
      </c>
      <c r="W206" s="182" t="n">
        <v>100</v>
      </c>
      <c r="X206" s="182" t="n">
        <v>38.5</v>
      </c>
      <c r="Y206" s="182" t="n">
        <v>30</v>
      </c>
      <c r="Z206" s="182" t="n">
        <v>46</v>
      </c>
      <c r="AA206" s="182" t="n">
        <v>18</v>
      </c>
      <c r="AB206" s="182" t="n">
        <v>4</v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4" t="n"/>
      <c r="B207" s="231" t="inlineStr">
        <is>
          <t>SKU-E14497CA</t>
        </is>
      </c>
      <c r="C207" s="231" t="inlineStr">
        <is>
          <t>是</t>
        </is>
      </c>
      <c r="D207" s="231" t="n">
        <v>11</v>
      </c>
      <c r="E207" s="231" t="inlineStr"/>
      <c r="F207" s="231" t="inlineStr"/>
      <c r="G207" s="231" t="inlineStr"/>
      <c r="H207" s="231" t="inlineStr"/>
      <c r="I207" s="231" t="inlineStr"/>
      <c r="J207" s="27" t="inlineStr">
        <is>
          <t>共</t>
        </is>
      </c>
      <c r="K207" s="27" t="inlineStr"/>
      <c r="L207" s="231" t="n">
        <v>100</v>
      </c>
      <c r="M207" s="19" t="inlineStr">
        <is>
          <t>Product-AC3C224F</t>
        </is>
      </c>
      <c r="N207" s="231" t="n">
        <v>1</v>
      </c>
      <c r="O207" s="181">
        <f>SUM(P207:AB207)</f>
        <v/>
      </c>
      <c r="P207" s="182" t="n">
        <v>240</v>
      </c>
      <c r="Q207" s="182" t="n">
        <v>218</v>
      </c>
      <c r="R207" s="182" t="n">
        <v>305</v>
      </c>
      <c r="S207" s="182" t="n">
        <v>85</v>
      </c>
      <c r="T207" s="182" t="n">
        <v>150</v>
      </c>
      <c r="U207" s="182" t="n">
        <v>126</v>
      </c>
      <c r="V207" s="182" t="n">
        <v>110</v>
      </c>
      <c r="W207" s="182" t="n">
        <v>485</v>
      </c>
      <c r="X207" s="182" t="n">
        <v>143.8</v>
      </c>
      <c r="Y207" s="182" t="n">
        <v>180</v>
      </c>
      <c r="Z207" s="182" t="n">
        <v>180</v>
      </c>
      <c r="AA207" s="182" t="n">
        <v>185.6</v>
      </c>
      <c r="AB207" s="182" t="n">
        <v>85</v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4" t="n"/>
      <c r="B208" s="231" t="inlineStr">
        <is>
          <t>SKU-6CCA830B</t>
        </is>
      </c>
      <c r="C208" s="231" t="inlineStr">
        <is>
          <t>是</t>
        </is>
      </c>
      <c r="D208" s="231" t="n">
        <v>10</v>
      </c>
      <c r="E208" s="231" t="inlineStr"/>
      <c r="F208" s="231" t="inlineStr"/>
      <c r="G208" s="231" t="inlineStr"/>
      <c r="H208" s="231" t="inlineStr"/>
      <c r="I208" s="231" t="inlineStr"/>
      <c r="J208" s="27" t="inlineStr"/>
      <c r="K208" s="27" t="inlineStr"/>
      <c r="L208" s="231" t="n">
        <v>100</v>
      </c>
      <c r="M208" s="44" t="inlineStr">
        <is>
          <t>Product-CA7C0C7F</t>
        </is>
      </c>
      <c r="N208" s="231" t="n">
        <v>1</v>
      </c>
      <c r="O208" s="181">
        <f>SUM(P208:AB208)</f>
        <v/>
      </c>
      <c r="P208" s="182" t="n">
        <v>0</v>
      </c>
      <c r="Q208" s="182" t="n">
        <v>0</v>
      </c>
      <c r="R208" s="182" t="n">
        <v>0</v>
      </c>
      <c r="S208" s="182" t="n">
        <v>0</v>
      </c>
      <c r="T208" s="182" t="n">
        <v>0</v>
      </c>
      <c r="U208" s="182" t="n">
        <v>0</v>
      </c>
      <c r="V208" s="182" t="n">
        <v>0</v>
      </c>
      <c r="W208" s="182" t="n">
        <v>0</v>
      </c>
      <c r="X208" s="182" t="n">
        <v>0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4" t="n"/>
      <c r="B209" s="231" t="inlineStr">
        <is>
          <t>SKU-E3215199</t>
        </is>
      </c>
      <c r="C209" s="231" t="inlineStr">
        <is>
          <t>是</t>
        </is>
      </c>
      <c r="D209" s="231" t="n">
        <v>8</v>
      </c>
      <c r="E209" s="231" t="inlineStr">
        <is>
          <t>是</t>
        </is>
      </c>
      <c r="F209" s="231" t="inlineStr"/>
      <c r="G209" s="231" t="inlineStr"/>
      <c r="H209" s="231" t="inlineStr">
        <is>
          <t>是</t>
        </is>
      </c>
      <c r="I209" s="231" t="inlineStr">
        <is>
          <t>是</t>
        </is>
      </c>
      <c r="J209" s="27" t="inlineStr"/>
      <c r="K209" s="27" t="inlineStr"/>
      <c r="L209" s="231" t="n">
        <v>100</v>
      </c>
      <c r="M209" s="19" t="inlineStr">
        <is>
          <t>Product-785E134D</t>
        </is>
      </c>
      <c r="N209" s="231" t="n">
        <v>1</v>
      </c>
      <c r="O209" s="181">
        <f>SUM(P209:AB209)</f>
        <v/>
      </c>
      <c r="P209" s="182" t="n">
        <v>108.8</v>
      </c>
      <c r="Q209" s="182" t="n">
        <v>123.2</v>
      </c>
      <c r="R209" s="182" t="n">
        <v>41.1</v>
      </c>
      <c r="S209" s="182" t="n">
        <v>39</v>
      </c>
      <c r="T209" s="182" t="n">
        <v>51.3</v>
      </c>
      <c r="U209" s="182" t="n">
        <v>49.3</v>
      </c>
      <c r="V209" s="182" t="n">
        <v>88.3</v>
      </c>
      <c r="W209" s="182" t="n">
        <v>251.5</v>
      </c>
      <c r="X209" s="182" t="n">
        <v>53</v>
      </c>
      <c r="Y209" s="182" t="n">
        <v>71.90000000000001</v>
      </c>
      <c r="Z209" s="182" t="n">
        <v>24.6</v>
      </c>
      <c r="AA209" s="182" t="n">
        <v>20.5</v>
      </c>
      <c r="AB209" s="182" t="n">
        <v>57.5</v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4" t="n"/>
      <c r="B210" s="231" t="inlineStr">
        <is>
          <t>SKU-68F79613</t>
        </is>
      </c>
      <c r="C210" s="231" t="inlineStr">
        <is>
          <t>是</t>
        </is>
      </c>
      <c r="D210" s="231" t="n">
        <v>10</v>
      </c>
      <c r="E210" s="231" t="inlineStr"/>
      <c r="F210" s="231" t="inlineStr">
        <is>
          <t>是</t>
        </is>
      </c>
      <c r="G210" s="231" t="inlineStr"/>
      <c r="H210" s="231" t="inlineStr"/>
      <c r="I210" s="231" t="inlineStr">
        <is>
          <t>是</t>
        </is>
      </c>
      <c r="J210" s="27" t="inlineStr">
        <is>
          <t>共</t>
        </is>
      </c>
      <c r="K210" s="27" t="inlineStr"/>
      <c r="L210" s="231" t="n">
        <v>100</v>
      </c>
      <c r="M210" s="19" t="inlineStr">
        <is>
          <t>Product-4107E6DB</t>
        </is>
      </c>
      <c r="N210" s="231" t="n">
        <v>1</v>
      </c>
      <c r="O210" s="181">
        <f>SUM(P210:AB210)</f>
        <v/>
      </c>
      <c r="P210" s="182" t="n">
        <v>20.6</v>
      </c>
      <c r="Q210" s="182" t="n">
        <v>24.5</v>
      </c>
      <c r="R210" s="182" t="n">
        <v>14</v>
      </c>
      <c r="S210" s="182" t="n">
        <v>11.7</v>
      </c>
      <c r="T210" s="182" t="n">
        <v>14.3</v>
      </c>
      <c r="U210" s="182" t="n">
        <v>11.7</v>
      </c>
      <c r="V210" s="182" t="n">
        <v>11.5</v>
      </c>
      <c r="W210" s="182" t="n">
        <v>32.5</v>
      </c>
      <c r="X210" s="182" t="n">
        <v>19</v>
      </c>
      <c r="Y210" s="182" t="n">
        <v>13.7</v>
      </c>
      <c r="Z210" s="182" t="n">
        <v>14.9</v>
      </c>
      <c r="AA210" s="182" t="n">
        <v>12.7</v>
      </c>
      <c r="AB210" s="182" t="n">
        <v>8.9</v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4" t="n"/>
      <c r="B211" s="231" t="inlineStr">
        <is>
          <t>SKU-6E0FD480</t>
        </is>
      </c>
      <c r="C211" s="231" t="inlineStr">
        <is>
          <t>是</t>
        </is>
      </c>
      <c r="D211" s="231" t="n">
        <v>10</v>
      </c>
      <c r="E211" s="231" t="inlineStr"/>
      <c r="F211" s="231" t="inlineStr"/>
      <c r="G211" s="231" t="inlineStr"/>
      <c r="H211" s="231" t="inlineStr"/>
      <c r="I211" s="231" t="inlineStr"/>
      <c r="J211" s="27" t="inlineStr"/>
      <c r="K211" s="27" t="inlineStr"/>
      <c r="L211" s="231" t="n">
        <v>100</v>
      </c>
      <c r="M211" s="43" t="inlineStr">
        <is>
          <t>Product-0D40CFCC</t>
        </is>
      </c>
      <c r="N211" s="231" t="n">
        <v>1</v>
      </c>
      <c r="O211" s="181">
        <f>SUM(P211:AB211)</f>
        <v/>
      </c>
      <c r="P211" s="182" t="n">
        <v>0</v>
      </c>
      <c r="Q211" s="182" t="n">
        <v>0</v>
      </c>
      <c r="R211" s="182" t="n">
        <v>0</v>
      </c>
      <c r="S211" s="182" t="n">
        <v>0</v>
      </c>
      <c r="T211" s="182" t="n">
        <v>0</v>
      </c>
      <c r="U211" s="182" t="n">
        <v>0</v>
      </c>
      <c r="V211" s="182" t="n">
        <v>0</v>
      </c>
      <c r="W211" s="182" t="n">
        <v>0</v>
      </c>
      <c r="X211" s="182" t="n">
        <v>0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4" t="n"/>
      <c r="B212" s="231" t="inlineStr">
        <is>
          <t>SKU-72F9B4C9</t>
        </is>
      </c>
      <c r="C212" s="231" t="inlineStr">
        <is>
          <t>是</t>
        </is>
      </c>
      <c r="D212" s="231" t="n">
        <v>5</v>
      </c>
      <c r="E212" s="231" t="inlineStr">
        <is>
          <t>是</t>
        </is>
      </c>
      <c r="F212" s="231" t="inlineStr"/>
      <c r="G212" s="231" t="inlineStr"/>
      <c r="H212" s="231" t="inlineStr"/>
      <c r="I212" s="231" t="inlineStr">
        <is>
          <t>是</t>
        </is>
      </c>
      <c r="J212" s="27" t="inlineStr"/>
      <c r="K212" s="27" t="inlineStr"/>
      <c r="L212" s="231" t="n">
        <v>100</v>
      </c>
      <c r="M212" s="45" t="inlineStr">
        <is>
          <t>Product-3E6ACFC9</t>
        </is>
      </c>
      <c r="N212" s="231" t="n">
        <v>1</v>
      </c>
      <c r="O212" s="181">
        <f>SUM(P212:AB212)</f>
        <v/>
      </c>
      <c r="P212" s="182" t="n">
        <v>0.5</v>
      </c>
      <c r="Q212" s="182" t="n">
        <v>0.6</v>
      </c>
      <c r="R212" s="182" t="n">
        <v>0.5</v>
      </c>
      <c r="S212" s="182" t="n">
        <v>0.3</v>
      </c>
      <c r="T212" s="182" t="n">
        <v>0.3</v>
      </c>
      <c r="U212" s="182" t="n">
        <v>0.3</v>
      </c>
      <c r="V212" s="182" t="n">
        <v>0.3</v>
      </c>
      <c r="W212" s="182" t="n">
        <v>0.7</v>
      </c>
      <c r="X212" s="182" t="n">
        <v>0.4</v>
      </c>
      <c r="Y212" s="182" t="n">
        <v>0.3</v>
      </c>
      <c r="Z212" s="182" t="n">
        <v>0.3</v>
      </c>
      <c r="AA212" s="182" t="n">
        <v>0.3</v>
      </c>
      <c r="AB212" s="182" t="n">
        <v>0.2</v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4" t="n"/>
      <c r="B213" s="231" t="inlineStr">
        <is>
          <t>SKU-1F2C7CE6</t>
        </is>
      </c>
      <c r="C213" s="231" t="inlineStr">
        <is>
          <t>是</t>
        </is>
      </c>
      <c r="D213" s="231" t="n">
        <v>5</v>
      </c>
      <c r="E213" s="231" t="inlineStr">
        <is>
          <t>是</t>
        </is>
      </c>
      <c r="F213" s="231" t="inlineStr"/>
      <c r="G213" s="231" t="inlineStr"/>
      <c r="H213" s="231" t="inlineStr"/>
      <c r="I213" s="231" t="inlineStr">
        <is>
          <t>是</t>
        </is>
      </c>
      <c r="J213" s="27" t="inlineStr"/>
      <c r="K213" s="27" t="inlineStr"/>
      <c r="L213" s="231" t="n">
        <v>100</v>
      </c>
      <c r="M213" s="45" t="inlineStr">
        <is>
          <t>Product-54D1E3E5</t>
        </is>
      </c>
      <c r="N213" s="231" t="n">
        <v>1</v>
      </c>
      <c r="O213" s="181">
        <f>SUM(P213:AB213)</f>
        <v/>
      </c>
      <c r="P213" s="182" t="n">
        <v>8.9</v>
      </c>
      <c r="Q213" s="182" t="n">
        <v>10.5</v>
      </c>
      <c r="R213" s="182" t="n">
        <v>10.4</v>
      </c>
      <c r="S213" s="182" t="n">
        <v>5</v>
      </c>
      <c r="T213" s="182" t="n">
        <v>6.2</v>
      </c>
      <c r="U213" s="182" t="n">
        <v>5</v>
      </c>
      <c r="V213" s="182" t="n">
        <v>4.9</v>
      </c>
      <c r="W213" s="182" t="n">
        <v>14.2</v>
      </c>
      <c r="X213" s="182" t="n">
        <v>8.199999999999999</v>
      </c>
      <c r="Y213" s="182" t="n">
        <v>5.9</v>
      </c>
      <c r="Z213" s="182" t="n">
        <v>6.5</v>
      </c>
      <c r="AA213" s="182" t="n">
        <v>5.5</v>
      </c>
      <c r="AB213" s="182" t="n">
        <v>3.8</v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4" t="n"/>
      <c r="B214" s="231" t="inlineStr">
        <is>
          <t>SKU-BA48AA06</t>
        </is>
      </c>
      <c r="C214" s="231" t="inlineStr">
        <is>
          <t>是</t>
        </is>
      </c>
      <c r="D214" s="231" t="n">
        <v>8</v>
      </c>
      <c r="E214" s="231" t="inlineStr"/>
      <c r="F214" s="231" t="inlineStr"/>
      <c r="G214" s="231" t="inlineStr"/>
      <c r="H214" s="231" t="inlineStr"/>
      <c r="I214" s="231" t="inlineStr"/>
      <c r="J214" s="27" t="inlineStr"/>
      <c r="K214" s="27" t="inlineStr"/>
      <c r="L214" s="231" t="n">
        <v>100</v>
      </c>
      <c r="M214" s="45" t="inlineStr">
        <is>
          <t>Product-51A3BAAC</t>
        </is>
      </c>
      <c r="N214" s="231" t="n">
        <v>1</v>
      </c>
      <c r="O214" s="181">
        <f>SUM(P214:AB214)</f>
        <v/>
      </c>
      <c r="P214" s="182" t="n">
        <v>9.199999999999999</v>
      </c>
      <c r="Q214" s="182" t="n">
        <v>11</v>
      </c>
      <c r="R214" s="182" t="n">
        <v>10.8</v>
      </c>
      <c r="S214" s="182" t="n">
        <v>5.3</v>
      </c>
      <c r="T214" s="182" t="n">
        <v>6.4</v>
      </c>
      <c r="U214" s="182" t="n">
        <v>5.3</v>
      </c>
      <c r="V214" s="182" t="n">
        <v>5.2</v>
      </c>
      <c r="W214" s="182" t="n">
        <v>14.6</v>
      </c>
      <c r="X214" s="182" t="n">
        <v>8.6</v>
      </c>
      <c r="Y214" s="182" t="n">
        <v>6.2</v>
      </c>
      <c r="Z214" s="182" t="n">
        <v>6.7</v>
      </c>
      <c r="AA214" s="182" t="n">
        <v>5.7</v>
      </c>
      <c r="AB214" s="182" t="n">
        <v>4</v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5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 t="n">
        <v>752.2</v>
      </c>
      <c r="Q215" s="51" t="n">
        <v>729.7</v>
      </c>
      <c r="R215" s="51" t="n">
        <v>705.8</v>
      </c>
      <c r="S215" s="51" t="n">
        <v>309.7</v>
      </c>
      <c r="T215" s="51" t="n">
        <v>450.1</v>
      </c>
      <c r="U215" s="51" t="n">
        <v>411.7</v>
      </c>
      <c r="V215" s="51" t="n">
        <v>395.2</v>
      </c>
      <c r="W215" s="51" t="n">
        <v>1317.7</v>
      </c>
      <c r="X215" s="51" t="n">
        <v>682</v>
      </c>
      <c r="Y215" s="51" t="n">
        <v>568.4</v>
      </c>
      <c r="Z215" s="51" t="n">
        <v>508.8</v>
      </c>
      <c r="AA215" s="51" t="n">
        <v>440.9</v>
      </c>
      <c r="AB215" s="51" t="n">
        <v>357.1</v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31" t="inlineStr">
        <is>
          <t>SKU-CD13E71E</t>
        </is>
      </c>
      <c r="C216" s="231" t="inlineStr">
        <is>
          <t>是</t>
        </is>
      </c>
      <c r="D216" s="231" t="n">
        <v>10</v>
      </c>
      <c r="E216" s="231" t="inlineStr"/>
      <c r="F216" s="231" t="inlineStr"/>
      <c r="G216" s="231" t="inlineStr"/>
      <c r="H216" s="231" t="inlineStr"/>
      <c r="I216" s="231" t="inlineStr"/>
      <c r="J216" s="27" t="inlineStr">
        <is>
          <t>共</t>
        </is>
      </c>
      <c r="K216" s="27" t="inlineStr"/>
      <c r="L216" s="231" t="n">
        <v>100</v>
      </c>
      <c r="M216" s="19" t="inlineStr">
        <is>
          <t>Product-EA59DDCC</t>
        </is>
      </c>
      <c r="N216" s="231" t="n">
        <v>2</v>
      </c>
      <c r="O216" s="181">
        <f>SUM(P216:AB216)</f>
        <v/>
      </c>
      <c r="P216" s="182" t="n">
        <v>8</v>
      </c>
      <c r="Q216" s="182" t="n">
        <v>9</v>
      </c>
      <c r="R216" s="182" t="n">
        <v>10</v>
      </c>
      <c r="S216" s="182" t="n">
        <v>12</v>
      </c>
      <c r="T216" s="182" t="n">
        <v>3</v>
      </c>
      <c r="U216" s="182" t="n">
        <v>8</v>
      </c>
      <c r="V216" s="182" t="n">
        <v>7</v>
      </c>
      <c r="W216" s="182" t="n">
        <v>20</v>
      </c>
      <c r="X216" s="182" t="n">
        <v>11</v>
      </c>
      <c r="Y216" s="182" t="n">
        <v>6</v>
      </c>
      <c r="Z216" s="182" t="n">
        <v>10</v>
      </c>
      <c r="AA216" s="182" t="n">
        <v>8</v>
      </c>
      <c r="AB216" s="182" t="n">
        <v>5</v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4" t="n"/>
      <c r="B217" s="231" t="inlineStr">
        <is>
          <t>SKU-682BAA5A</t>
        </is>
      </c>
      <c r="C217" s="231" t="inlineStr">
        <is>
          <t>是</t>
        </is>
      </c>
      <c r="D217" s="231" t="n">
        <v>10</v>
      </c>
      <c r="E217" s="231" t="inlineStr"/>
      <c r="F217" s="231" t="inlineStr"/>
      <c r="G217" s="231" t="inlineStr"/>
      <c r="H217" s="231" t="inlineStr"/>
      <c r="I217" s="231" t="inlineStr"/>
      <c r="J217" s="27" t="inlineStr"/>
      <c r="K217" s="27" t="inlineStr"/>
      <c r="L217" s="231" t="n">
        <v>100</v>
      </c>
      <c r="M217" s="19" t="inlineStr">
        <is>
          <t>Product-7E3AF14A</t>
        </is>
      </c>
      <c r="N217" s="231" t="n">
        <v>2</v>
      </c>
      <c r="O217" s="181">
        <f>SUM(P217:AB217)</f>
        <v/>
      </c>
      <c r="P217" s="182" t="n">
        <v>24</v>
      </c>
      <c r="Q217" s="182" t="n">
        <v>24.3</v>
      </c>
      <c r="R217" s="182" t="n">
        <v>50</v>
      </c>
      <c r="S217" s="182" t="n">
        <v>3</v>
      </c>
      <c r="T217" s="182" t="n">
        <v>15</v>
      </c>
      <c r="U217" s="182" t="n">
        <v>8.300000000000001</v>
      </c>
      <c r="V217" s="182" t="n">
        <v>10</v>
      </c>
      <c r="W217" s="182" t="n">
        <v>60</v>
      </c>
      <c r="X217" s="182" t="n">
        <v>16.2</v>
      </c>
      <c r="Y217" s="182" t="n">
        <v>11</v>
      </c>
      <c r="Z217" s="182" t="n">
        <v>30</v>
      </c>
      <c r="AA217" s="182" t="n">
        <v>25.2</v>
      </c>
      <c r="AB217" s="182" t="n">
        <v>1</v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4" t="n"/>
      <c r="B218" s="231" t="inlineStr">
        <is>
          <t>SKU-101252A9</t>
        </is>
      </c>
      <c r="C218" s="231" t="inlineStr">
        <is>
          <t>是</t>
        </is>
      </c>
      <c r="D218" s="231" t="n">
        <v>10</v>
      </c>
      <c r="E218" s="231" t="inlineStr"/>
      <c r="F218" s="231" t="inlineStr"/>
      <c r="G218" s="231" t="inlineStr"/>
      <c r="H218" s="231" t="inlineStr"/>
      <c r="I218" s="231" t="inlineStr"/>
      <c r="J218" s="27" t="inlineStr"/>
      <c r="K218" s="27" t="inlineStr"/>
      <c r="L218" s="231" t="n">
        <v>100</v>
      </c>
      <c r="M218" s="33" t="inlineStr">
        <is>
          <t>Product-7A8380EF</t>
        </is>
      </c>
      <c r="N218" s="231" t="n">
        <v>1</v>
      </c>
      <c r="O218" s="181">
        <f>SUM(P218:AB218)</f>
        <v/>
      </c>
      <c r="P218" s="182" t="n">
        <v>0</v>
      </c>
      <c r="Q218" s="182" t="n">
        <v>0</v>
      </c>
      <c r="R218" s="182" t="n">
        <v>0</v>
      </c>
      <c r="S218" s="182" t="n">
        <v>0</v>
      </c>
      <c r="T218" s="182" t="n">
        <v>0</v>
      </c>
      <c r="U218" s="182" t="n">
        <v>0</v>
      </c>
      <c r="V218" s="182" t="n">
        <v>0</v>
      </c>
      <c r="W218" s="182" t="n">
        <v>0</v>
      </c>
      <c r="X218" s="182" t="n">
        <v>0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4" t="n"/>
      <c r="B219" s="231" t="inlineStr">
        <is>
          <t>SKU-77C0CC77</t>
        </is>
      </c>
      <c r="C219" s="231" t="inlineStr">
        <is>
          <t>是</t>
        </is>
      </c>
      <c r="D219" s="231" t="n">
        <v>6</v>
      </c>
      <c r="E219" s="231" t="inlineStr">
        <is>
          <t>是</t>
        </is>
      </c>
      <c r="F219" s="231" t="inlineStr"/>
      <c r="G219" s="231" t="inlineStr"/>
      <c r="H219" s="231" t="inlineStr"/>
      <c r="I219" s="231" t="inlineStr">
        <is>
          <t>是</t>
        </is>
      </c>
      <c r="J219" s="27" t="inlineStr"/>
      <c r="K219" s="27" t="inlineStr"/>
      <c r="L219" s="231" t="n">
        <v>100</v>
      </c>
      <c r="M219" s="19" t="inlineStr">
        <is>
          <t>Product-429E8612</t>
        </is>
      </c>
      <c r="N219" s="231" t="n">
        <v>1</v>
      </c>
      <c r="O219" s="181">
        <f>SUM(P219:AB219)</f>
        <v/>
      </c>
      <c r="P219" s="182" t="n">
        <v>12</v>
      </c>
      <c r="Q219" s="182" t="n">
        <v>16.7</v>
      </c>
      <c r="R219" s="182" t="n">
        <v>16.2</v>
      </c>
      <c r="S219" s="182" t="n">
        <v>12.8</v>
      </c>
      <c r="T219" s="182" t="n">
        <v>15.6</v>
      </c>
      <c r="U219" s="182" t="n">
        <v>12.8</v>
      </c>
      <c r="V219" s="182" t="n">
        <v>12.5</v>
      </c>
      <c r="W219" s="182" t="n">
        <v>35.4</v>
      </c>
      <c r="X219" s="182" t="n">
        <v>20.7</v>
      </c>
      <c r="Y219" s="182" t="n">
        <v>14.9</v>
      </c>
      <c r="Z219" s="182" t="n">
        <v>16.3</v>
      </c>
      <c r="AA219" s="182" t="n">
        <v>8.9</v>
      </c>
      <c r="AB219" s="182" t="n">
        <v>9.699999999999999</v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5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 t="n">
        <v>44</v>
      </c>
      <c r="Q220" s="51" t="n">
        <v>50</v>
      </c>
      <c r="R220" s="51" t="n">
        <v>76.2</v>
      </c>
      <c r="S220" s="51" t="n">
        <v>27.8</v>
      </c>
      <c r="T220" s="51" t="n">
        <v>33.6</v>
      </c>
      <c r="U220" s="51" t="n">
        <v>29.1</v>
      </c>
      <c r="V220" s="51" t="n">
        <v>29.5</v>
      </c>
      <c r="W220" s="51" t="n">
        <v>115.4</v>
      </c>
      <c r="X220" s="51" t="n">
        <v>47.9</v>
      </c>
      <c r="Y220" s="51" t="n">
        <v>31.9</v>
      </c>
      <c r="Z220" s="51" t="n">
        <v>56.3</v>
      </c>
      <c r="AA220" s="51" t="n">
        <v>42.1</v>
      </c>
      <c r="AB220" s="51" t="n">
        <v>15.7</v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31" t="inlineStr">
        <is>
          <t>SKU-3BA438F1</t>
        </is>
      </c>
      <c r="C221" s="231" t="inlineStr">
        <is>
          <t>是</t>
        </is>
      </c>
      <c r="D221" s="231" t="n">
        <v>8</v>
      </c>
      <c r="E221" s="231" t="inlineStr">
        <is>
          <t>是</t>
        </is>
      </c>
      <c r="F221" s="231" t="inlineStr"/>
      <c r="G221" s="231" t="inlineStr"/>
      <c r="H221" s="231" t="inlineStr"/>
      <c r="I221" s="231" t="inlineStr">
        <is>
          <t>是</t>
        </is>
      </c>
      <c r="J221" s="27" t="inlineStr"/>
      <c r="K221" s="27" t="inlineStr"/>
      <c r="L221" s="231" t="n">
        <v>100</v>
      </c>
      <c r="M221" s="19" t="inlineStr">
        <is>
          <t>Product-775BB8DC</t>
        </is>
      </c>
      <c r="N221" s="231" t="n">
        <v>2</v>
      </c>
      <c r="O221" s="181">
        <f>SUM(P221:AB221)</f>
        <v/>
      </c>
      <c r="P221" s="182" t="n">
        <v>70</v>
      </c>
      <c r="Q221" s="182" t="n">
        <v>60</v>
      </c>
      <c r="R221" s="182" t="n">
        <v>50</v>
      </c>
      <c r="S221" s="182" t="n">
        <v>12</v>
      </c>
      <c r="T221" s="182" t="n">
        <v>94</v>
      </c>
      <c r="U221" s="182" t="n">
        <v>65</v>
      </c>
      <c r="V221" s="182" t="n">
        <v>53</v>
      </c>
      <c r="W221" s="182" t="n">
        <v>67</v>
      </c>
      <c r="X221" s="182" t="n">
        <v>55.7</v>
      </c>
      <c r="Y221" s="182" t="n">
        <v>17</v>
      </c>
      <c r="Z221" s="182" t="n">
        <v>24</v>
      </c>
      <c r="AA221" s="182" t="n">
        <v>39.4</v>
      </c>
      <c r="AB221" s="182" t="n">
        <v>17</v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4" t="n"/>
      <c r="B222" s="231" t="inlineStr">
        <is>
          <t>SKU-D2E77FA5</t>
        </is>
      </c>
      <c r="C222" s="231" t="inlineStr">
        <is>
          <t>是</t>
        </is>
      </c>
      <c r="D222" s="231" t="n">
        <v>6</v>
      </c>
      <c r="E222" s="231" t="inlineStr">
        <is>
          <t>是</t>
        </is>
      </c>
      <c r="F222" s="231" t="inlineStr"/>
      <c r="G222" s="231" t="inlineStr"/>
      <c r="H222" s="231" t="inlineStr">
        <is>
          <t>是</t>
        </is>
      </c>
      <c r="I222" s="231" t="inlineStr">
        <is>
          <t>是</t>
        </is>
      </c>
      <c r="J222" s="27" t="inlineStr"/>
      <c r="K222" s="27" t="inlineStr"/>
      <c r="L222" s="231" t="n">
        <v>100</v>
      </c>
      <c r="M222" s="19" t="inlineStr">
        <is>
          <t>Product-A722DB58</t>
        </is>
      </c>
      <c r="N222" s="231" t="n">
        <v>1</v>
      </c>
      <c r="O222" s="181">
        <f>SUM(P222:AB222)</f>
        <v/>
      </c>
      <c r="P222" s="182" t="n">
        <v>20</v>
      </c>
      <c r="Q222" s="182" t="n">
        <v>24</v>
      </c>
      <c r="R222" s="182" t="n">
        <v>25</v>
      </c>
      <c r="S222" s="182" t="n">
        <v>30</v>
      </c>
      <c r="T222" s="182" t="n">
        <v>39</v>
      </c>
      <c r="U222" s="182" t="n">
        <v>18</v>
      </c>
      <c r="V222" s="182" t="n">
        <v>20</v>
      </c>
      <c r="W222" s="182" t="n">
        <v>35</v>
      </c>
      <c r="X222" s="182" t="n">
        <v>37.1</v>
      </c>
      <c r="Y222" s="182" t="n">
        <v>21</v>
      </c>
      <c r="Z222" s="182" t="n">
        <v>8</v>
      </c>
      <c r="AA222" s="182" t="n">
        <v>20.8</v>
      </c>
      <c r="AB222" s="182" t="n">
        <v>3</v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5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 t="n">
        <v>90</v>
      </c>
      <c r="Q223" s="51" t="n">
        <v>84</v>
      </c>
      <c r="R223" s="51" t="n">
        <v>75</v>
      </c>
      <c r="S223" s="51" t="n">
        <v>42</v>
      </c>
      <c r="T223" s="51" t="n">
        <v>133</v>
      </c>
      <c r="U223" s="51" t="n">
        <v>83</v>
      </c>
      <c r="V223" s="51" t="n">
        <v>73</v>
      </c>
      <c r="W223" s="51" t="n">
        <v>102</v>
      </c>
      <c r="X223" s="51" t="n">
        <v>92.8</v>
      </c>
      <c r="Y223" s="51" t="n">
        <v>38</v>
      </c>
      <c r="Z223" s="51" t="n">
        <v>32</v>
      </c>
      <c r="AA223" s="51" t="n">
        <v>60.2</v>
      </c>
      <c r="AB223" s="51" t="n">
        <v>20</v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31" t="inlineStr">
        <is>
          <t>SKU-9FDA4198</t>
        </is>
      </c>
      <c r="C224" s="231" t="inlineStr">
        <is>
          <t>是</t>
        </is>
      </c>
      <c r="D224" s="231" t="n">
        <v>11</v>
      </c>
      <c r="E224" s="231" t="inlineStr"/>
      <c r="F224" s="231" t="inlineStr"/>
      <c r="G224" s="231" t="inlineStr"/>
      <c r="H224" s="231" t="inlineStr"/>
      <c r="I224" s="231" t="inlineStr"/>
      <c r="J224" s="27" t="inlineStr"/>
      <c r="K224" s="27" t="inlineStr"/>
      <c r="L224" s="231" t="n">
        <v>100</v>
      </c>
      <c r="M224" s="19" t="inlineStr">
        <is>
          <t>Product-662CAB3A</t>
        </is>
      </c>
      <c r="N224" s="231" t="n">
        <v>1</v>
      </c>
      <c r="O224" s="181">
        <f>SUM(P224:AB224)</f>
        <v/>
      </c>
      <c r="P224" s="182" t="n">
        <v>140</v>
      </c>
      <c r="Q224" s="182" t="n">
        <v>60</v>
      </c>
      <c r="R224" s="182" t="n">
        <v>60</v>
      </c>
      <c r="S224" s="182" t="n">
        <v>31</v>
      </c>
      <c r="T224" s="182" t="n">
        <v>26</v>
      </c>
      <c r="U224" s="182" t="n">
        <v>46</v>
      </c>
      <c r="V224" s="182" t="n">
        <v>38</v>
      </c>
      <c r="W224" s="182" t="n">
        <v>75</v>
      </c>
      <c r="X224" s="182" t="n">
        <v>11.4</v>
      </c>
      <c r="Y224" s="182" t="n">
        <v>7</v>
      </c>
      <c r="Z224" s="182" t="n">
        <v>30</v>
      </c>
      <c r="AA224" s="182" t="n">
        <v>20</v>
      </c>
      <c r="AB224" s="182" t="n">
        <v>21.1</v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4" t="n"/>
      <c r="B225" s="231" t="inlineStr">
        <is>
          <t>SKU-7B3ED901</t>
        </is>
      </c>
      <c r="C225" s="231" t="inlineStr">
        <is>
          <t>是</t>
        </is>
      </c>
      <c r="D225" s="231" t="n">
        <v>8</v>
      </c>
      <c r="E225" s="231" t="inlineStr">
        <is>
          <t>是</t>
        </is>
      </c>
      <c r="F225" s="231" t="inlineStr"/>
      <c r="G225" s="231" t="inlineStr"/>
      <c r="H225" s="231" t="inlineStr">
        <is>
          <t>是</t>
        </is>
      </c>
      <c r="I225" s="231" t="inlineStr">
        <is>
          <t>是</t>
        </is>
      </c>
      <c r="J225" s="27" t="inlineStr"/>
      <c r="K225" s="27" t="inlineStr"/>
      <c r="L225" s="231" t="n">
        <v>100</v>
      </c>
      <c r="M225" s="19" t="inlineStr">
        <is>
          <t>Product-98EF7A51</t>
        </is>
      </c>
      <c r="N225" s="231" t="n">
        <v>1</v>
      </c>
      <c r="O225" s="181">
        <f>SUM(P225:AB225)</f>
        <v/>
      </c>
      <c r="P225" s="182" t="n">
        <v>3</v>
      </c>
      <c r="Q225" s="182" t="n">
        <v>29.5</v>
      </c>
      <c r="R225" s="182" t="n">
        <v>15</v>
      </c>
      <c r="S225" s="182" t="n">
        <v>15</v>
      </c>
      <c r="T225" s="182" t="n">
        <v>11</v>
      </c>
      <c r="U225" s="182" t="n">
        <v>20</v>
      </c>
      <c r="V225" s="182" t="n">
        <v>10</v>
      </c>
      <c r="W225" s="182" t="n">
        <v>8</v>
      </c>
      <c r="X225" s="182" t="n">
        <v>5.7</v>
      </c>
      <c r="Y225" s="182" t="n">
        <v>4</v>
      </c>
      <c r="Z225" s="182" t="n">
        <v>15</v>
      </c>
      <c r="AA225" s="182" t="n">
        <v>4</v>
      </c>
      <c r="AB225" s="182" t="n">
        <v>10</v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4" t="n"/>
      <c r="B226" s="231" t="inlineStr">
        <is>
          <t>SKU-9285E4A0</t>
        </is>
      </c>
      <c r="C226" s="231" t="inlineStr">
        <is>
          <t>是</t>
        </is>
      </c>
      <c r="D226" s="231" t="n">
        <v>10</v>
      </c>
      <c r="E226" s="231" t="inlineStr"/>
      <c r="F226" s="231" t="inlineStr">
        <is>
          <t>是</t>
        </is>
      </c>
      <c r="G226" s="231" t="inlineStr"/>
      <c r="H226" s="231" t="inlineStr"/>
      <c r="I226" s="231" t="inlineStr">
        <is>
          <t>是</t>
        </is>
      </c>
      <c r="J226" s="27" t="inlineStr">
        <is>
          <t>共</t>
        </is>
      </c>
      <c r="K226" s="27" t="inlineStr"/>
      <c r="L226" s="231" t="n">
        <v>100</v>
      </c>
      <c r="M226" s="19" t="inlineStr">
        <is>
          <t>Product-CCB8A5AE</t>
        </is>
      </c>
      <c r="N226" s="231" t="n">
        <v>1</v>
      </c>
      <c r="O226" s="181">
        <f>SUM(P226:AB226)</f>
        <v/>
      </c>
      <c r="P226" s="182" t="n">
        <v>32.3</v>
      </c>
      <c r="Q226" s="182" t="n">
        <v>38.4</v>
      </c>
      <c r="R226" s="182" t="n">
        <v>37.7</v>
      </c>
      <c r="S226" s="182" t="n">
        <v>18.3</v>
      </c>
      <c r="T226" s="182" t="n">
        <v>22.5</v>
      </c>
      <c r="U226" s="182" t="n">
        <v>18.4</v>
      </c>
      <c r="V226" s="182" t="n">
        <v>18</v>
      </c>
      <c r="W226" s="182" t="n">
        <v>51</v>
      </c>
      <c r="X226" s="182" t="n">
        <v>29.8</v>
      </c>
      <c r="Y226" s="182" t="n">
        <v>21.4</v>
      </c>
      <c r="Z226" s="182" t="n">
        <v>23.4</v>
      </c>
      <c r="AA226" s="182" t="n">
        <v>19.9</v>
      </c>
      <c r="AB226" s="182" t="n">
        <v>13.9</v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5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 t="n">
        <v>175.3</v>
      </c>
      <c r="Q227" s="51" t="n">
        <v>127.9</v>
      </c>
      <c r="R227" s="51" t="n">
        <v>112.7</v>
      </c>
      <c r="S227" s="51" t="n">
        <v>64.3</v>
      </c>
      <c r="T227" s="51" t="n">
        <v>59.5</v>
      </c>
      <c r="U227" s="51" t="n">
        <v>84.40000000000001</v>
      </c>
      <c r="V227" s="51" t="n">
        <v>66</v>
      </c>
      <c r="W227" s="51" t="n">
        <v>134</v>
      </c>
      <c r="X227" s="51" t="n">
        <v>46.9</v>
      </c>
      <c r="Y227" s="51" t="n">
        <v>32.4</v>
      </c>
      <c r="Z227" s="51" t="n">
        <v>68.40000000000001</v>
      </c>
      <c r="AA227" s="51" t="n">
        <v>43.9</v>
      </c>
      <c r="AB227" s="51" t="n">
        <v>45</v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31" t="inlineStr">
        <is>
          <t>SKU-29633089</t>
        </is>
      </c>
      <c r="C228" s="231" t="inlineStr">
        <is>
          <t>是</t>
        </is>
      </c>
      <c r="D228" s="231" t="n">
        <v>6</v>
      </c>
      <c r="E228" s="231" t="inlineStr"/>
      <c r="F228" s="231" t="inlineStr">
        <is>
          <t>是</t>
        </is>
      </c>
      <c r="G228" s="231" t="inlineStr"/>
      <c r="H228" s="231" t="inlineStr"/>
      <c r="I228" s="231" t="inlineStr">
        <is>
          <t>是</t>
        </is>
      </c>
      <c r="J228" s="27" t="inlineStr"/>
      <c r="K228" s="27" t="inlineStr"/>
      <c r="L228" s="231" t="n">
        <v>100</v>
      </c>
      <c r="M228" s="44" t="inlineStr">
        <is>
          <t>Product-719E196F</t>
        </is>
      </c>
      <c r="N228" s="231" t="n">
        <v>3</v>
      </c>
      <c r="O228" s="181">
        <f>SUM(P228:AB228)</f>
        <v/>
      </c>
      <c r="P228" s="182" t="n">
        <v>0</v>
      </c>
      <c r="Q228" s="182" t="n">
        <v>0</v>
      </c>
      <c r="R228" s="182" t="n">
        <v>0</v>
      </c>
      <c r="S228" s="182" t="n">
        <v>0</v>
      </c>
      <c r="T228" s="182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4" t="n"/>
      <c r="B229" s="231" t="inlineStr">
        <is>
          <t>SKU-5FFC4FAB</t>
        </is>
      </c>
      <c r="C229" s="231" t="inlineStr">
        <is>
          <t>是</t>
        </is>
      </c>
      <c r="D229" s="231" t="n">
        <v>8</v>
      </c>
      <c r="E229" s="231" t="inlineStr">
        <is>
          <t>是</t>
        </is>
      </c>
      <c r="F229" s="231" t="inlineStr"/>
      <c r="G229" s="231" t="inlineStr"/>
      <c r="H229" s="231" t="inlineStr"/>
      <c r="I229" s="231" t="inlineStr">
        <is>
          <t>是</t>
        </is>
      </c>
      <c r="J229" s="27" t="inlineStr"/>
      <c r="K229" s="27" t="inlineStr"/>
      <c r="L229" s="231" t="n">
        <v>100</v>
      </c>
      <c r="M229" s="19" t="inlineStr">
        <is>
          <t>Product-0DACD2F6</t>
        </is>
      </c>
      <c r="N229" s="231" t="n">
        <v>2</v>
      </c>
      <c r="O229" s="181">
        <f>SUM(P229:AB229)</f>
        <v/>
      </c>
      <c r="P229" s="182" t="n">
        <v>160</v>
      </c>
      <c r="Q229" s="182" t="n">
        <v>61</v>
      </c>
      <c r="R229" s="182" t="n">
        <v>170</v>
      </c>
      <c r="S229" s="182" t="n">
        <v>40</v>
      </c>
      <c r="T229" s="182" t="n">
        <v>88</v>
      </c>
      <c r="U229" s="182" t="n">
        <v>34</v>
      </c>
      <c r="V229" s="182" t="n">
        <v>65</v>
      </c>
      <c r="W229" s="182" t="n">
        <v>60</v>
      </c>
      <c r="X229" s="182" t="n">
        <v>76</v>
      </c>
      <c r="Y229" s="182" t="n">
        <v>9</v>
      </c>
      <c r="Z229" s="182" t="n">
        <v>41</v>
      </c>
      <c r="AA229" s="182" t="n">
        <v>36.6</v>
      </c>
      <c r="AB229" s="182" t="n">
        <v>4</v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4" t="n"/>
      <c r="B230" s="231" t="inlineStr">
        <is>
          <t>SKU-B633AD53</t>
        </is>
      </c>
      <c r="C230" s="231" t="inlineStr">
        <is>
          <t>是</t>
        </is>
      </c>
      <c r="D230" s="231" t="n">
        <v>8</v>
      </c>
      <c r="E230" s="231" t="inlineStr">
        <is>
          <t>是</t>
        </is>
      </c>
      <c r="F230" s="231" t="inlineStr"/>
      <c r="G230" s="231" t="inlineStr"/>
      <c r="H230" s="231" t="inlineStr">
        <is>
          <t>是</t>
        </is>
      </c>
      <c r="I230" s="231" t="inlineStr">
        <is>
          <t>是</t>
        </is>
      </c>
      <c r="J230" s="27" t="inlineStr"/>
      <c r="K230" s="27" t="inlineStr"/>
      <c r="L230" s="231" t="n">
        <v>100</v>
      </c>
      <c r="M230" s="19" t="inlineStr">
        <is>
          <t>Product-A5C01E33</t>
        </is>
      </c>
      <c r="N230" s="231" t="n">
        <v>1</v>
      </c>
      <c r="O230" s="181">
        <f>SUM(P230:AB230)</f>
        <v/>
      </c>
      <c r="P230" s="182" t="n">
        <v>137</v>
      </c>
      <c r="Q230" s="182" t="n">
        <v>128</v>
      </c>
      <c r="R230" s="182" t="n">
        <v>120</v>
      </c>
      <c r="S230" s="182" t="n">
        <v>37</v>
      </c>
      <c r="T230" s="182" t="n">
        <v>72</v>
      </c>
      <c r="U230" s="182" t="n">
        <v>83</v>
      </c>
      <c r="V230" s="182" t="n">
        <v>75</v>
      </c>
      <c r="W230" s="182" t="n">
        <v>42</v>
      </c>
      <c r="X230" s="182" t="n">
        <v>39.9</v>
      </c>
      <c r="Y230" s="182" t="n">
        <v>10</v>
      </c>
      <c r="Z230" s="182" t="n">
        <v>24</v>
      </c>
      <c r="AA230" s="182" t="n">
        <v>40</v>
      </c>
      <c r="AB230" s="182" t="n">
        <v>15</v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4" t="n"/>
      <c r="B231" s="231" t="inlineStr">
        <is>
          <t>SKU-F5C809B2</t>
        </is>
      </c>
      <c r="C231" s="231" t="inlineStr">
        <is>
          <t>是</t>
        </is>
      </c>
      <c r="D231" s="231" t="n">
        <v>10</v>
      </c>
      <c r="E231" s="231" t="inlineStr"/>
      <c r="F231" s="231" t="inlineStr">
        <is>
          <t>是</t>
        </is>
      </c>
      <c r="G231" s="231" t="inlineStr"/>
      <c r="H231" s="231" t="inlineStr"/>
      <c r="I231" s="231" t="inlineStr">
        <is>
          <t>是</t>
        </is>
      </c>
      <c r="J231" s="27" t="inlineStr"/>
      <c r="K231" s="27" t="inlineStr"/>
      <c r="L231" s="231" t="n">
        <v>100</v>
      </c>
      <c r="M231" s="19" t="inlineStr">
        <is>
          <t>Product-5A7B99C4</t>
        </is>
      </c>
      <c r="N231" s="231" t="n">
        <v>1</v>
      </c>
      <c r="O231" s="181">
        <f>SUM(P231:AB231)</f>
        <v/>
      </c>
      <c r="P231" s="182" t="n">
        <v>11.5</v>
      </c>
      <c r="Q231" s="182" t="n">
        <v>28.7</v>
      </c>
      <c r="R231" s="182" t="n">
        <v>19.1</v>
      </c>
      <c r="S231" s="182" t="n">
        <v>8.6</v>
      </c>
      <c r="T231" s="182" t="n">
        <v>11.5</v>
      </c>
      <c r="U231" s="182" t="n">
        <v>9.6</v>
      </c>
      <c r="V231" s="182" t="n">
        <v>9.6</v>
      </c>
      <c r="W231" s="182" t="n">
        <v>9.199999999999999</v>
      </c>
      <c r="X231" s="182" t="n">
        <v>13.7</v>
      </c>
      <c r="Y231" s="182" t="n">
        <v>9.6</v>
      </c>
      <c r="Z231" s="182" t="n">
        <v>9.6</v>
      </c>
      <c r="AA231" s="182" t="n">
        <v>9.6</v>
      </c>
      <c r="AB231" s="182" t="n">
        <v>4.7</v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4" t="n"/>
      <c r="B232" s="231" t="inlineStr">
        <is>
          <t>SKU-85450BFD</t>
        </is>
      </c>
      <c r="C232" s="231" t="inlineStr">
        <is>
          <t>是</t>
        </is>
      </c>
      <c r="D232" s="231" t="n">
        <v>10</v>
      </c>
      <c r="E232" s="231" t="inlineStr"/>
      <c r="F232" s="231" t="inlineStr">
        <is>
          <t>是</t>
        </is>
      </c>
      <c r="G232" s="231" t="inlineStr"/>
      <c r="H232" s="231" t="inlineStr">
        <is>
          <t>是</t>
        </is>
      </c>
      <c r="I232" s="231" t="inlineStr">
        <is>
          <t>是</t>
        </is>
      </c>
      <c r="J232" s="27" t="inlineStr"/>
      <c r="K232" s="27" t="inlineStr"/>
      <c r="L232" s="231" t="n">
        <v>100</v>
      </c>
      <c r="M232" s="59" t="inlineStr">
        <is>
          <t>Product-91F0DC53</t>
        </is>
      </c>
      <c r="N232" s="231" t="n">
        <v>1</v>
      </c>
      <c r="O232" s="181">
        <f>SUM(P232:AB232)</f>
        <v/>
      </c>
      <c r="P232" s="182" t="n">
        <v>13</v>
      </c>
      <c r="Q232" s="182" t="n">
        <v>23</v>
      </c>
      <c r="R232" s="182" t="n">
        <v>18</v>
      </c>
      <c r="S232" s="182" t="n">
        <v>7</v>
      </c>
      <c r="T232" s="182" t="n">
        <v>18</v>
      </c>
      <c r="U232" s="182" t="n">
        <v>8</v>
      </c>
      <c r="V232" s="182" t="n">
        <v>9</v>
      </c>
      <c r="W232" s="182" t="n">
        <v>22</v>
      </c>
      <c r="X232" s="182" t="n">
        <v>13.3</v>
      </c>
      <c r="Y232" s="182" t="n">
        <v>6</v>
      </c>
      <c r="Z232" s="182" t="n">
        <v>7</v>
      </c>
      <c r="AA232" s="182" t="n">
        <v>8</v>
      </c>
      <c r="AB232" s="182" t="n">
        <v>0.7</v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4" t="n"/>
      <c r="B233" s="231" t="inlineStr">
        <is>
          <t>SKU-EDF7920D</t>
        </is>
      </c>
      <c r="C233" s="231" t="inlineStr">
        <is>
          <t>是</t>
        </is>
      </c>
      <c r="D233" s="231" t="n">
        <v>10</v>
      </c>
      <c r="E233" s="231" t="inlineStr"/>
      <c r="F233" s="231" t="inlineStr">
        <is>
          <t>是</t>
        </is>
      </c>
      <c r="G233" s="231" t="inlineStr"/>
      <c r="H233" s="231" t="inlineStr"/>
      <c r="I233" s="231" t="inlineStr">
        <is>
          <t>是</t>
        </is>
      </c>
      <c r="J233" s="27" t="inlineStr"/>
      <c r="K233" s="27" t="inlineStr"/>
      <c r="L233" s="231" t="n">
        <v>100</v>
      </c>
      <c r="M233" s="59" t="inlineStr">
        <is>
          <t>Product-CE4C0A22</t>
        </is>
      </c>
      <c r="N233" s="231" t="n">
        <v>1</v>
      </c>
      <c r="O233" s="181">
        <f>SUM(P233:AB233)</f>
        <v/>
      </c>
      <c r="P233" s="182" t="n">
        <v>18</v>
      </c>
      <c r="Q233" s="182" t="n">
        <v>27.63</v>
      </c>
      <c r="R233" s="182" t="n">
        <v>27.1296</v>
      </c>
      <c r="S233" s="182" t="n">
        <v>13.212</v>
      </c>
      <c r="T233" s="182" t="n">
        <v>16.1892</v>
      </c>
      <c r="U233" s="182" t="n">
        <v>13.2228</v>
      </c>
      <c r="V233" s="182" t="n">
        <v>12.9456</v>
      </c>
      <c r="W233" s="182" t="n">
        <v>36.702</v>
      </c>
      <c r="X233" s="182" t="n">
        <v>21.474</v>
      </c>
      <c r="Y233" s="182" t="n">
        <v>15.4368</v>
      </c>
      <c r="Z233" s="182" t="n">
        <v>16.8408</v>
      </c>
      <c r="AA233" s="182" t="n">
        <v>14.364</v>
      </c>
      <c r="AB233" s="182" t="n">
        <v>9.993600000000001</v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4" t="n"/>
      <c r="B234" s="231" t="inlineStr">
        <is>
          <t>SKU-DD4DEF4E</t>
        </is>
      </c>
      <c r="C234" s="231" t="inlineStr">
        <is>
          <t>是</t>
        </is>
      </c>
      <c r="D234" s="231" t="n">
        <v>10</v>
      </c>
      <c r="E234" s="231" t="inlineStr"/>
      <c r="F234" s="231" t="inlineStr"/>
      <c r="G234" s="231" t="inlineStr"/>
      <c r="H234" s="231" t="inlineStr"/>
      <c r="I234" s="231" t="inlineStr"/>
      <c r="J234" s="27" t="inlineStr">
        <is>
          <t>共</t>
        </is>
      </c>
      <c r="K234" s="27" t="inlineStr"/>
      <c r="L234" s="231" t="n">
        <v>100</v>
      </c>
      <c r="M234" s="59" t="inlineStr">
        <is>
          <t>Product-F3C53F7F</t>
        </is>
      </c>
      <c r="N234" s="231" t="n">
        <v>1</v>
      </c>
      <c r="O234" s="181">
        <f>SUM(P234:AB234)</f>
        <v/>
      </c>
      <c r="P234" s="182" t="n">
        <v>2.3</v>
      </c>
      <c r="Q234" s="182" t="n">
        <v>2.8</v>
      </c>
      <c r="R234" s="182" t="n">
        <v>2.7</v>
      </c>
      <c r="S234" s="182" t="n">
        <v>1.3</v>
      </c>
      <c r="T234" s="182" t="n">
        <v>1.7</v>
      </c>
      <c r="U234" s="182" t="n">
        <v>1.3</v>
      </c>
      <c r="V234" s="182" t="n">
        <v>1.3</v>
      </c>
      <c r="W234" s="182" t="n">
        <v>3.7</v>
      </c>
      <c r="X234" s="182" t="n">
        <v>2.2</v>
      </c>
      <c r="Y234" s="182" t="n">
        <v>1.5</v>
      </c>
      <c r="Z234" s="182" t="n">
        <v>1.7</v>
      </c>
      <c r="AA234" s="182" t="n">
        <v>1.5</v>
      </c>
      <c r="AB234" s="182" t="n">
        <v>1</v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4" t="n"/>
      <c r="B235" s="231" t="inlineStr">
        <is>
          <t>SKU-05047315</t>
        </is>
      </c>
      <c r="C235" s="231" t="inlineStr">
        <is>
          <t>是</t>
        </is>
      </c>
      <c r="D235" s="231" t="n">
        <v>11</v>
      </c>
      <c r="E235" s="231" t="inlineStr"/>
      <c r="F235" s="231" t="inlineStr"/>
      <c r="G235" s="231" t="inlineStr"/>
      <c r="H235" s="231" t="inlineStr"/>
      <c r="I235" s="231" t="inlineStr"/>
      <c r="J235" s="27" t="inlineStr"/>
      <c r="K235" s="27" t="inlineStr"/>
      <c r="L235" s="231" t="n">
        <v>100</v>
      </c>
      <c r="M235" s="33" t="inlineStr">
        <is>
          <t>Product-81383D73</t>
        </is>
      </c>
      <c r="N235" s="231" t="n">
        <v>3</v>
      </c>
      <c r="O235" s="181">
        <f>SUM(P235:AB235)</f>
        <v/>
      </c>
      <c r="P235" s="182" t="n">
        <v>0</v>
      </c>
      <c r="Q235" s="182" t="n">
        <v>0</v>
      </c>
      <c r="R235" s="182" t="n">
        <v>0</v>
      </c>
      <c r="S235" s="182" t="n">
        <v>0</v>
      </c>
      <c r="T235" s="182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4" t="n"/>
      <c r="B236" s="231" t="inlineStr">
        <is>
          <t>SKU-9CAB8B44</t>
        </is>
      </c>
      <c r="C236" s="231" t="inlineStr">
        <is>
          <t>是</t>
        </is>
      </c>
      <c r="D236" s="231" t="n">
        <v>10</v>
      </c>
      <c r="E236" s="231" t="inlineStr"/>
      <c r="F236" s="231" t="inlineStr">
        <is>
          <t>是</t>
        </is>
      </c>
      <c r="G236" s="231" t="inlineStr"/>
      <c r="H236" s="231" t="inlineStr"/>
      <c r="I236" s="231" t="inlineStr">
        <is>
          <t>是</t>
        </is>
      </c>
      <c r="J236" s="27" t="inlineStr"/>
      <c r="K236" s="27" t="inlineStr"/>
      <c r="L236" s="231" t="n">
        <v>100</v>
      </c>
      <c r="M236" s="43" t="inlineStr">
        <is>
          <t>Product-410E9D24</t>
        </is>
      </c>
      <c r="N236" s="231" t="n">
        <v>1</v>
      </c>
      <c r="O236" s="181">
        <f>SUM(P236:AB236)</f>
        <v/>
      </c>
      <c r="P236" s="182" t="n">
        <v>0</v>
      </c>
      <c r="Q236" s="182" t="n">
        <v>0</v>
      </c>
      <c r="R236" s="182" t="n">
        <v>0</v>
      </c>
      <c r="S236" s="182" t="n">
        <v>0</v>
      </c>
      <c r="T236" s="182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4" t="n"/>
      <c r="B237" s="231" t="inlineStr">
        <is>
          <t>SKU-2AAB30A8</t>
        </is>
      </c>
      <c r="C237" s="231" t="inlineStr">
        <is>
          <t>是</t>
        </is>
      </c>
      <c r="D237" s="231" t="n">
        <v>10</v>
      </c>
      <c r="E237" s="231" t="inlineStr"/>
      <c r="F237" s="231" t="inlineStr"/>
      <c r="G237" s="231" t="inlineStr"/>
      <c r="H237" s="231" t="inlineStr"/>
      <c r="I237" s="231" t="inlineStr"/>
      <c r="J237" s="27" t="inlineStr"/>
      <c r="K237" s="27" t="inlineStr"/>
      <c r="L237" s="231" t="n">
        <v>100</v>
      </c>
      <c r="M237" s="19" t="inlineStr">
        <is>
          <t>Product-81383D73</t>
        </is>
      </c>
      <c r="N237" s="231" t="n">
        <v>3</v>
      </c>
      <c r="O237" s="181">
        <f>SUM(P237:AB237)</f>
        <v/>
      </c>
      <c r="P237" s="182" t="n">
        <v>129</v>
      </c>
      <c r="Q237" s="182" t="n">
        <v>125</v>
      </c>
      <c r="R237" s="182" t="n">
        <v>135</v>
      </c>
      <c r="S237" s="182" t="n">
        <v>73</v>
      </c>
      <c r="T237" s="182" t="n">
        <v>84</v>
      </c>
      <c r="U237" s="182" t="n">
        <v>84</v>
      </c>
      <c r="V237" s="182" t="n">
        <v>64</v>
      </c>
      <c r="W237" s="182" t="n">
        <v>197</v>
      </c>
      <c r="X237" s="182" t="n">
        <v>148</v>
      </c>
      <c r="Y237" s="182" t="n">
        <v>99</v>
      </c>
      <c r="Z237" s="182" t="n">
        <v>100</v>
      </c>
      <c r="AA237" s="182" t="n">
        <v>97</v>
      </c>
      <c r="AB237" s="182" t="n">
        <v>85</v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4" t="n"/>
      <c r="B238" s="231" t="inlineStr">
        <is>
          <t>SKU-56549691</t>
        </is>
      </c>
      <c r="C238" s="231" t="inlineStr">
        <is>
          <t>是</t>
        </is>
      </c>
      <c r="D238" s="231" t="n">
        <v>7</v>
      </c>
      <c r="E238" s="231" t="inlineStr">
        <is>
          <t>是</t>
        </is>
      </c>
      <c r="F238" s="231" t="inlineStr"/>
      <c r="G238" s="231" t="inlineStr"/>
      <c r="H238" s="231" t="inlineStr">
        <is>
          <t>是</t>
        </is>
      </c>
      <c r="I238" s="231" t="inlineStr">
        <is>
          <t>是</t>
        </is>
      </c>
      <c r="J238" s="27" t="inlineStr"/>
      <c r="K238" s="27" t="inlineStr"/>
      <c r="L238" s="231" t="n">
        <v>100</v>
      </c>
      <c r="M238" s="45" t="inlineStr">
        <is>
          <t>Product-A2BB61CB</t>
        </is>
      </c>
      <c r="N238" s="231" t="n">
        <v>1</v>
      </c>
      <c r="O238" s="181">
        <f>SUM(P238:AB238)</f>
        <v/>
      </c>
      <c r="P238" s="182" t="n">
        <v>5.6</v>
      </c>
      <c r="Q238" s="182" t="n">
        <v>6.7</v>
      </c>
      <c r="R238" s="182" t="n">
        <v>6.6</v>
      </c>
      <c r="S238" s="182" t="n">
        <v>3.2</v>
      </c>
      <c r="T238" s="182" t="n">
        <v>3.9</v>
      </c>
      <c r="U238" s="182" t="n">
        <v>3.2</v>
      </c>
      <c r="V238" s="182" t="n">
        <v>3.1</v>
      </c>
      <c r="W238" s="182" t="n">
        <v>8.800000000000001</v>
      </c>
      <c r="X238" s="182" t="n">
        <v>5.2</v>
      </c>
      <c r="Y238" s="182" t="n">
        <v>3.7</v>
      </c>
      <c r="Z238" s="182" t="n">
        <v>4.1</v>
      </c>
      <c r="AA238" s="182" t="n">
        <v>3.5</v>
      </c>
      <c r="AB238" s="182" t="n">
        <v>2.4</v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5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 t="n">
        <v>476.4</v>
      </c>
      <c r="Q239" s="51" t="n">
        <v>402.83</v>
      </c>
      <c r="R239" s="51" t="n">
        <v>498.5296</v>
      </c>
      <c r="S239" s="51" t="n">
        <v>183.312</v>
      </c>
      <c r="T239" s="51" t="n">
        <v>295.2892</v>
      </c>
      <c r="U239" s="51" t="n">
        <v>236.3228</v>
      </c>
      <c r="V239" s="51" t="n">
        <v>239.9456</v>
      </c>
      <c r="W239" s="51" t="n">
        <v>379.402</v>
      </c>
      <c r="X239" s="51" t="n">
        <v>319.774</v>
      </c>
      <c r="Y239" s="51" t="n">
        <v>154.2368</v>
      </c>
      <c r="Z239" s="51" t="n">
        <v>204.2408</v>
      </c>
      <c r="AA239" s="51" t="n">
        <v>210.564</v>
      </c>
      <c r="AB239" s="51" t="n">
        <v>122.7936</v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31" t="inlineStr">
        <is>
          <t>SKU-96A04697</t>
        </is>
      </c>
      <c r="C240" s="231" t="inlineStr">
        <is>
          <t>是</t>
        </is>
      </c>
      <c r="D240" s="231" t="n">
        <v>10</v>
      </c>
      <c r="E240" s="231" t="inlineStr"/>
      <c r="F240" s="231" t="inlineStr"/>
      <c r="G240" s="231" t="inlineStr"/>
      <c r="H240" s="231" t="inlineStr">
        <is>
          <t>是</t>
        </is>
      </c>
      <c r="I240" s="231" t="inlineStr">
        <is>
          <t>是</t>
        </is>
      </c>
      <c r="J240" s="27" t="inlineStr"/>
      <c r="K240" s="27" t="inlineStr"/>
      <c r="L240" s="231" t="n">
        <v>100</v>
      </c>
      <c r="M240" s="19" t="inlineStr">
        <is>
          <t>Product-28EE2E14</t>
        </is>
      </c>
      <c r="N240" s="231" t="n">
        <v>1</v>
      </c>
      <c r="O240" s="181">
        <f>SUM(P240:AB240)</f>
        <v/>
      </c>
      <c r="P240" s="182" t="n">
        <v>1.5</v>
      </c>
      <c r="Q240" s="182" t="n">
        <v>1.8</v>
      </c>
      <c r="R240" s="182" t="n">
        <v>1.7</v>
      </c>
      <c r="S240" s="182" t="n">
        <v>0.9</v>
      </c>
      <c r="T240" s="182" t="n">
        <v>1</v>
      </c>
      <c r="U240" s="182" t="n">
        <v>0.9</v>
      </c>
      <c r="V240" s="182" t="n">
        <v>0.8</v>
      </c>
      <c r="W240" s="182" t="n">
        <v>2.4</v>
      </c>
      <c r="X240" s="182" t="n">
        <v>1.4</v>
      </c>
      <c r="Y240" s="182" t="n">
        <v>1</v>
      </c>
      <c r="Z240" s="182" t="n">
        <v>1.1</v>
      </c>
      <c r="AA240" s="182" t="n">
        <v>0.9</v>
      </c>
      <c r="AB240" s="182" t="n">
        <v>0.6</v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4" t="n"/>
      <c r="B241" s="231" t="inlineStr">
        <is>
          <t>SKU-D5EF4CB5</t>
        </is>
      </c>
      <c r="C241" s="231" t="inlineStr">
        <is>
          <t>是</t>
        </is>
      </c>
      <c r="D241" s="231" t="n">
        <v>11</v>
      </c>
      <c r="E241" s="231" t="inlineStr"/>
      <c r="F241" s="231" t="inlineStr"/>
      <c r="G241" s="231" t="inlineStr"/>
      <c r="H241" s="231" t="inlineStr"/>
      <c r="I241" s="231" t="inlineStr"/>
      <c r="J241" s="27" t="inlineStr"/>
      <c r="K241" s="27" t="inlineStr"/>
      <c r="L241" s="231" t="n">
        <v>100</v>
      </c>
      <c r="M241" s="19" t="inlineStr">
        <is>
          <t>Product-37275E77</t>
        </is>
      </c>
      <c r="N241" s="231" t="n">
        <v>3</v>
      </c>
      <c r="O241" s="181">
        <f>SUM(P241:AB241)</f>
        <v/>
      </c>
      <c r="P241" s="182" t="n">
        <v>68</v>
      </c>
      <c r="Q241" s="182" t="n">
        <v>130</v>
      </c>
      <c r="R241" s="182" t="n">
        <v>22</v>
      </c>
      <c r="S241" s="182" t="n">
        <v>50</v>
      </c>
      <c r="T241" s="182" t="n">
        <v>95</v>
      </c>
      <c r="U241" s="182" t="n">
        <v>46</v>
      </c>
      <c r="V241" s="182" t="n">
        <v>30</v>
      </c>
      <c r="W241" s="182" t="n">
        <v>60</v>
      </c>
      <c r="X241" s="182" t="n">
        <v>91.2</v>
      </c>
      <c r="Y241" s="182" t="n">
        <v>250</v>
      </c>
      <c r="Z241" s="182" t="n">
        <v>73</v>
      </c>
      <c r="AA241" s="182" t="n">
        <v>37.6</v>
      </c>
      <c r="AB241" s="182" t="n">
        <v>50.5</v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4" t="n"/>
      <c r="B242" s="231" t="inlineStr">
        <is>
          <t>SKU-74022443</t>
        </is>
      </c>
      <c r="C242" s="231" t="inlineStr">
        <is>
          <t>是</t>
        </is>
      </c>
      <c r="D242" s="231" t="n">
        <v>7</v>
      </c>
      <c r="E242" s="231" t="inlineStr">
        <is>
          <t>是</t>
        </is>
      </c>
      <c r="F242" s="231" t="inlineStr"/>
      <c r="G242" s="231" t="inlineStr"/>
      <c r="H242" s="231" t="inlineStr">
        <is>
          <t>是</t>
        </is>
      </c>
      <c r="I242" s="231" t="inlineStr">
        <is>
          <t>是</t>
        </is>
      </c>
      <c r="J242" s="27" t="inlineStr">
        <is>
          <t>共</t>
        </is>
      </c>
      <c r="K242" s="27" t="inlineStr"/>
      <c r="L242" s="231" t="n">
        <v>100</v>
      </c>
      <c r="M242" s="19" t="inlineStr">
        <is>
          <t>Product-FC598C42</t>
        </is>
      </c>
      <c r="N242" s="231" t="n">
        <v>1</v>
      </c>
      <c r="O242" s="181">
        <f>SUM(P242:AB242)</f>
        <v/>
      </c>
      <c r="P242" s="182" t="n">
        <v>306</v>
      </c>
      <c r="Q242" s="182" t="n">
        <v>386</v>
      </c>
      <c r="R242" s="182" t="n">
        <v>379</v>
      </c>
      <c r="S242" s="182" t="n">
        <v>181</v>
      </c>
      <c r="T242" s="182" t="n">
        <v>212</v>
      </c>
      <c r="U242" s="182" t="n">
        <v>185</v>
      </c>
      <c r="V242" s="182" t="n">
        <v>174</v>
      </c>
      <c r="W242" s="182" t="n">
        <v>513</v>
      </c>
      <c r="X242" s="182" t="n">
        <v>300</v>
      </c>
      <c r="Y242" s="182" t="n">
        <v>192</v>
      </c>
      <c r="Z242" s="182" t="n">
        <v>235</v>
      </c>
      <c r="AA242" s="182" t="n">
        <v>200</v>
      </c>
      <c r="AB242" s="182" t="n">
        <v>132</v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4" t="n"/>
      <c r="B243" s="231" t="inlineStr">
        <is>
          <t>SKU-6F1556A7</t>
        </is>
      </c>
      <c r="C243" s="231" t="inlineStr">
        <is>
          <t>是</t>
        </is>
      </c>
      <c r="D243" s="231" t="n">
        <v>6</v>
      </c>
      <c r="E243" s="231" t="inlineStr">
        <is>
          <t>是</t>
        </is>
      </c>
      <c r="F243" s="231" t="inlineStr"/>
      <c r="G243" s="231" t="inlineStr"/>
      <c r="H243" s="231" t="inlineStr">
        <is>
          <t>是</t>
        </is>
      </c>
      <c r="I243" s="231" t="inlineStr">
        <is>
          <t>是</t>
        </is>
      </c>
      <c r="J243" s="27" t="inlineStr"/>
      <c r="K243" s="27" t="inlineStr"/>
      <c r="L243" s="231" t="n">
        <v>100</v>
      </c>
      <c r="M243" s="19" t="inlineStr">
        <is>
          <t>Product-76A9C072</t>
        </is>
      </c>
      <c r="N243" s="231" t="n">
        <v>1</v>
      </c>
      <c r="O243" s="181">
        <f>SUM(P243:AB243)</f>
        <v/>
      </c>
      <c r="P243" s="182" t="n">
        <v>5.9</v>
      </c>
      <c r="Q243" s="182" t="n">
        <v>7</v>
      </c>
      <c r="R243" s="182" t="n">
        <v>6.9</v>
      </c>
      <c r="S243" s="182" t="n">
        <v>3.4</v>
      </c>
      <c r="T243" s="182" t="n">
        <v>4.1</v>
      </c>
      <c r="U243" s="182" t="n">
        <v>3.4</v>
      </c>
      <c r="V243" s="182" t="n">
        <v>3.3</v>
      </c>
      <c r="W243" s="182" t="n">
        <v>9.300000000000001</v>
      </c>
      <c r="X243" s="182" t="n">
        <v>5.4</v>
      </c>
      <c r="Y243" s="182" t="n">
        <v>3.9</v>
      </c>
      <c r="Z243" s="182" t="n">
        <v>4.3</v>
      </c>
      <c r="AA243" s="182" t="n">
        <v>3.6</v>
      </c>
      <c r="AB243" s="182" t="n">
        <v>2.5</v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4" t="n"/>
      <c r="B244" s="231" t="inlineStr">
        <is>
          <t>SKU-D9263F39</t>
        </is>
      </c>
      <c r="C244" s="231" t="inlineStr">
        <is>
          <t>是</t>
        </is>
      </c>
      <c r="D244" s="231" t="n">
        <v>8</v>
      </c>
      <c r="E244" s="231" t="inlineStr">
        <is>
          <t>是</t>
        </is>
      </c>
      <c r="F244" s="231" t="inlineStr"/>
      <c r="G244" s="231" t="inlineStr"/>
      <c r="H244" s="231" t="inlineStr">
        <is>
          <t>是</t>
        </is>
      </c>
      <c r="I244" s="231" t="inlineStr">
        <is>
          <t>是</t>
        </is>
      </c>
      <c r="J244" s="27" t="inlineStr"/>
      <c r="K244" s="27" t="inlineStr"/>
      <c r="L244" s="231" t="n">
        <v>100</v>
      </c>
      <c r="M244" s="19" t="inlineStr">
        <is>
          <t>Product-D1698B4E</t>
        </is>
      </c>
      <c r="N244" s="231" t="n">
        <v>1</v>
      </c>
      <c r="O244" s="181">
        <f>SUM(P244:AB244)</f>
        <v/>
      </c>
      <c r="P244" s="182" t="n">
        <v>72</v>
      </c>
      <c r="Q244" s="182" t="n">
        <v>143</v>
      </c>
      <c r="R244" s="182" t="n">
        <v>35</v>
      </c>
      <c r="S244" s="182" t="n">
        <v>20</v>
      </c>
      <c r="T244" s="182" t="n">
        <v>70</v>
      </c>
      <c r="U244" s="182" t="n">
        <v>51</v>
      </c>
      <c r="V244" s="182" t="n">
        <v>73</v>
      </c>
      <c r="W244" s="182" t="n">
        <v>85</v>
      </c>
      <c r="X244" s="182" t="n">
        <v>70</v>
      </c>
      <c r="Y244" s="182" t="n">
        <v>60</v>
      </c>
      <c r="Z244" s="182" t="n">
        <v>46</v>
      </c>
      <c r="AA244" s="182" t="n">
        <v>73.8</v>
      </c>
      <c r="AB244" s="182" t="n">
        <v>105.9</v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4" t="n"/>
      <c r="B245" s="231" t="inlineStr">
        <is>
          <t>SKU-A2042F81</t>
        </is>
      </c>
      <c r="C245" s="231" t="inlineStr">
        <is>
          <t>是</t>
        </is>
      </c>
      <c r="D245" s="231" t="n">
        <v>8</v>
      </c>
      <c r="E245" s="231" t="inlineStr"/>
      <c r="F245" s="231" t="inlineStr">
        <is>
          <t>是</t>
        </is>
      </c>
      <c r="G245" s="231" t="inlineStr"/>
      <c r="H245" s="231" t="inlineStr"/>
      <c r="I245" s="231" t="inlineStr">
        <is>
          <t>是</t>
        </is>
      </c>
      <c r="J245" s="27" t="inlineStr"/>
      <c r="K245" s="27" t="inlineStr"/>
      <c r="L245" s="231" t="n">
        <v>100</v>
      </c>
      <c r="M245" s="19" t="inlineStr">
        <is>
          <t>Product-1E515825</t>
        </is>
      </c>
      <c r="N245" s="231" t="n">
        <v>1</v>
      </c>
      <c r="O245" s="181">
        <f>SUM(P245:AB245)</f>
        <v/>
      </c>
      <c r="P245" s="182" t="n">
        <v>10.3</v>
      </c>
      <c r="Q245" s="182" t="n">
        <v>12.2</v>
      </c>
      <c r="R245" s="182" t="n">
        <v>6</v>
      </c>
      <c r="S245" s="182" t="n">
        <v>5.9</v>
      </c>
      <c r="T245" s="182" t="n">
        <v>7.2</v>
      </c>
      <c r="U245" s="182" t="n">
        <v>5.9</v>
      </c>
      <c r="V245" s="182" t="n">
        <v>5.7</v>
      </c>
      <c r="W245" s="182" t="n">
        <v>16.2</v>
      </c>
      <c r="X245" s="182" t="n">
        <v>9.5</v>
      </c>
      <c r="Y245" s="182" t="n">
        <v>6.8</v>
      </c>
      <c r="Z245" s="182" t="n">
        <v>7.5</v>
      </c>
      <c r="AA245" s="182" t="n">
        <v>6.4</v>
      </c>
      <c r="AB245" s="182" t="n">
        <v>4.4</v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4" t="n"/>
      <c r="B246" s="231" t="inlineStr">
        <is>
          <t>SKU-0A2F7001</t>
        </is>
      </c>
      <c r="C246" s="231" t="inlineStr"/>
      <c r="D246" s="231" t="n">
        <v>10</v>
      </c>
      <c r="E246" s="231" t="inlineStr"/>
      <c r="F246" s="231" t="inlineStr"/>
      <c r="G246" s="231" t="inlineStr"/>
      <c r="H246" s="231" t="inlineStr"/>
      <c r="I246" s="231" t="inlineStr"/>
      <c r="J246" s="27" t="inlineStr"/>
      <c r="K246" s="27" t="inlineStr"/>
      <c r="L246" s="231" t="n">
        <v>100</v>
      </c>
      <c r="M246" s="19" t="inlineStr">
        <is>
          <t>Product-FCAC2E38</t>
        </is>
      </c>
      <c r="N246" s="231" t="n">
        <v>3</v>
      </c>
      <c r="O246" s="181">
        <f>SUM(P246:AB246)</f>
        <v/>
      </c>
      <c r="P246" s="182" t="n">
        <v>276</v>
      </c>
      <c r="Q246" s="182" t="n">
        <v>269</v>
      </c>
      <c r="R246" s="182" t="n">
        <v>290</v>
      </c>
      <c r="S246" s="182" t="n">
        <v>156</v>
      </c>
      <c r="T246" s="182" t="n">
        <v>180</v>
      </c>
      <c r="U246" s="182" t="n">
        <v>179</v>
      </c>
      <c r="V246" s="182" t="n">
        <v>134</v>
      </c>
      <c r="W246" s="182" t="n">
        <v>422</v>
      </c>
      <c r="X246" s="182" t="n">
        <v>317</v>
      </c>
      <c r="Y246" s="182" t="n">
        <v>212</v>
      </c>
      <c r="Z246" s="182" t="n">
        <v>215</v>
      </c>
      <c r="AA246" s="182" t="n">
        <v>208</v>
      </c>
      <c r="AB246" s="182" t="n">
        <v>182</v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5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 t="n">
        <v>739.7</v>
      </c>
      <c r="Q247" s="51" t="n">
        <v>949</v>
      </c>
      <c r="R247" s="51" t="n">
        <v>740.6</v>
      </c>
      <c r="S247" s="51" t="n">
        <v>417.2</v>
      </c>
      <c r="T247" s="51" t="n">
        <v>569.3</v>
      </c>
      <c r="U247" s="51" t="n">
        <v>471.2</v>
      </c>
      <c r="V247" s="51" t="n">
        <v>420.8</v>
      </c>
      <c r="W247" s="51" t="n">
        <v>1107.9</v>
      </c>
      <c r="X247" s="51" t="n">
        <v>794.5</v>
      </c>
      <c r="Y247" s="51" t="n">
        <v>725.7</v>
      </c>
      <c r="Z247" s="51" t="n">
        <v>581.9</v>
      </c>
      <c r="AA247" s="51" t="n">
        <v>530.3</v>
      </c>
      <c r="AB247" s="51" t="n">
        <v>477.9</v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31" t="inlineStr">
        <is>
          <t>SKU-ED222C1F</t>
        </is>
      </c>
      <c r="C248" s="231" t="inlineStr">
        <is>
          <t>是</t>
        </is>
      </c>
      <c r="D248" s="231" t="n">
        <v>11</v>
      </c>
      <c r="E248" s="231" t="inlineStr"/>
      <c r="F248" s="231" t="inlineStr"/>
      <c r="G248" s="231" t="inlineStr"/>
      <c r="H248" s="231" t="inlineStr"/>
      <c r="I248" s="231" t="inlineStr"/>
      <c r="J248" s="27" t="inlineStr">
        <is>
          <t>共</t>
        </is>
      </c>
      <c r="K248" s="27" t="inlineStr"/>
      <c r="L248" s="231" t="n">
        <v>100</v>
      </c>
      <c r="M248" s="19" t="inlineStr">
        <is>
          <t>Product-7064CA4A</t>
        </is>
      </c>
      <c r="N248" s="231" t="n">
        <v>1</v>
      </c>
      <c r="O248" s="181">
        <f>SUM(P248:AB248)</f>
        <v/>
      </c>
      <c r="P248" s="182" t="n">
        <v>320</v>
      </c>
      <c r="Q248" s="182" t="n">
        <v>220</v>
      </c>
      <c r="R248" s="182" t="n">
        <v>180</v>
      </c>
      <c r="S248" s="182" t="n">
        <v>170</v>
      </c>
      <c r="T248" s="182" t="n">
        <v>128</v>
      </c>
      <c r="U248" s="182" t="n">
        <v>148</v>
      </c>
      <c r="V248" s="182" t="n">
        <v>70</v>
      </c>
      <c r="W248" s="182" t="n">
        <v>300</v>
      </c>
      <c r="X248" s="182" t="n">
        <v>157</v>
      </c>
      <c r="Y248" s="182" t="n">
        <v>210</v>
      </c>
      <c r="Z248" s="182" t="n">
        <v>148</v>
      </c>
      <c r="AA248" s="182" t="n">
        <v>200</v>
      </c>
      <c r="AB248" s="182" t="n">
        <v>48.8</v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4" t="n"/>
      <c r="B249" s="231" t="inlineStr">
        <is>
          <t>SKU-0B9EE4CD</t>
        </is>
      </c>
      <c r="C249" s="231" t="inlineStr">
        <is>
          <t>是</t>
        </is>
      </c>
      <c r="D249" s="231" t="n">
        <v>10</v>
      </c>
      <c r="E249" s="231" t="inlineStr"/>
      <c r="F249" s="231" t="inlineStr"/>
      <c r="G249" s="231" t="inlineStr"/>
      <c r="H249" s="231" t="inlineStr"/>
      <c r="I249" s="231" t="inlineStr"/>
      <c r="J249" s="27" t="inlineStr"/>
      <c r="K249" s="27" t="inlineStr"/>
      <c r="L249" s="231" t="n">
        <v>100</v>
      </c>
      <c r="M249" s="19" t="inlineStr">
        <is>
          <t>Product-326C7E91</t>
        </is>
      </c>
      <c r="N249" s="231" t="n">
        <v>2</v>
      </c>
      <c r="O249" s="181">
        <f>SUM(P249:AB249)</f>
        <v/>
      </c>
      <c r="P249" s="182" t="n">
        <v>405.6</v>
      </c>
      <c r="Q249" s="182" t="n">
        <v>504.7</v>
      </c>
      <c r="R249" s="182" t="n">
        <v>901.2</v>
      </c>
      <c r="S249" s="182" t="n">
        <v>333.5</v>
      </c>
      <c r="T249" s="182" t="n">
        <v>360.5</v>
      </c>
      <c r="U249" s="182" t="n">
        <v>414.6</v>
      </c>
      <c r="V249" s="182" t="n">
        <v>703</v>
      </c>
      <c r="W249" s="182" t="n">
        <v>811.1</v>
      </c>
      <c r="X249" s="182" t="n">
        <v>1225.2</v>
      </c>
      <c r="Y249" s="182" t="n">
        <v>540.7</v>
      </c>
      <c r="Z249" s="182" t="n">
        <v>630.9</v>
      </c>
      <c r="AA249" s="182" t="n">
        <v>642.8</v>
      </c>
      <c r="AB249" s="182" t="n">
        <v>226.2</v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4" t="n"/>
      <c r="B250" s="231" t="inlineStr">
        <is>
          <t>SKU-92F9812B</t>
        </is>
      </c>
      <c r="C250" s="231" t="inlineStr">
        <is>
          <t>是</t>
        </is>
      </c>
      <c r="D250" s="231" t="n">
        <v>8</v>
      </c>
      <c r="E250" s="231" t="inlineStr"/>
      <c r="F250" s="231" t="inlineStr"/>
      <c r="G250" s="231" t="inlineStr"/>
      <c r="H250" s="231" t="inlineStr"/>
      <c r="I250" s="231" t="inlineStr"/>
      <c r="J250" s="27" t="inlineStr"/>
      <c r="K250" s="27" t="inlineStr"/>
      <c r="L250" s="231" t="n">
        <v>100</v>
      </c>
      <c r="M250" s="19" t="inlineStr">
        <is>
          <t>Product-68B82AAE</t>
        </is>
      </c>
      <c r="N250" s="231" t="n">
        <v>3</v>
      </c>
      <c r="O250" s="181">
        <f>SUM(P250:AB250)</f>
        <v/>
      </c>
      <c r="P250" s="182" t="n">
        <v>198.9</v>
      </c>
      <c r="Q250" s="182" t="n">
        <v>169.7</v>
      </c>
      <c r="R250" s="182" t="n">
        <v>442.8</v>
      </c>
      <c r="S250" s="182" t="n">
        <v>226.8</v>
      </c>
      <c r="T250" s="182" t="n">
        <v>129.6</v>
      </c>
      <c r="U250" s="182" t="n">
        <v>171.7</v>
      </c>
      <c r="V250" s="182" t="n">
        <v>86.40000000000001</v>
      </c>
      <c r="W250" s="182" t="n">
        <v>194.5</v>
      </c>
      <c r="X250" s="182" t="n">
        <v>338.5</v>
      </c>
      <c r="Y250" s="182" t="n">
        <v>118.8</v>
      </c>
      <c r="Z250" s="182" t="n">
        <v>183.6</v>
      </c>
      <c r="AA250" s="182" t="n">
        <v>406.3</v>
      </c>
      <c r="AB250" s="182" t="n">
        <v>132.4</v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4" t="n"/>
      <c r="B251" s="231" t="inlineStr">
        <is>
          <t>SKU-6D767F9B</t>
        </is>
      </c>
      <c r="C251" s="231" t="inlineStr">
        <is>
          <t>是</t>
        </is>
      </c>
      <c r="D251" s="231" t="n">
        <v>8</v>
      </c>
      <c r="E251" s="231" t="inlineStr"/>
      <c r="F251" s="231" t="inlineStr"/>
      <c r="G251" s="231" t="inlineStr"/>
      <c r="H251" s="231" t="inlineStr"/>
      <c r="I251" s="231" t="inlineStr"/>
      <c r="J251" s="27" t="inlineStr">
        <is>
          <t>共</t>
        </is>
      </c>
      <c r="K251" s="27" t="inlineStr"/>
      <c r="L251" s="231" t="n">
        <v>100</v>
      </c>
      <c r="M251" s="19" t="inlineStr">
        <is>
          <t>Product-1D13312B</t>
        </is>
      </c>
      <c r="N251" s="231" t="n">
        <v>1</v>
      </c>
      <c r="O251" s="181">
        <f>SUM(P251:AB251)</f>
        <v/>
      </c>
      <c r="P251" s="182" t="n">
        <v>10.5</v>
      </c>
      <c r="Q251" s="182" t="n">
        <v>12.5</v>
      </c>
      <c r="R251" s="182" t="n">
        <v>9</v>
      </c>
      <c r="S251" s="182" t="n">
        <v>6</v>
      </c>
      <c r="T251" s="182" t="n">
        <v>7.3</v>
      </c>
      <c r="U251" s="182" t="n">
        <v>6</v>
      </c>
      <c r="V251" s="182" t="n">
        <v>5.8</v>
      </c>
      <c r="W251" s="182" t="n">
        <v>16.4</v>
      </c>
      <c r="X251" s="182" t="n">
        <v>9.699999999999999</v>
      </c>
      <c r="Y251" s="182" t="n">
        <v>7</v>
      </c>
      <c r="Z251" s="182" t="n">
        <v>7.6</v>
      </c>
      <c r="AA251" s="182" t="n">
        <v>6.5</v>
      </c>
      <c r="AB251" s="182" t="n">
        <v>4.5</v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4" t="n"/>
      <c r="B252" s="231" t="inlineStr">
        <is>
          <t>SKU-863FBBD8</t>
        </is>
      </c>
      <c r="C252" s="231" t="inlineStr">
        <is>
          <t>是</t>
        </is>
      </c>
      <c r="D252" s="231" t="n">
        <v>8</v>
      </c>
      <c r="E252" s="231" t="inlineStr">
        <is>
          <t>是</t>
        </is>
      </c>
      <c r="F252" s="231" t="inlineStr"/>
      <c r="G252" s="231" t="inlineStr"/>
      <c r="H252" s="231" t="inlineStr"/>
      <c r="I252" s="231" t="inlineStr">
        <is>
          <t>是</t>
        </is>
      </c>
      <c r="J252" s="27" t="inlineStr"/>
      <c r="K252" s="27" t="inlineStr"/>
      <c r="L252" s="231" t="n">
        <v>100</v>
      </c>
      <c r="M252" s="19" t="inlineStr">
        <is>
          <t>Product-377B2B0D</t>
        </is>
      </c>
      <c r="N252" s="231" t="n">
        <v>1</v>
      </c>
      <c r="O252" s="181">
        <f>SUM(P252:AB252)</f>
        <v/>
      </c>
      <c r="P252" s="182" t="n">
        <v>18.4</v>
      </c>
      <c r="Q252" s="182" t="n">
        <v>67</v>
      </c>
      <c r="R252" s="182" t="n">
        <v>15</v>
      </c>
      <c r="S252" s="182" t="n">
        <v>9</v>
      </c>
      <c r="T252" s="182" t="n">
        <v>30</v>
      </c>
      <c r="U252" s="182" t="n">
        <v>10.7</v>
      </c>
      <c r="V252" s="182" t="n">
        <v>9</v>
      </c>
      <c r="W252" s="182" t="n">
        <v>20</v>
      </c>
      <c r="X252" s="182" t="n">
        <v>26.6</v>
      </c>
      <c r="Y252" s="182" t="n">
        <v>5</v>
      </c>
      <c r="Z252" s="182" t="n">
        <v>0</v>
      </c>
      <c r="AA252" s="182" t="n">
        <v>12.6</v>
      </c>
      <c r="AB252" s="182" t="n">
        <v>14.8</v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4" t="n"/>
      <c r="B253" s="231" t="inlineStr">
        <is>
          <t>SKU-FFD87C9A</t>
        </is>
      </c>
      <c r="C253" s="231" t="inlineStr">
        <is>
          <t>是</t>
        </is>
      </c>
      <c r="D253" s="231" t="n">
        <v>8</v>
      </c>
      <c r="E253" s="231" t="inlineStr">
        <is>
          <t>是</t>
        </is>
      </c>
      <c r="F253" s="231" t="inlineStr"/>
      <c r="G253" s="231" t="inlineStr"/>
      <c r="H253" s="231" t="inlineStr"/>
      <c r="I253" s="231" t="inlineStr">
        <is>
          <t>是</t>
        </is>
      </c>
      <c r="J253" s="27" t="inlineStr">
        <is>
          <t>共</t>
        </is>
      </c>
      <c r="K253" s="27" t="inlineStr"/>
      <c r="L253" s="231" t="n">
        <v>100</v>
      </c>
      <c r="M253" s="19" t="inlineStr">
        <is>
          <t>Product-5C6F883D</t>
        </is>
      </c>
      <c r="N253" s="231" t="n">
        <v>1</v>
      </c>
      <c r="O253" s="181">
        <f>SUM(P253:AB253)</f>
        <v/>
      </c>
      <c r="P253" s="182" t="n">
        <v>7.7</v>
      </c>
      <c r="Q253" s="182" t="n">
        <v>9.1</v>
      </c>
      <c r="R253" s="182" t="n">
        <v>6</v>
      </c>
      <c r="S253" s="182" t="n">
        <v>4.4</v>
      </c>
      <c r="T253" s="182" t="n">
        <v>5.3</v>
      </c>
      <c r="U253" s="182" t="n">
        <v>4.4</v>
      </c>
      <c r="V253" s="182" t="n">
        <v>4.3</v>
      </c>
      <c r="W253" s="182" t="n">
        <v>12</v>
      </c>
      <c r="X253" s="182" t="n">
        <v>7.1</v>
      </c>
      <c r="Y253" s="182" t="n">
        <v>5.1</v>
      </c>
      <c r="Z253" s="182" t="n">
        <v>5.6</v>
      </c>
      <c r="AA253" s="182" t="n">
        <v>4.7</v>
      </c>
      <c r="AB253" s="182" t="n">
        <v>3.3</v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4" t="n"/>
      <c r="B254" s="231" t="inlineStr">
        <is>
          <t>SKU-16F93B6E</t>
        </is>
      </c>
      <c r="C254" s="231" t="inlineStr">
        <is>
          <t>是</t>
        </is>
      </c>
      <c r="D254" s="231" t="n">
        <v>10</v>
      </c>
      <c r="E254" s="231" t="inlineStr"/>
      <c r="F254" s="231" t="inlineStr">
        <is>
          <t>是</t>
        </is>
      </c>
      <c r="G254" s="231" t="inlineStr"/>
      <c r="H254" s="231" t="inlineStr"/>
      <c r="I254" s="231" t="inlineStr">
        <is>
          <t>是</t>
        </is>
      </c>
      <c r="J254" s="27" t="inlineStr"/>
      <c r="K254" s="27" t="inlineStr"/>
      <c r="L254" s="231" t="n">
        <v>100</v>
      </c>
      <c r="M254" s="19" t="inlineStr">
        <is>
          <t>Product-BB81D184</t>
        </is>
      </c>
      <c r="N254" s="231" t="n">
        <v>1</v>
      </c>
      <c r="O254" s="181">
        <f>SUM(P254:AB254)</f>
        <v/>
      </c>
      <c r="P254" s="182" t="n">
        <v>356.8</v>
      </c>
      <c r="Q254" s="182" t="n">
        <v>350</v>
      </c>
      <c r="R254" s="182" t="n">
        <v>330</v>
      </c>
      <c r="S254" s="182" t="n">
        <v>208</v>
      </c>
      <c r="T254" s="182" t="n">
        <v>254</v>
      </c>
      <c r="U254" s="182" t="n">
        <v>208</v>
      </c>
      <c r="V254" s="182" t="n">
        <v>204</v>
      </c>
      <c r="W254" s="182" t="n">
        <v>546</v>
      </c>
      <c r="X254" s="182" t="n">
        <v>338</v>
      </c>
      <c r="Y254" s="182" t="n">
        <v>244</v>
      </c>
      <c r="Z254" s="182" t="n">
        <v>264</v>
      </c>
      <c r="AA254" s="182" t="n">
        <v>226</v>
      </c>
      <c r="AB254" s="182" t="n">
        <v>60</v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4" t="n"/>
      <c r="B255" s="231" t="inlineStr">
        <is>
          <t>SKU-0C7C3AA6</t>
        </is>
      </c>
      <c r="C255" s="231" t="inlineStr">
        <is>
          <t>是</t>
        </is>
      </c>
      <c r="D255" s="231" t="n">
        <v>8</v>
      </c>
      <c r="E255" s="231" t="inlineStr">
        <is>
          <t>是</t>
        </is>
      </c>
      <c r="F255" s="231" t="inlineStr"/>
      <c r="G255" s="231" t="inlineStr"/>
      <c r="H255" s="231" t="inlineStr"/>
      <c r="I255" s="231" t="inlineStr">
        <is>
          <t>是</t>
        </is>
      </c>
      <c r="J255" s="27" t="inlineStr"/>
      <c r="K255" s="27" t="inlineStr"/>
      <c r="L255" s="231" t="n">
        <v>100</v>
      </c>
      <c r="M255" s="44" t="inlineStr">
        <is>
          <t>Product-723A3C46</t>
        </is>
      </c>
      <c r="N255" s="231" t="n">
        <v>1</v>
      </c>
      <c r="O255" s="181">
        <f>SUM(P255:AB255)</f>
        <v/>
      </c>
      <c r="P255" s="182" t="n">
        <v>0</v>
      </c>
      <c r="Q255" s="182" t="n">
        <v>0</v>
      </c>
      <c r="R255" s="182" t="n">
        <v>0</v>
      </c>
      <c r="S255" s="182" t="n">
        <v>0</v>
      </c>
      <c r="T255" s="182" t="n">
        <v>0</v>
      </c>
      <c r="U255" s="182" t="n">
        <v>0</v>
      </c>
      <c r="V255" s="182" t="n">
        <v>0</v>
      </c>
      <c r="W255" s="182" t="n">
        <v>0</v>
      </c>
      <c r="X255" s="182" t="n">
        <v>0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4" t="n"/>
      <c r="B256" s="231" t="inlineStr">
        <is>
          <t>SKU-CCF1AA57</t>
        </is>
      </c>
      <c r="C256" s="231" t="inlineStr">
        <is>
          <t>是</t>
        </is>
      </c>
      <c r="D256" s="231" t="n">
        <v>8</v>
      </c>
      <c r="E256" s="231" t="inlineStr">
        <is>
          <t>是</t>
        </is>
      </c>
      <c r="F256" s="231" t="inlineStr"/>
      <c r="G256" s="231" t="inlineStr"/>
      <c r="H256" s="231" t="inlineStr"/>
      <c r="I256" s="231" t="inlineStr">
        <is>
          <t>是</t>
        </is>
      </c>
      <c r="J256" s="27" t="inlineStr">
        <is>
          <t>共</t>
        </is>
      </c>
      <c r="K256" s="27" t="inlineStr"/>
      <c r="L256" s="231" t="n">
        <v>100</v>
      </c>
      <c r="M256" s="19" t="inlineStr">
        <is>
          <t>Product-AA885DE6</t>
        </is>
      </c>
      <c r="N256" s="231" t="n">
        <v>2</v>
      </c>
      <c r="O256" s="181">
        <f>SUM(P256:AB256)</f>
        <v/>
      </c>
      <c r="P256" s="182" t="n">
        <v>685</v>
      </c>
      <c r="Q256" s="182" t="n">
        <v>1064</v>
      </c>
      <c r="R256" s="182" t="n">
        <v>872.9</v>
      </c>
      <c r="S256" s="182" t="n">
        <v>430</v>
      </c>
      <c r="T256" s="182" t="n">
        <v>240</v>
      </c>
      <c r="U256" s="182" t="n">
        <v>332</v>
      </c>
      <c r="V256" s="182" t="n">
        <v>430</v>
      </c>
      <c r="W256" s="182" t="n">
        <v>950</v>
      </c>
      <c r="X256" s="182" t="n">
        <v>714.2</v>
      </c>
      <c r="Y256" s="182" t="n">
        <v>400</v>
      </c>
      <c r="Z256" s="182" t="n">
        <v>645</v>
      </c>
      <c r="AA256" s="182" t="n">
        <v>371.2</v>
      </c>
      <c r="AB256" s="182" t="n">
        <v>320</v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4" t="n"/>
      <c r="B257" s="231" t="inlineStr">
        <is>
          <t>SKU-C608A627</t>
        </is>
      </c>
      <c r="C257" s="231" t="inlineStr">
        <is>
          <t>是</t>
        </is>
      </c>
      <c r="D257" s="231" t="n">
        <v>10</v>
      </c>
      <c r="E257" s="231" t="inlineStr"/>
      <c r="F257" s="231" t="inlineStr">
        <is>
          <t>是</t>
        </is>
      </c>
      <c r="G257" s="231" t="inlineStr"/>
      <c r="H257" s="231" t="inlineStr">
        <is>
          <t>是</t>
        </is>
      </c>
      <c r="I257" s="231" t="inlineStr">
        <is>
          <t>是</t>
        </is>
      </c>
      <c r="J257" s="27" t="inlineStr"/>
      <c r="K257" s="27" t="inlineStr"/>
      <c r="L257" s="231" t="n">
        <v>100</v>
      </c>
      <c r="M257" s="43" t="inlineStr">
        <is>
          <t>Product-58C688E6</t>
        </is>
      </c>
      <c r="N257" s="231" t="n">
        <v>1</v>
      </c>
      <c r="O257" s="181">
        <f>SUM(P257:AB257)</f>
        <v/>
      </c>
      <c r="P257" s="182" t="n">
        <v>24.8</v>
      </c>
      <c r="Q257" s="182" t="n">
        <v>33.3696</v>
      </c>
      <c r="R257" s="182" t="n">
        <v>26</v>
      </c>
      <c r="S257" s="182" t="n">
        <v>15.9584</v>
      </c>
      <c r="T257" s="182" t="n">
        <v>19.552</v>
      </c>
      <c r="U257" s="182" t="n">
        <v>15.968</v>
      </c>
      <c r="V257" s="182" t="n">
        <v>15.6352</v>
      </c>
      <c r="W257" s="182" t="n">
        <v>44.32</v>
      </c>
      <c r="X257" s="182" t="n">
        <v>25.936</v>
      </c>
      <c r="Y257" s="182" t="n">
        <v>18.6432</v>
      </c>
      <c r="Z257" s="182" t="n">
        <v>20.3392</v>
      </c>
      <c r="AA257" s="182" t="n">
        <v>17.3472</v>
      </c>
      <c r="AB257" s="182" t="n">
        <v>12.0704</v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4" t="n"/>
      <c r="B258" s="231" t="inlineStr">
        <is>
          <t>SKU-4CE8EF8A</t>
        </is>
      </c>
      <c r="C258" s="231" t="inlineStr">
        <is>
          <t>是</t>
        </is>
      </c>
      <c r="D258" s="231" t="n">
        <v>10</v>
      </c>
      <c r="E258" s="231" t="inlineStr"/>
      <c r="F258" s="231" t="inlineStr">
        <is>
          <t>是</t>
        </is>
      </c>
      <c r="G258" s="231" t="inlineStr"/>
      <c r="H258" s="231" t="inlineStr"/>
      <c r="I258" s="231" t="inlineStr">
        <is>
          <t>是</t>
        </is>
      </c>
      <c r="J258" s="27" t="inlineStr"/>
      <c r="K258" s="27" t="inlineStr"/>
      <c r="L258" s="231" t="n">
        <v>100</v>
      </c>
      <c r="M258" s="43" t="inlineStr">
        <is>
          <t>Product-B62DC373</t>
        </is>
      </c>
      <c r="N258" s="231" t="n">
        <v>1</v>
      </c>
      <c r="O258" s="181">
        <f>SUM(P258:AB258)</f>
        <v/>
      </c>
      <c r="P258" s="182" t="n">
        <v>0</v>
      </c>
      <c r="Q258" s="182" t="n">
        <v>0</v>
      </c>
      <c r="R258" s="182" t="n">
        <v>0</v>
      </c>
      <c r="S258" s="182" t="n">
        <v>0</v>
      </c>
      <c r="T258" s="182" t="n">
        <v>0</v>
      </c>
      <c r="U258" s="182" t="n">
        <v>0</v>
      </c>
      <c r="V258" s="182" t="n">
        <v>0</v>
      </c>
      <c r="W258" s="182" t="n">
        <v>0</v>
      </c>
      <c r="X258" s="182" t="n">
        <v>0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4" t="n"/>
      <c r="B259" s="231" t="inlineStr">
        <is>
          <t>SKU-99337284</t>
        </is>
      </c>
      <c r="C259" s="231" t="inlineStr">
        <is>
          <t>是</t>
        </is>
      </c>
      <c r="D259" s="231" t="n">
        <v>10</v>
      </c>
      <c r="E259" s="231" t="inlineStr"/>
      <c r="F259" s="231" t="inlineStr"/>
      <c r="G259" s="231" t="inlineStr"/>
      <c r="H259" s="231" t="inlineStr"/>
      <c r="I259" s="231" t="inlineStr"/>
      <c r="J259" s="27" t="inlineStr"/>
      <c r="K259" s="27" t="inlineStr"/>
      <c r="L259" s="231" t="n">
        <v>100</v>
      </c>
      <c r="M259" s="19" t="inlineStr">
        <is>
          <t>Product-0A287481</t>
        </is>
      </c>
      <c r="N259" s="231" t="n">
        <v>2</v>
      </c>
      <c r="O259" s="181">
        <f>SUM(P259:AB259)</f>
        <v/>
      </c>
      <c r="P259" s="182" t="n">
        <v>328</v>
      </c>
      <c r="Q259" s="182" t="n">
        <v>422.7</v>
      </c>
      <c r="R259" s="182" t="n">
        <v>415</v>
      </c>
      <c r="S259" s="182" t="n">
        <v>202.1</v>
      </c>
      <c r="T259" s="182" t="n">
        <v>247.7</v>
      </c>
      <c r="U259" s="182" t="n">
        <v>202.2</v>
      </c>
      <c r="V259" s="182" t="n">
        <v>198</v>
      </c>
      <c r="W259" s="182" t="n">
        <v>561.7</v>
      </c>
      <c r="X259" s="182" t="n">
        <v>328.5</v>
      </c>
      <c r="Y259" s="182" t="n">
        <v>236.1</v>
      </c>
      <c r="Z259" s="182" t="n">
        <v>257.6</v>
      </c>
      <c r="AA259" s="182" t="n">
        <v>219.7</v>
      </c>
      <c r="AB259" s="182" t="n">
        <v>152.9</v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4" t="n"/>
      <c r="B260" s="231" t="inlineStr">
        <is>
          <t>SKU-BD3F8D74</t>
        </is>
      </c>
      <c r="C260" s="231" t="inlineStr">
        <is>
          <t>是</t>
        </is>
      </c>
      <c r="D260" s="231" t="n">
        <v>8</v>
      </c>
      <c r="E260" s="231" t="inlineStr"/>
      <c r="F260" s="231" t="inlineStr">
        <is>
          <t>是</t>
        </is>
      </c>
      <c r="G260" s="231" t="inlineStr"/>
      <c r="H260" s="231" t="inlineStr"/>
      <c r="I260" s="231" t="inlineStr">
        <is>
          <t>是</t>
        </is>
      </c>
      <c r="J260" s="27" t="inlineStr"/>
      <c r="K260" s="27" t="inlineStr"/>
      <c r="L260" s="231" t="n">
        <v>100</v>
      </c>
      <c r="M260" s="19" t="inlineStr">
        <is>
          <t>Product-102ED313</t>
        </is>
      </c>
      <c r="N260" s="231" t="n">
        <v>1</v>
      </c>
      <c r="O260" s="181">
        <f>SUM(P260:AB260)</f>
        <v/>
      </c>
      <c r="P260" s="182" t="n">
        <v>2.3</v>
      </c>
      <c r="Q260" s="182" t="n">
        <v>2.8</v>
      </c>
      <c r="R260" s="182" t="n">
        <v>1</v>
      </c>
      <c r="S260" s="182" t="n">
        <v>1.3</v>
      </c>
      <c r="T260" s="182" t="n">
        <v>1.6</v>
      </c>
      <c r="U260" s="182" t="n">
        <v>1.3</v>
      </c>
      <c r="V260" s="182" t="n">
        <v>1.3</v>
      </c>
      <c r="W260" s="182" t="n">
        <v>3.8</v>
      </c>
      <c r="X260" s="182" t="n">
        <v>2.2</v>
      </c>
      <c r="Y260" s="182" t="n">
        <v>1.6</v>
      </c>
      <c r="Z260" s="182" t="n">
        <v>1.7</v>
      </c>
      <c r="AA260" s="182" t="n">
        <v>1.4</v>
      </c>
      <c r="AB260" s="182" t="n">
        <v>1</v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4" t="n"/>
      <c r="B261" s="231" t="inlineStr">
        <is>
          <t>SKU-B9F94FF9</t>
        </is>
      </c>
      <c r="C261" s="231" t="inlineStr">
        <is>
          <t>是</t>
        </is>
      </c>
      <c r="D261" s="231" t="n">
        <v>6</v>
      </c>
      <c r="E261" s="231" t="inlineStr">
        <is>
          <t>是</t>
        </is>
      </c>
      <c r="F261" s="231" t="inlineStr"/>
      <c r="G261" s="231" t="inlineStr"/>
      <c r="H261" s="231" t="inlineStr"/>
      <c r="I261" s="231" t="inlineStr">
        <is>
          <t>是</t>
        </is>
      </c>
      <c r="J261" s="27" t="inlineStr"/>
      <c r="K261" s="27" t="inlineStr"/>
      <c r="L261" s="231" t="n">
        <v>100</v>
      </c>
      <c r="M261" s="19" t="inlineStr">
        <is>
          <t>Product-7CC4665A</t>
        </is>
      </c>
      <c r="N261" s="231" t="n">
        <v>1</v>
      </c>
      <c r="O261" s="181">
        <f>SUM(P261:AB261)</f>
        <v/>
      </c>
      <c r="P261" s="182" t="n">
        <v>14</v>
      </c>
      <c r="Q261" s="182" t="n">
        <v>16.7</v>
      </c>
      <c r="R261" s="182" t="n">
        <v>16.4</v>
      </c>
      <c r="S261" s="182" t="n">
        <v>8</v>
      </c>
      <c r="T261" s="182" t="n">
        <v>9.800000000000001</v>
      </c>
      <c r="U261" s="182" t="n">
        <v>8</v>
      </c>
      <c r="V261" s="182" t="n">
        <v>7.8</v>
      </c>
      <c r="W261" s="182" t="n">
        <v>22.1</v>
      </c>
      <c r="X261" s="182" t="n">
        <v>13</v>
      </c>
      <c r="Y261" s="182" t="n">
        <v>9.300000000000001</v>
      </c>
      <c r="Z261" s="182" t="n">
        <v>10.2</v>
      </c>
      <c r="AA261" s="182" t="n">
        <v>8.699999999999999</v>
      </c>
      <c r="AB261" s="182" t="n">
        <v>6</v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4" t="n"/>
      <c r="B262" s="231" t="inlineStr">
        <is>
          <t>SKU-5AB8D10B</t>
        </is>
      </c>
      <c r="C262" s="231" t="inlineStr">
        <is>
          <t>是</t>
        </is>
      </c>
      <c r="D262" s="231" t="n">
        <v>8</v>
      </c>
      <c r="E262" s="231" t="inlineStr"/>
      <c r="F262" s="231" t="inlineStr">
        <is>
          <t>是</t>
        </is>
      </c>
      <c r="G262" s="231" t="inlineStr"/>
      <c r="H262" s="231" t="inlineStr"/>
      <c r="I262" s="231" t="inlineStr">
        <is>
          <t>是</t>
        </is>
      </c>
      <c r="J262" s="27" t="inlineStr"/>
      <c r="K262" s="27" t="inlineStr"/>
      <c r="L262" s="231" t="n">
        <v>100</v>
      </c>
      <c r="M262" s="19" t="inlineStr">
        <is>
          <t>Product-F8810BC1</t>
        </is>
      </c>
      <c r="N262" s="231" t="n">
        <v>1</v>
      </c>
      <c r="O262" s="181">
        <f>SUM(P262:AB262)</f>
        <v/>
      </c>
      <c r="P262" s="182" t="n">
        <v>14</v>
      </c>
      <c r="Q262" s="182" t="n">
        <v>16.7</v>
      </c>
      <c r="R262" s="182" t="n">
        <v>16.4</v>
      </c>
      <c r="S262" s="182" t="n">
        <v>8</v>
      </c>
      <c r="T262" s="182" t="n">
        <v>9.800000000000001</v>
      </c>
      <c r="U262" s="182" t="n">
        <v>8</v>
      </c>
      <c r="V262" s="182" t="n">
        <v>7.8</v>
      </c>
      <c r="W262" s="182" t="n">
        <v>22.1</v>
      </c>
      <c r="X262" s="182" t="n">
        <v>13</v>
      </c>
      <c r="Y262" s="182" t="n">
        <v>9.300000000000001</v>
      </c>
      <c r="Z262" s="182" t="n">
        <v>10.2</v>
      </c>
      <c r="AA262" s="182" t="n">
        <v>8.699999999999999</v>
      </c>
      <c r="AB262" s="182" t="n">
        <v>6</v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4" t="n"/>
      <c r="B263" s="231" t="inlineStr">
        <is>
          <t>SKU-0844DF49</t>
        </is>
      </c>
      <c r="C263" s="231" t="inlineStr">
        <is>
          <t>是</t>
        </is>
      </c>
      <c r="D263" s="231" t="n">
        <v>8</v>
      </c>
      <c r="E263" s="231" t="inlineStr"/>
      <c r="F263" s="231" t="inlineStr">
        <is>
          <t>是</t>
        </is>
      </c>
      <c r="G263" s="231" t="inlineStr"/>
      <c r="H263" s="231" t="inlineStr"/>
      <c r="I263" s="231" t="inlineStr">
        <is>
          <t>是</t>
        </is>
      </c>
      <c r="J263" s="27" t="inlineStr"/>
      <c r="K263" s="27" t="inlineStr"/>
      <c r="L263" s="231" t="n">
        <v>100</v>
      </c>
      <c r="M263" s="45" t="inlineStr">
        <is>
          <t>Product-FD260469</t>
        </is>
      </c>
      <c r="N263" s="231" t="n">
        <v>1</v>
      </c>
      <c r="O263" s="181">
        <f>SUM(P263:AB263)</f>
        <v/>
      </c>
      <c r="P263" s="182" t="n">
        <v>0</v>
      </c>
      <c r="Q263" s="182" t="n">
        <v>0</v>
      </c>
      <c r="R263" s="182" t="n">
        <v>0</v>
      </c>
      <c r="S263" s="182" t="n">
        <v>0</v>
      </c>
      <c r="T263" s="182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4" t="n"/>
      <c r="B264" s="231" t="inlineStr">
        <is>
          <t>SKU-FA2AEC54</t>
        </is>
      </c>
      <c r="C264" s="231" t="inlineStr">
        <is>
          <t>是</t>
        </is>
      </c>
      <c r="D264" s="231" t="n">
        <v>10</v>
      </c>
      <c r="E264" s="231" t="inlineStr"/>
      <c r="F264" s="231" t="inlineStr">
        <is>
          <t>是</t>
        </is>
      </c>
      <c r="G264" s="231" t="inlineStr"/>
      <c r="H264" s="231" t="inlineStr">
        <is>
          <t>是</t>
        </is>
      </c>
      <c r="I264" s="231" t="inlineStr">
        <is>
          <t>是</t>
        </is>
      </c>
      <c r="J264" s="27" t="inlineStr"/>
      <c r="K264" s="27" t="inlineStr"/>
      <c r="L264" s="231" t="n">
        <v>100</v>
      </c>
      <c r="M264" s="45" t="inlineStr">
        <is>
          <t>Product-58C688E6</t>
        </is>
      </c>
      <c r="N264" s="231" t="n">
        <v>1</v>
      </c>
      <c r="O264" s="181">
        <f>SUM(P264:AB264)</f>
        <v/>
      </c>
      <c r="P264" s="182" t="n">
        <v>0</v>
      </c>
      <c r="Q264" s="182" t="n">
        <v>0</v>
      </c>
      <c r="R264" s="182" t="n">
        <v>0</v>
      </c>
      <c r="S264" s="182" t="n">
        <v>0</v>
      </c>
      <c r="T264" s="182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4" t="n"/>
      <c r="B265" s="231" t="inlineStr">
        <is>
          <t>SKU-CE79E55C</t>
        </is>
      </c>
      <c r="C265" s="231" t="inlineStr">
        <is>
          <t>是</t>
        </is>
      </c>
      <c r="D265" s="231" t="n">
        <v>11</v>
      </c>
      <c r="E265" s="231" t="inlineStr"/>
      <c r="F265" s="231" t="inlineStr"/>
      <c r="G265" s="231" t="inlineStr"/>
      <c r="H265" s="231" t="inlineStr"/>
      <c r="I265" s="231" t="inlineStr"/>
      <c r="J265" s="27" t="inlineStr"/>
      <c r="K265" s="27" t="inlineStr"/>
      <c r="L265" s="231" t="n">
        <v>100</v>
      </c>
      <c r="M265" s="19" t="inlineStr">
        <is>
          <t>Product-7BC6A9A2</t>
        </is>
      </c>
      <c r="N265" s="231" t="n">
        <v>3</v>
      </c>
      <c r="O265" s="181">
        <f>SUM(P265:AB265)</f>
        <v/>
      </c>
      <c r="P265" s="182" t="n">
        <v>743.4</v>
      </c>
      <c r="Q265" s="182" t="n">
        <v>1666.8</v>
      </c>
      <c r="R265" s="182" t="n">
        <v>1038.2</v>
      </c>
      <c r="S265" s="182" t="n">
        <v>530.6</v>
      </c>
      <c r="T265" s="182" t="n">
        <v>747.8</v>
      </c>
      <c r="U265" s="182" t="n">
        <v>536.8</v>
      </c>
      <c r="V265" s="182" t="n">
        <v>772.3</v>
      </c>
      <c r="W265" s="182" t="n">
        <v>1256.4</v>
      </c>
      <c r="X265" s="182" t="n">
        <v>2074.7</v>
      </c>
      <c r="Y265" s="182" t="n">
        <v>1091.8</v>
      </c>
      <c r="Z265" s="182" t="n">
        <v>1953.8</v>
      </c>
      <c r="AA265" s="182" t="n">
        <v>1285</v>
      </c>
      <c r="AB265" s="182" t="n">
        <v>765.4</v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4" t="n"/>
      <c r="B266" s="231" t="inlineStr">
        <is>
          <t>SKU-D2BFADDA</t>
        </is>
      </c>
      <c r="C266" s="231" t="inlineStr">
        <is>
          <t>是</t>
        </is>
      </c>
      <c r="D266" s="231" t="n">
        <v>10</v>
      </c>
      <c r="E266" s="231" t="inlineStr"/>
      <c r="F266" s="231" t="inlineStr"/>
      <c r="G266" s="231" t="inlineStr"/>
      <c r="H266" s="231" t="inlineStr"/>
      <c r="I266" s="231" t="inlineStr"/>
      <c r="J266" s="27" t="inlineStr"/>
      <c r="K266" s="27" t="inlineStr"/>
      <c r="L266" s="231" t="n">
        <v>100</v>
      </c>
      <c r="M266" s="45" t="inlineStr">
        <is>
          <t>Product-ED8E1657</t>
        </is>
      </c>
      <c r="N266" s="231" t="n">
        <v>3</v>
      </c>
      <c r="O266" s="181">
        <f>SUM(P266:AB266)</f>
        <v/>
      </c>
      <c r="P266" s="182" t="n">
        <v>153</v>
      </c>
      <c r="Q266" s="182" t="n">
        <v>149</v>
      </c>
      <c r="R266" s="182" t="n">
        <v>161</v>
      </c>
      <c r="S266" s="182" t="n">
        <v>87</v>
      </c>
      <c r="T266" s="182" t="n">
        <v>100</v>
      </c>
      <c r="U266" s="182" t="n">
        <v>98</v>
      </c>
      <c r="V266" s="182" t="n">
        <v>74</v>
      </c>
      <c r="W266" s="182" t="n">
        <v>233</v>
      </c>
      <c r="X266" s="182" t="n">
        <v>176</v>
      </c>
      <c r="Y266" s="182" t="n">
        <v>118</v>
      </c>
      <c r="Z266" s="182" t="n">
        <v>119</v>
      </c>
      <c r="AA266" s="182" t="n">
        <v>115</v>
      </c>
      <c r="AB266" s="182" t="n">
        <v>101</v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4" t="n"/>
      <c r="B267" s="231" t="inlineStr">
        <is>
          <t>SKU-F85BCB9C</t>
        </is>
      </c>
      <c r="C267" s="231" t="inlineStr">
        <is>
          <t>是</t>
        </is>
      </c>
      <c r="D267" s="231" t="n">
        <v>10</v>
      </c>
      <c r="E267" s="231" t="inlineStr"/>
      <c r="F267" s="231" t="inlineStr"/>
      <c r="G267" s="231" t="inlineStr"/>
      <c r="H267" s="231" t="inlineStr"/>
      <c r="I267" s="231" t="inlineStr"/>
      <c r="J267" s="27" t="inlineStr"/>
      <c r="K267" s="27" t="inlineStr"/>
      <c r="L267" s="231" t="n">
        <v>100</v>
      </c>
      <c r="M267" s="19" t="inlineStr">
        <is>
          <t>Product-67B87425</t>
        </is>
      </c>
      <c r="N267" s="231" t="n">
        <v>3</v>
      </c>
      <c r="O267" s="181">
        <f>SUM(P267:AB267)</f>
        <v/>
      </c>
      <c r="P267" s="182" t="n">
        <v>176</v>
      </c>
      <c r="Q267" s="182" t="n">
        <v>30</v>
      </c>
      <c r="R267" s="182" t="n">
        <v>180</v>
      </c>
      <c r="S267" s="182" t="n">
        <v>180</v>
      </c>
      <c r="T267" s="182" t="n">
        <v>77</v>
      </c>
      <c r="U267" s="182" t="n">
        <v>200</v>
      </c>
      <c r="V267" s="182" t="n">
        <v>140</v>
      </c>
      <c r="W267" s="182" t="n">
        <v>200</v>
      </c>
      <c r="X267" s="182" t="n">
        <v>367.7</v>
      </c>
      <c r="Y267" s="182" t="n">
        <v>45</v>
      </c>
      <c r="Z267" s="182" t="n">
        <v>125</v>
      </c>
      <c r="AA267" s="182" t="n">
        <v>56.4</v>
      </c>
      <c r="AB267" s="182" t="n">
        <v>70.5</v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4" t="n"/>
      <c r="B268" s="231" t="inlineStr">
        <is>
          <t>SKU-6050A986</t>
        </is>
      </c>
      <c r="C268" s="231" t="inlineStr">
        <is>
          <t>是</t>
        </is>
      </c>
      <c r="D268" s="231" t="n">
        <v>10</v>
      </c>
      <c r="E268" s="231" t="inlineStr"/>
      <c r="F268" s="231" t="inlineStr"/>
      <c r="G268" s="231" t="inlineStr"/>
      <c r="H268" s="231" t="inlineStr"/>
      <c r="I268" s="231" t="inlineStr"/>
      <c r="J268" s="27" t="inlineStr"/>
      <c r="K268" s="27" t="inlineStr"/>
      <c r="L268" s="231" t="n">
        <v>100</v>
      </c>
      <c r="M268" s="44" t="inlineStr">
        <is>
          <t>Product-63107D32</t>
        </is>
      </c>
      <c r="N268" s="231" t="n">
        <v>3</v>
      </c>
      <c r="O268" s="181">
        <f>SUM(P268:AB268)</f>
        <v/>
      </c>
      <c r="P268" s="182" t="n">
        <v>0</v>
      </c>
      <c r="Q268" s="182" t="n">
        <v>0</v>
      </c>
      <c r="R268" s="182" t="n">
        <v>0</v>
      </c>
      <c r="S268" s="182" t="n">
        <v>0</v>
      </c>
      <c r="T268" s="182" t="n">
        <v>0</v>
      </c>
      <c r="U268" s="182" t="n">
        <v>0</v>
      </c>
      <c r="V268" s="182" t="n">
        <v>0</v>
      </c>
      <c r="W268" s="182" t="n">
        <v>0</v>
      </c>
      <c r="X268" s="182" t="n">
        <v>0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4" t="n"/>
      <c r="B269" s="231" t="inlineStr">
        <is>
          <t>SKU-B07AA582</t>
        </is>
      </c>
      <c r="C269" s="231" t="inlineStr">
        <is>
          <t>是</t>
        </is>
      </c>
      <c r="D269" s="231" t="n">
        <v>8</v>
      </c>
      <c r="E269" s="231" t="inlineStr">
        <is>
          <t>是</t>
        </is>
      </c>
      <c r="F269" s="231" t="inlineStr"/>
      <c r="G269" s="231" t="inlineStr"/>
      <c r="H269" s="231" t="inlineStr"/>
      <c r="I269" s="231" t="inlineStr">
        <is>
          <t>是</t>
        </is>
      </c>
      <c r="J269" s="27" t="inlineStr"/>
      <c r="K269" s="27" t="inlineStr"/>
      <c r="L269" s="231" t="n">
        <v>100</v>
      </c>
      <c r="M269" s="44" t="inlineStr">
        <is>
          <t>Product-D6058228</t>
        </is>
      </c>
      <c r="N269" s="231" t="n">
        <v>2</v>
      </c>
      <c r="O269" s="181">
        <f>SUM(P269:AB269)</f>
        <v/>
      </c>
      <c r="P269" s="182" t="n">
        <v>0</v>
      </c>
      <c r="Q269" s="182" t="n">
        <v>0</v>
      </c>
      <c r="R269" s="182" t="n">
        <v>0</v>
      </c>
      <c r="S269" s="182" t="n">
        <v>0</v>
      </c>
      <c r="T269" s="182" t="n">
        <v>0</v>
      </c>
      <c r="U269" s="182" t="n">
        <v>0</v>
      </c>
      <c r="V269" s="182" t="n">
        <v>0</v>
      </c>
      <c r="W269" s="182" t="n">
        <v>0</v>
      </c>
      <c r="X269" s="182" t="n">
        <v>0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4" t="n"/>
      <c r="B270" s="231" t="inlineStr">
        <is>
          <t>SKU-39C37C74</t>
        </is>
      </c>
      <c r="C270" s="231" t="inlineStr">
        <is>
          <t>是</t>
        </is>
      </c>
      <c r="D270" s="231" t="n">
        <v>10</v>
      </c>
      <c r="E270" s="231" t="inlineStr"/>
      <c r="F270" s="231" t="inlineStr"/>
      <c r="G270" s="231" t="inlineStr"/>
      <c r="H270" s="231" t="inlineStr"/>
      <c r="I270" s="231" t="inlineStr"/>
      <c r="J270" s="27" t="inlineStr"/>
      <c r="K270" s="27" t="inlineStr"/>
      <c r="L270" s="231" t="n">
        <v>100</v>
      </c>
      <c r="M270" s="19" t="inlineStr">
        <is>
          <t>Product-BF80D349</t>
        </is>
      </c>
      <c r="N270" s="231" t="n">
        <v>3</v>
      </c>
      <c r="O270" s="181">
        <f>SUM(P270:AB270)</f>
        <v/>
      </c>
      <c r="P270" s="182" t="n">
        <v>123</v>
      </c>
      <c r="Q270" s="182" t="n">
        <v>100</v>
      </c>
      <c r="R270" s="182" t="n">
        <v>140</v>
      </c>
      <c r="S270" s="182" t="n">
        <v>41</v>
      </c>
      <c r="T270" s="182" t="n">
        <v>68</v>
      </c>
      <c r="U270" s="182" t="n">
        <v>45</v>
      </c>
      <c r="V270" s="182" t="n">
        <v>70</v>
      </c>
      <c r="W270" s="182" t="n">
        <v>90</v>
      </c>
      <c r="X270" s="182" t="n">
        <v>121.5</v>
      </c>
      <c r="Y270" s="182" t="n">
        <v>20</v>
      </c>
      <c r="Z270" s="182" t="n">
        <v>128</v>
      </c>
      <c r="AA270" s="182" t="n">
        <v>84.59999999999999</v>
      </c>
      <c r="AB270" s="182" t="n">
        <v>98.8</v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4" t="n"/>
      <c r="B271" s="231" t="inlineStr">
        <is>
          <t>SKU-5D83BF57</t>
        </is>
      </c>
      <c r="C271" s="231" t="inlineStr">
        <is>
          <t>是</t>
        </is>
      </c>
      <c r="D271" s="231" t="n">
        <v>7</v>
      </c>
      <c r="E271" s="231" t="inlineStr">
        <is>
          <t>是</t>
        </is>
      </c>
      <c r="F271" s="231" t="inlineStr"/>
      <c r="G271" s="231" t="inlineStr"/>
      <c r="H271" s="231" t="inlineStr"/>
      <c r="I271" s="231" t="inlineStr">
        <is>
          <t>是</t>
        </is>
      </c>
      <c r="J271" s="27" t="inlineStr"/>
      <c r="K271" s="27" t="inlineStr"/>
      <c r="L271" s="231" t="n">
        <v>100</v>
      </c>
      <c r="M271" s="45" t="inlineStr">
        <is>
          <t>Product-D6058228</t>
        </is>
      </c>
      <c r="N271" s="231" t="n">
        <v>2</v>
      </c>
      <c r="O271" s="181">
        <f>SUM(P271:AB271)</f>
        <v/>
      </c>
      <c r="P271" s="182" t="n">
        <v>22.4</v>
      </c>
      <c r="Q271" s="182" t="n">
        <v>26.6</v>
      </c>
      <c r="R271" s="182" t="n">
        <v>26.2</v>
      </c>
      <c r="S271" s="182" t="n">
        <v>12.8</v>
      </c>
      <c r="T271" s="182" t="n">
        <v>15.6</v>
      </c>
      <c r="U271" s="182" t="n">
        <v>12.8</v>
      </c>
      <c r="V271" s="182" t="n">
        <v>12.6</v>
      </c>
      <c r="W271" s="182" t="n">
        <v>35.6</v>
      </c>
      <c r="X271" s="182" t="n">
        <v>20.8</v>
      </c>
      <c r="Y271" s="182" t="n">
        <v>15</v>
      </c>
      <c r="Z271" s="182" t="n">
        <v>16.2</v>
      </c>
      <c r="AA271" s="182" t="n">
        <v>13.8</v>
      </c>
      <c r="AB271" s="182" t="n">
        <v>9.6</v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4" t="n"/>
      <c r="B272" s="231" t="inlineStr">
        <is>
          <t>SKU-D47538E8</t>
        </is>
      </c>
      <c r="C272" s="231" t="inlineStr">
        <is>
          <t>是</t>
        </is>
      </c>
      <c r="D272" s="231" t="n">
        <v>10</v>
      </c>
      <c r="E272" s="231" t="inlineStr"/>
      <c r="F272" s="231" t="inlineStr"/>
      <c r="G272" s="231" t="inlineStr"/>
      <c r="H272" s="231" t="inlineStr"/>
      <c r="I272" s="231" t="inlineStr"/>
      <c r="J272" s="27" t="inlineStr"/>
      <c r="K272" s="27" t="inlineStr"/>
      <c r="L272" s="231" t="n">
        <v>100</v>
      </c>
      <c r="M272" s="19" t="inlineStr">
        <is>
          <t>Product-3AB43197</t>
        </is>
      </c>
      <c r="N272" s="231" t="n">
        <v>1</v>
      </c>
      <c r="O272" s="181">
        <f>SUM(P272:AB272)</f>
        <v/>
      </c>
      <c r="P272" s="182" t="n">
        <v>65</v>
      </c>
      <c r="Q272" s="182" t="n">
        <v>172</v>
      </c>
      <c r="R272" s="182" t="n">
        <v>20</v>
      </c>
      <c r="S272" s="182" t="n">
        <v>65</v>
      </c>
      <c r="T272" s="182" t="n">
        <v>45</v>
      </c>
      <c r="U272" s="182" t="n">
        <v>13.4</v>
      </c>
      <c r="V272" s="182" t="n">
        <v>12</v>
      </c>
      <c r="W272" s="182" t="n">
        <v>14</v>
      </c>
      <c r="X272" s="182" t="n">
        <v>66</v>
      </c>
      <c r="Y272" s="182" t="n">
        <v>0</v>
      </c>
      <c r="Z272" s="182" t="n">
        <v>11</v>
      </c>
      <c r="AA272" s="182" t="n">
        <v>35</v>
      </c>
      <c r="AB272" s="182" t="n">
        <v>19.1</v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4" t="n"/>
      <c r="B273" s="231" t="inlineStr">
        <is>
          <t>SKU-242CDE35</t>
        </is>
      </c>
      <c r="C273" s="231" t="inlineStr">
        <is>
          <t>是</t>
        </is>
      </c>
      <c r="D273" s="231" t="n">
        <v>11</v>
      </c>
      <c r="E273" s="231" t="inlineStr"/>
      <c r="F273" s="231" t="inlineStr"/>
      <c r="G273" s="231" t="inlineStr"/>
      <c r="H273" s="231" t="inlineStr"/>
      <c r="I273" s="231" t="inlineStr"/>
      <c r="J273" s="27" t="inlineStr">
        <is>
          <t>共</t>
        </is>
      </c>
      <c r="K273" s="27" t="inlineStr"/>
      <c r="L273" s="231" t="n">
        <v>100</v>
      </c>
      <c r="M273" s="19" t="inlineStr">
        <is>
          <t>Product-0679DC24</t>
        </is>
      </c>
      <c r="N273" s="231" t="n">
        <v>1</v>
      </c>
      <c r="O273" s="181">
        <f>SUM(P273:AB273)</f>
        <v/>
      </c>
      <c r="P273" s="182" t="n">
        <v>1454.8</v>
      </c>
      <c r="Q273" s="182" t="n">
        <v>1702.2</v>
      </c>
      <c r="R273" s="182" t="n">
        <v>2050.1</v>
      </c>
      <c r="S273" s="182" t="n">
        <v>845</v>
      </c>
      <c r="T273" s="182" t="n">
        <v>870</v>
      </c>
      <c r="U273" s="182" t="n">
        <v>857.9</v>
      </c>
      <c r="V273" s="182" t="n">
        <v>637.4</v>
      </c>
      <c r="W273" s="182" t="n">
        <v>2723</v>
      </c>
      <c r="X273" s="182" t="n">
        <v>970.6</v>
      </c>
      <c r="Y273" s="182" t="n">
        <v>1513</v>
      </c>
      <c r="Z273" s="182" t="n">
        <v>1321.4</v>
      </c>
      <c r="AA273" s="182" t="n">
        <v>1206.2</v>
      </c>
      <c r="AB273" s="182" t="n">
        <v>419.4</v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4" t="n"/>
      <c r="B274" s="231" t="inlineStr">
        <is>
          <t>SKU-DE68B12E</t>
        </is>
      </c>
      <c r="C274" s="231" t="inlineStr">
        <is>
          <t>是</t>
        </is>
      </c>
      <c r="D274" s="231" t="n">
        <v>8</v>
      </c>
      <c r="E274" s="231" t="inlineStr">
        <is>
          <t>是</t>
        </is>
      </c>
      <c r="F274" s="231" t="inlineStr"/>
      <c r="G274" s="231" t="inlineStr"/>
      <c r="H274" s="231" t="inlineStr"/>
      <c r="I274" s="231" t="inlineStr">
        <is>
          <t>是</t>
        </is>
      </c>
      <c r="J274" s="27" t="inlineStr"/>
      <c r="K274" s="27" t="inlineStr"/>
      <c r="L274" s="231" t="n">
        <v>100</v>
      </c>
      <c r="M274" s="19" t="inlineStr">
        <is>
          <t>Product-C50F24AE</t>
        </is>
      </c>
      <c r="N274" s="231" t="n">
        <v>1</v>
      </c>
      <c r="O274" s="181">
        <f>SUM(P274:AB274)</f>
        <v/>
      </c>
      <c r="P274" s="182" t="n">
        <v>97.5</v>
      </c>
      <c r="Q274" s="182" t="n">
        <v>56</v>
      </c>
      <c r="R274" s="182" t="n">
        <v>70</v>
      </c>
      <c r="S274" s="182" t="n">
        <v>108</v>
      </c>
      <c r="T274" s="182" t="n">
        <v>48</v>
      </c>
      <c r="U274" s="182" t="n">
        <v>36</v>
      </c>
      <c r="V274" s="182" t="n">
        <v>45</v>
      </c>
      <c r="W274" s="182" t="n">
        <v>154</v>
      </c>
      <c r="X274" s="182" t="n">
        <v>55</v>
      </c>
      <c r="Y274" s="182" t="n">
        <v>16</v>
      </c>
      <c r="Z274" s="182" t="n">
        <v>50</v>
      </c>
      <c r="AA274" s="182" t="n">
        <v>44</v>
      </c>
      <c r="AB274" s="182" t="n">
        <v>63.9</v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4" t="n"/>
      <c r="B275" s="231" t="inlineStr">
        <is>
          <t>SKU-51DE8DA7</t>
        </is>
      </c>
      <c r="C275" s="231" t="inlineStr">
        <is>
          <t>是</t>
        </is>
      </c>
      <c r="D275" s="231" t="n">
        <v>10</v>
      </c>
      <c r="E275" s="231" t="inlineStr"/>
      <c r="F275" s="231" t="inlineStr"/>
      <c r="G275" s="231" t="inlineStr"/>
      <c r="H275" s="231" t="inlineStr"/>
      <c r="I275" s="231" t="inlineStr"/>
      <c r="J275" s="27" t="inlineStr"/>
      <c r="K275" s="27" t="inlineStr"/>
      <c r="L275" s="231" t="n">
        <v>100</v>
      </c>
      <c r="M275" s="44" t="inlineStr">
        <is>
          <t>Product-A356EADC</t>
        </is>
      </c>
      <c r="N275" s="231" t="n">
        <v>1</v>
      </c>
      <c r="O275" s="181">
        <f>SUM(P275:AB275)</f>
        <v/>
      </c>
      <c r="P275" s="182" t="n">
        <v>0</v>
      </c>
      <c r="Q275" s="182" t="n">
        <v>0</v>
      </c>
      <c r="R275" s="182" t="n">
        <v>0</v>
      </c>
      <c r="S275" s="182" t="n">
        <v>0</v>
      </c>
      <c r="T275" s="182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4" t="n"/>
      <c r="B276" s="231" t="inlineStr">
        <is>
          <t>SKU-B2655403</t>
        </is>
      </c>
      <c r="C276" s="231" t="inlineStr">
        <is>
          <t>是</t>
        </is>
      </c>
      <c r="D276" s="231" t="n">
        <v>8</v>
      </c>
      <c r="E276" s="231" t="inlineStr">
        <is>
          <t>是</t>
        </is>
      </c>
      <c r="F276" s="231" t="inlineStr"/>
      <c r="G276" s="231" t="inlineStr"/>
      <c r="H276" s="231" t="inlineStr">
        <is>
          <t>是</t>
        </is>
      </c>
      <c r="I276" s="231" t="inlineStr">
        <is>
          <t>是</t>
        </is>
      </c>
      <c r="J276" s="27" t="inlineStr"/>
      <c r="K276" s="27" t="inlineStr"/>
      <c r="L276" s="231" t="n">
        <v>100</v>
      </c>
      <c r="M276" s="43" t="inlineStr">
        <is>
          <t>Product-D9E7BC64</t>
        </is>
      </c>
      <c r="N276" s="231" t="n">
        <v>1</v>
      </c>
      <c r="O276" s="181">
        <f>SUM(P276:AB276)</f>
        <v/>
      </c>
      <c r="P276" s="182" t="n">
        <v>0</v>
      </c>
      <c r="Q276" s="182" t="n">
        <v>0</v>
      </c>
      <c r="R276" s="182" t="n">
        <v>0</v>
      </c>
      <c r="S276" s="182" t="n">
        <v>0</v>
      </c>
      <c r="T276" s="182" t="n">
        <v>0</v>
      </c>
      <c r="U276" s="182" t="n">
        <v>0</v>
      </c>
      <c r="V276" s="182" t="n">
        <v>0</v>
      </c>
      <c r="W276" s="182" t="n">
        <v>0</v>
      </c>
      <c r="X276" s="182" t="n">
        <v>0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4" t="n"/>
      <c r="B277" s="231" t="inlineStr">
        <is>
          <t>SKU-560D7D3A</t>
        </is>
      </c>
      <c r="C277" s="231" t="inlineStr">
        <is>
          <t>是</t>
        </is>
      </c>
      <c r="D277" s="231" t="n">
        <v>9</v>
      </c>
      <c r="E277" s="231" t="inlineStr"/>
      <c r="F277" s="231" t="inlineStr">
        <is>
          <t>是</t>
        </is>
      </c>
      <c r="G277" s="231" t="inlineStr"/>
      <c r="H277" s="231" t="inlineStr"/>
      <c r="I277" s="231" t="inlineStr">
        <is>
          <t>是</t>
        </is>
      </c>
      <c r="J277" s="27" t="inlineStr"/>
      <c r="K277" s="27" t="inlineStr"/>
      <c r="L277" s="231" t="n">
        <v>100</v>
      </c>
      <c r="M277" s="19" t="inlineStr">
        <is>
          <t>Product-1ACD7A4E</t>
        </is>
      </c>
      <c r="N277" s="231" t="n">
        <v>1</v>
      </c>
      <c r="O277" s="181">
        <f>SUM(P277:AB277)</f>
        <v/>
      </c>
      <c r="P277" s="182" t="n">
        <v>51.5</v>
      </c>
      <c r="Q277" s="182" t="n">
        <v>61.2</v>
      </c>
      <c r="R277" s="182" t="n">
        <v>60.1</v>
      </c>
      <c r="S277" s="182" t="n">
        <v>29.3</v>
      </c>
      <c r="T277" s="182" t="n">
        <v>35.9</v>
      </c>
      <c r="U277" s="182" t="n">
        <v>29.3</v>
      </c>
      <c r="V277" s="182" t="n">
        <v>28.7</v>
      </c>
      <c r="W277" s="182" t="n">
        <v>81.09999999999999</v>
      </c>
      <c r="X277" s="182" t="n">
        <v>47.5</v>
      </c>
      <c r="Y277" s="182" t="n">
        <v>34.2</v>
      </c>
      <c r="Z277" s="182" t="n">
        <v>37.3</v>
      </c>
      <c r="AA277" s="182" t="n">
        <v>31.8</v>
      </c>
      <c r="AB277" s="182" t="n">
        <v>22.1</v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4" t="n"/>
      <c r="B278" s="231" t="inlineStr">
        <is>
          <t>SKU-58CC7CB1</t>
        </is>
      </c>
      <c r="C278" s="231" t="inlineStr">
        <is>
          <t>是</t>
        </is>
      </c>
      <c r="D278" s="231" t="n">
        <v>8</v>
      </c>
      <c r="E278" s="231" t="inlineStr"/>
      <c r="F278" s="231" t="inlineStr">
        <is>
          <t>是</t>
        </is>
      </c>
      <c r="G278" s="231" t="inlineStr"/>
      <c r="H278" s="231" t="inlineStr"/>
      <c r="I278" s="231" t="inlineStr">
        <is>
          <t>是</t>
        </is>
      </c>
      <c r="J278" s="27" t="inlineStr"/>
      <c r="K278" s="27" t="inlineStr"/>
      <c r="L278" s="231" t="n">
        <v>100</v>
      </c>
      <c r="M278" s="19" t="inlineStr">
        <is>
          <t>Product-9C70330A</t>
        </is>
      </c>
      <c r="N278" s="231" t="n">
        <v>1</v>
      </c>
      <c r="O278" s="181">
        <f>SUM(P278:AB278)</f>
        <v/>
      </c>
      <c r="P278" s="182" t="n">
        <v>16</v>
      </c>
      <c r="Q278" s="182" t="n">
        <v>22.2</v>
      </c>
      <c r="R278" s="182" t="n">
        <v>10</v>
      </c>
      <c r="S278" s="182" t="n">
        <v>10.6</v>
      </c>
      <c r="T278" s="182" t="n">
        <v>13</v>
      </c>
      <c r="U278" s="182" t="n">
        <v>10.6</v>
      </c>
      <c r="V278" s="182" t="n">
        <v>10.4</v>
      </c>
      <c r="W278" s="182" t="n">
        <v>29.8</v>
      </c>
      <c r="X278" s="182" t="n">
        <v>17.3</v>
      </c>
      <c r="Y278" s="182" t="n">
        <v>12.4</v>
      </c>
      <c r="Z278" s="182" t="n">
        <v>13.6</v>
      </c>
      <c r="AA278" s="182" t="n">
        <v>11.6</v>
      </c>
      <c r="AB278" s="182" t="n">
        <v>8</v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4" t="n"/>
      <c r="B279" s="231" t="inlineStr">
        <is>
          <t>SKU-3267BBE9</t>
        </is>
      </c>
      <c r="C279" s="231" t="inlineStr">
        <is>
          <t>是</t>
        </is>
      </c>
      <c r="D279" s="231" t="n">
        <v>8</v>
      </c>
      <c r="E279" s="231" t="inlineStr">
        <is>
          <t>是</t>
        </is>
      </c>
      <c r="F279" s="231" t="inlineStr"/>
      <c r="G279" s="231" t="inlineStr"/>
      <c r="H279" s="231" t="inlineStr"/>
      <c r="I279" s="231" t="inlineStr">
        <is>
          <t>是</t>
        </is>
      </c>
      <c r="J279" s="27" t="inlineStr">
        <is>
          <t>共</t>
        </is>
      </c>
      <c r="K279" s="27" t="inlineStr"/>
      <c r="L279" s="231" t="n">
        <v>100</v>
      </c>
      <c r="M279" s="19" t="inlineStr">
        <is>
          <t>Product-0D2637FC</t>
        </is>
      </c>
      <c r="N279" s="231" t="n">
        <v>1</v>
      </c>
      <c r="O279" s="181">
        <f>SUM(P279:AB279)</f>
        <v/>
      </c>
      <c r="P279" s="182" t="n">
        <v>16</v>
      </c>
      <c r="Q279" s="182" t="n">
        <v>22.2</v>
      </c>
      <c r="R279" s="182" t="n">
        <v>21.8</v>
      </c>
      <c r="S279" s="182" t="n">
        <v>10.6</v>
      </c>
      <c r="T279" s="182" t="n">
        <v>13</v>
      </c>
      <c r="U279" s="182" t="n">
        <v>10.6</v>
      </c>
      <c r="V279" s="182" t="n">
        <v>10.4</v>
      </c>
      <c r="W279" s="182" t="n">
        <v>29.8</v>
      </c>
      <c r="X279" s="182" t="n">
        <v>17.3</v>
      </c>
      <c r="Y279" s="182" t="n">
        <v>12.4</v>
      </c>
      <c r="Z279" s="182" t="n">
        <v>13.6</v>
      </c>
      <c r="AA279" s="182" t="n">
        <v>11.6</v>
      </c>
      <c r="AB279" s="182" t="n">
        <v>8</v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4" t="n"/>
      <c r="B280" s="231" t="inlineStr">
        <is>
          <t>SKU-AA71A4AF</t>
        </is>
      </c>
      <c r="C280" s="231" t="inlineStr">
        <is>
          <t>是</t>
        </is>
      </c>
      <c r="D280" s="231" t="n">
        <v>10</v>
      </c>
      <c r="E280" s="231" t="inlineStr"/>
      <c r="F280" s="231" t="inlineStr"/>
      <c r="G280" s="231" t="inlineStr"/>
      <c r="H280" s="231" t="inlineStr"/>
      <c r="I280" s="231" t="inlineStr"/>
      <c r="J280" s="27" t="inlineStr"/>
      <c r="K280" s="27" t="inlineStr"/>
      <c r="L280" s="231" t="n">
        <v>100</v>
      </c>
      <c r="M280" s="19" t="inlineStr">
        <is>
          <t>Product-190D85FA</t>
        </is>
      </c>
      <c r="N280" s="231" t="n">
        <v>3</v>
      </c>
      <c r="O280" s="181">
        <f>SUM(P280:AB280)</f>
        <v/>
      </c>
      <c r="P280" s="182" t="n">
        <v>381</v>
      </c>
      <c r="Q280" s="182" t="n">
        <v>1015.3</v>
      </c>
      <c r="R280" s="182" t="n">
        <v>457.2</v>
      </c>
      <c r="S280" s="182" t="n">
        <v>200</v>
      </c>
      <c r="T280" s="182" t="n">
        <v>304.8</v>
      </c>
      <c r="U280" s="182" t="n">
        <v>238.1</v>
      </c>
      <c r="V280" s="182" t="n">
        <v>174.3</v>
      </c>
      <c r="W280" s="182" t="n">
        <v>304.7</v>
      </c>
      <c r="X280" s="182" t="n">
        <v>581</v>
      </c>
      <c r="Y280" s="182" t="n">
        <v>161.9</v>
      </c>
      <c r="Z280" s="182" t="n">
        <v>556.2</v>
      </c>
      <c r="AA280" s="182" t="n">
        <v>375.6</v>
      </c>
      <c r="AB280" s="182" t="n">
        <v>249.9</v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4" t="n"/>
      <c r="B281" s="231" t="inlineStr">
        <is>
          <t>SKU-C9A37CA3</t>
        </is>
      </c>
      <c r="C281" s="231" t="inlineStr">
        <is>
          <t>是</t>
        </is>
      </c>
      <c r="D281" s="231" t="n">
        <v>11</v>
      </c>
      <c r="E281" s="231" t="inlineStr"/>
      <c r="F281" s="231" t="inlineStr"/>
      <c r="G281" s="231" t="inlineStr"/>
      <c r="H281" s="231" t="inlineStr"/>
      <c r="I281" s="231" t="inlineStr"/>
      <c r="J281" s="27" t="inlineStr"/>
      <c r="K281" s="27" t="inlineStr"/>
      <c r="L281" s="231" t="n">
        <v>100</v>
      </c>
      <c r="M281" s="43" t="inlineStr">
        <is>
          <t>Product-8E1B07F9</t>
        </is>
      </c>
      <c r="N281" s="231" t="n">
        <v>3</v>
      </c>
      <c r="O281" s="181">
        <f>SUM(P281:AB281)</f>
        <v/>
      </c>
      <c r="P281" s="182" t="n">
        <v>75</v>
      </c>
      <c r="Q281" s="182" t="n">
        <v>73</v>
      </c>
      <c r="R281" s="182" t="n">
        <v>79</v>
      </c>
      <c r="S281" s="182" t="n">
        <v>42</v>
      </c>
      <c r="T281" s="182" t="n">
        <v>49</v>
      </c>
      <c r="U281" s="182" t="n">
        <v>49</v>
      </c>
      <c r="V281" s="182" t="n">
        <v>36</v>
      </c>
      <c r="W281" s="182" t="n">
        <v>116</v>
      </c>
      <c r="X281" s="182" t="n">
        <v>86</v>
      </c>
      <c r="Y281" s="182" t="n">
        <v>58</v>
      </c>
      <c r="Z281" s="182" t="n">
        <v>58</v>
      </c>
      <c r="AA281" s="182" t="n">
        <v>56</v>
      </c>
      <c r="AB281" s="182" t="n">
        <v>49</v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5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 t="n">
        <v>5760.6</v>
      </c>
      <c r="Q282" s="51" t="n">
        <v>7985.7696</v>
      </c>
      <c r="R282" s="51" t="n">
        <v>7545.3</v>
      </c>
      <c r="S282" s="51" t="n">
        <v>3784.9584</v>
      </c>
      <c r="T282" s="51" t="n">
        <v>3830.252</v>
      </c>
      <c r="U282" s="51" t="n">
        <v>3668.368</v>
      </c>
      <c r="V282" s="51" t="n">
        <v>3766.1352</v>
      </c>
      <c r="W282" s="51" t="n">
        <v>8771.42</v>
      </c>
      <c r="X282" s="51" t="n">
        <v>7800.336</v>
      </c>
      <c r="Y282" s="51" t="n">
        <v>4903.2432</v>
      </c>
      <c r="Z282" s="51" t="n">
        <v>6587.8392</v>
      </c>
      <c r="AA282" s="51" t="n">
        <v>5452.5472</v>
      </c>
      <c r="AB282" s="51" t="n">
        <v>2872.6704</v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31" t="inlineStr">
        <is>
          <t>SKU-63BD75F8</t>
        </is>
      </c>
      <c r="C283" s="231" t="inlineStr">
        <is>
          <t>是</t>
        </is>
      </c>
      <c r="D283" s="231" t="n">
        <v>7</v>
      </c>
      <c r="E283" s="231" t="inlineStr">
        <is>
          <t>是</t>
        </is>
      </c>
      <c r="F283" s="231" t="inlineStr"/>
      <c r="G283" s="231" t="inlineStr"/>
      <c r="H283" s="231" t="inlineStr"/>
      <c r="I283" s="231" t="inlineStr">
        <is>
          <t>是</t>
        </is>
      </c>
      <c r="J283" s="27" t="inlineStr"/>
      <c r="K283" s="27" t="inlineStr"/>
      <c r="L283" s="231" t="n">
        <v>100</v>
      </c>
      <c r="M283" s="19" t="inlineStr">
        <is>
          <t>Product-17474100</t>
        </is>
      </c>
      <c r="N283" s="231" t="n">
        <v>2</v>
      </c>
      <c r="O283" s="181">
        <f>SUM(P283:AB283)</f>
        <v/>
      </c>
      <c r="P283" s="182" t="n">
        <v>20.5</v>
      </c>
      <c r="Q283" s="182" t="n">
        <v>75.59999999999999</v>
      </c>
      <c r="R283" s="182" t="n">
        <v>51.8</v>
      </c>
      <c r="S283" s="182" t="n">
        <v>25.9</v>
      </c>
      <c r="T283" s="182" t="n">
        <v>104.8</v>
      </c>
      <c r="U283" s="182" t="n">
        <v>75.2</v>
      </c>
      <c r="V283" s="182" t="n">
        <v>30.2</v>
      </c>
      <c r="W283" s="182" t="n">
        <v>108.1</v>
      </c>
      <c r="X283" s="182" t="n">
        <v>67.8</v>
      </c>
      <c r="Y283" s="182" t="n">
        <v>33.5</v>
      </c>
      <c r="Z283" s="182" t="n">
        <v>48.6</v>
      </c>
      <c r="AA283" s="182" t="n">
        <v>6.7</v>
      </c>
      <c r="AB283" s="182" t="n">
        <v>46.3</v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4" t="n"/>
      <c r="B284" s="231" t="inlineStr">
        <is>
          <t>SKU-45A85F68</t>
        </is>
      </c>
      <c r="C284" s="231" t="inlineStr">
        <is>
          <t>是</t>
        </is>
      </c>
      <c r="D284" s="231" t="n">
        <v>10</v>
      </c>
      <c r="E284" s="231" t="inlineStr"/>
      <c r="F284" s="231" t="inlineStr">
        <is>
          <t>是</t>
        </is>
      </c>
      <c r="G284" s="231" t="inlineStr"/>
      <c r="H284" s="231" t="inlineStr"/>
      <c r="I284" s="231" t="inlineStr">
        <is>
          <t>是</t>
        </is>
      </c>
      <c r="J284" s="27" t="inlineStr">
        <is>
          <t>共</t>
        </is>
      </c>
      <c r="K284" s="27" t="inlineStr"/>
      <c r="L284" s="231" t="n">
        <v>100</v>
      </c>
      <c r="M284" s="19" t="inlineStr">
        <is>
          <t>Product-9701A12C</t>
        </is>
      </c>
      <c r="N284" s="231" t="n">
        <v>1</v>
      </c>
      <c r="O284" s="181">
        <f>SUM(P284:AB284)</f>
        <v/>
      </c>
      <c r="P284" s="182" t="n">
        <v>1</v>
      </c>
      <c r="Q284" s="182" t="n">
        <v>11.1</v>
      </c>
      <c r="R284" s="182" t="n">
        <v>10.9</v>
      </c>
      <c r="S284" s="182" t="n">
        <v>5.3</v>
      </c>
      <c r="T284" s="182" t="n">
        <v>6.5</v>
      </c>
      <c r="U284" s="182" t="n">
        <v>5.3</v>
      </c>
      <c r="V284" s="182" t="n">
        <v>5.2</v>
      </c>
      <c r="W284" s="182" t="n">
        <v>14.9</v>
      </c>
      <c r="X284" s="182" t="n">
        <v>8.6</v>
      </c>
      <c r="Y284" s="182" t="n">
        <v>6.2</v>
      </c>
      <c r="Z284" s="182" t="n">
        <v>6.8</v>
      </c>
      <c r="AA284" s="182" t="n">
        <v>5.8</v>
      </c>
      <c r="AB284" s="182" t="n">
        <v>4</v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4" t="n"/>
      <c r="B285" s="231" t="inlineStr">
        <is>
          <t>SKU-1BB078B2</t>
        </is>
      </c>
      <c r="C285" s="231" t="inlineStr">
        <is>
          <t>是</t>
        </is>
      </c>
      <c r="D285" s="231" t="n">
        <v>10</v>
      </c>
      <c r="E285" s="231" t="inlineStr"/>
      <c r="F285" s="231" t="inlineStr"/>
      <c r="G285" s="231" t="inlineStr"/>
      <c r="H285" s="231" t="inlineStr">
        <is>
          <t>是</t>
        </is>
      </c>
      <c r="I285" s="231" t="inlineStr">
        <is>
          <t>是</t>
        </is>
      </c>
      <c r="J285" s="27" t="inlineStr"/>
      <c r="K285" s="27" t="inlineStr"/>
      <c r="L285" s="231" t="n">
        <v>100</v>
      </c>
      <c r="M285" s="19" t="inlineStr">
        <is>
          <t>Product-1AC91157</t>
        </is>
      </c>
      <c r="N285" s="231" t="n">
        <v>1</v>
      </c>
      <c r="O285" s="181">
        <f>SUM(P285:AB285)</f>
        <v/>
      </c>
      <c r="P285" s="182" t="n">
        <v>0</v>
      </c>
      <c r="Q285" s="182" t="n">
        <v>2</v>
      </c>
      <c r="R285" s="182" t="n">
        <v>0.8</v>
      </c>
      <c r="S285" s="182" t="n">
        <v>2</v>
      </c>
      <c r="T285" s="182" t="n">
        <v>14</v>
      </c>
      <c r="U285" s="182" t="n">
        <v>0.5</v>
      </c>
      <c r="V285" s="182" t="n">
        <v>0.5</v>
      </c>
      <c r="W285" s="182" t="n">
        <v>0</v>
      </c>
      <c r="X285" s="182" t="n">
        <v>1.5</v>
      </c>
      <c r="Y285" s="182" t="n">
        <v>1</v>
      </c>
      <c r="Z285" s="182" t="n">
        <v>1</v>
      </c>
      <c r="AA285" s="182" t="n">
        <v>0.6</v>
      </c>
      <c r="AB285" s="182" t="n">
        <v>0</v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5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 t="n">
        <v>21.5</v>
      </c>
      <c r="Q286" s="51" t="n">
        <v>88.7</v>
      </c>
      <c r="R286" s="51" t="n">
        <v>63.5</v>
      </c>
      <c r="S286" s="51" t="n">
        <v>33.2</v>
      </c>
      <c r="T286" s="51" t="n">
        <v>125.3</v>
      </c>
      <c r="U286" s="51" t="n">
        <v>81</v>
      </c>
      <c r="V286" s="51" t="n">
        <v>35.9</v>
      </c>
      <c r="W286" s="51" t="n">
        <v>123</v>
      </c>
      <c r="X286" s="51" t="n">
        <v>77.90000000000001</v>
      </c>
      <c r="Y286" s="51" t="n">
        <v>40.7</v>
      </c>
      <c r="Z286" s="51" t="n">
        <v>56.4</v>
      </c>
      <c r="AA286" s="51" t="n">
        <v>13.1</v>
      </c>
      <c r="AB286" s="51" t="n">
        <v>50.3</v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31" t="inlineStr">
        <is>
          <t>SKU-8118963E</t>
        </is>
      </c>
      <c r="C287" s="231" t="inlineStr"/>
      <c r="D287" s="231" t="n">
        <v>10</v>
      </c>
      <c r="E287" s="231" t="inlineStr"/>
      <c r="F287" s="231" t="inlineStr"/>
      <c r="G287" s="231" t="inlineStr"/>
      <c r="H287" s="231" t="inlineStr"/>
      <c r="I287" s="231" t="inlineStr"/>
      <c r="J287" s="27" t="inlineStr"/>
      <c r="K287" s="27" t="inlineStr"/>
      <c r="L287" s="231" t="n">
        <v>100</v>
      </c>
      <c r="M287" s="19" t="inlineStr">
        <is>
          <t>Product-8818E616</t>
        </is>
      </c>
      <c r="N287" s="231" t="n">
        <v>2</v>
      </c>
      <c r="O287" s="181">
        <f>SUM(P287:AB287)</f>
        <v/>
      </c>
      <c r="P287" s="182" t="n">
        <v>6</v>
      </c>
      <c r="Q287" s="182" t="n">
        <v>9</v>
      </c>
      <c r="R287" s="182" t="n">
        <v>7</v>
      </c>
      <c r="S287" s="182" t="n">
        <v>4</v>
      </c>
      <c r="T287" s="182" t="n">
        <v>4</v>
      </c>
      <c r="U287" s="182" t="n">
        <v>4</v>
      </c>
      <c r="V287" s="182" t="n">
        <v>4</v>
      </c>
      <c r="W287" s="182" t="n">
        <v>10</v>
      </c>
      <c r="X287" s="182" t="n">
        <v>6</v>
      </c>
      <c r="Y287" s="182" t="n">
        <v>4</v>
      </c>
      <c r="Z287" s="182" t="n">
        <v>5</v>
      </c>
      <c r="AA287" s="182" t="n">
        <v>4</v>
      </c>
      <c r="AB287" s="182" t="n">
        <v>3</v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4" t="n"/>
      <c r="B288" s="231" t="inlineStr">
        <is>
          <t>SKU-3A21B87C</t>
        </is>
      </c>
      <c r="C288" s="231" t="inlineStr"/>
      <c r="D288" s="231" t="n">
        <v>10</v>
      </c>
      <c r="E288" s="231" t="inlineStr"/>
      <c r="F288" s="231" t="inlineStr"/>
      <c r="G288" s="231" t="inlineStr"/>
      <c r="H288" s="231" t="inlineStr"/>
      <c r="I288" s="231" t="inlineStr"/>
      <c r="J288" s="27" t="inlineStr"/>
      <c r="K288" s="27" t="inlineStr"/>
      <c r="L288" s="231" t="n">
        <v>100</v>
      </c>
      <c r="M288" s="19" t="inlineStr">
        <is>
          <t>Product-6BF10868</t>
        </is>
      </c>
      <c r="N288" s="231" t="n">
        <v>1</v>
      </c>
      <c r="O288" s="181">
        <f>SUM(P288:AB288)</f>
        <v/>
      </c>
      <c r="P288" s="182" t="n">
        <v>4</v>
      </c>
      <c r="Q288" s="182" t="n">
        <v>9</v>
      </c>
      <c r="R288" s="182" t="n">
        <v>4</v>
      </c>
      <c r="S288" s="182" t="n">
        <v>2</v>
      </c>
      <c r="T288" s="182" t="n">
        <v>2</v>
      </c>
      <c r="U288" s="182" t="n">
        <v>2</v>
      </c>
      <c r="V288" s="182" t="n">
        <v>2</v>
      </c>
      <c r="W288" s="182" t="n">
        <v>6</v>
      </c>
      <c r="X288" s="182" t="n">
        <v>3</v>
      </c>
      <c r="Y288" s="182" t="n">
        <v>2</v>
      </c>
      <c r="Z288" s="182" t="n">
        <v>3</v>
      </c>
      <c r="AA288" s="182" t="n">
        <v>4</v>
      </c>
      <c r="AB288" s="182" t="n">
        <v>1</v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4" t="n"/>
      <c r="B289" s="231" t="inlineStr">
        <is>
          <t>SKU-4673CF27</t>
        </is>
      </c>
      <c r="C289" s="231" t="inlineStr"/>
      <c r="D289" s="231" t="n">
        <v>8</v>
      </c>
      <c r="E289" s="231" t="inlineStr"/>
      <c r="F289" s="231" t="inlineStr"/>
      <c r="G289" s="231" t="inlineStr"/>
      <c r="H289" s="231" t="inlineStr">
        <is>
          <t>是</t>
        </is>
      </c>
      <c r="I289" s="231" t="inlineStr">
        <is>
          <t>是</t>
        </is>
      </c>
      <c r="J289" s="27" t="inlineStr"/>
      <c r="K289" s="27" t="inlineStr"/>
      <c r="L289" s="231" t="n">
        <v>100</v>
      </c>
      <c r="M289" s="59" t="inlineStr">
        <is>
          <t>Product-1B473E88</t>
        </is>
      </c>
      <c r="N289" s="231" t="n">
        <v>1</v>
      </c>
      <c r="O289" s="181">
        <f>SUM(P289:AB289)</f>
        <v/>
      </c>
      <c r="P289" s="182" t="n">
        <v>4</v>
      </c>
      <c r="Q289" s="182" t="n">
        <v>10</v>
      </c>
      <c r="R289" s="182" t="n">
        <v>5</v>
      </c>
      <c r="S289" s="182" t="n">
        <v>2</v>
      </c>
      <c r="T289" s="182" t="n">
        <v>3</v>
      </c>
      <c r="U289" s="182" t="n">
        <v>3</v>
      </c>
      <c r="V289" s="182" t="n">
        <v>2</v>
      </c>
      <c r="W289" s="182" t="n">
        <v>6</v>
      </c>
      <c r="X289" s="182" t="n">
        <v>3</v>
      </c>
      <c r="Y289" s="182" t="n">
        <v>3</v>
      </c>
      <c r="Z289" s="182" t="n">
        <v>3</v>
      </c>
      <c r="AA289" s="182" t="n">
        <v>5</v>
      </c>
      <c r="AB289" s="182" t="n">
        <v>1</v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5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31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4" t="n"/>
      <c r="B296" s="231" t="inlineStr">
        <is>
          <t>SKU-6F3D6830</t>
        </is>
      </c>
      <c r="C296" s="231" t="inlineStr"/>
      <c r="D296" s="231" t="n">
        <v>11</v>
      </c>
      <c r="E296" s="231" t="inlineStr"/>
      <c r="F296" s="231" t="inlineStr"/>
      <c r="G296" s="231" t="inlineStr"/>
      <c r="H296" s="231" t="inlineStr"/>
      <c r="I296" s="231" t="inlineStr"/>
      <c r="J296" s="27" t="inlineStr"/>
      <c r="K296" s="27" t="inlineStr">
        <is>
          <t>是</t>
        </is>
      </c>
      <c r="L296" s="231" t="n">
        <v>100</v>
      </c>
      <c r="M296" s="44" t="inlineStr">
        <is>
          <t>Product-739BC315</t>
        </is>
      </c>
      <c r="N296" s="231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4" t="n"/>
      <c r="B297" s="231" t="inlineStr">
        <is>
          <t>SKU-5ABCA7A6</t>
        </is>
      </c>
      <c r="C297" s="231" t="inlineStr"/>
      <c r="D297" s="231" t="n">
        <v>5</v>
      </c>
      <c r="E297" s="231" t="inlineStr">
        <is>
          <t>是</t>
        </is>
      </c>
      <c r="F297" s="231" t="inlineStr"/>
      <c r="G297" s="231" t="inlineStr"/>
      <c r="H297" s="231" t="inlineStr">
        <is>
          <t>是</t>
        </is>
      </c>
      <c r="I297" s="231" t="inlineStr"/>
      <c r="J297" s="27" t="inlineStr"/>
      <c r="K297" s="27" t="inlineStr">
        <is>
          <t>是</t>
        </is>
      </c>
      <c r="L297" s="231" t="n">
        <v>100</v>
      </c>
      <c r="M297" s="19" t="inlineStr">
        <is>
          <t>Product-4B89105C</t>
        </is>
      </c>
      <c r="N297" s="231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4" t="n"/>
      <c r="B298" s="231" t="inlineStr">
        <is>
          <t>SKU-11ADC9CE</t>
        </is>
      </c>
      <c r="C298" s="231" t="inlineStr"/>
      <c r="D298" s="231" t="n">
        <v>11</v>
      </c>
      <c r="E298" s="231" t="inlineStr"/>
      <c r="F298" s="231" t="inlineStr"/>
      <c r="G298" s="231" t="inlineStr"/>
      <c r="H298" s="231" t="inlineStr"/>
      <c r="I298" s="231" t="inlineStr"/>
      <c r="J298" s="27" t="inlineStr"/>
      <c r="K298" s="27" t="inlineStr">
        <is>
          <t>是</t>
        </is>
      </c>
      <c r="L298" s="231" t="n">
        <v>100</v>
      </c>
      <c r="M298" s="19" t="inlineStr">
        <is>
          <t>Product-21261DDB</t>
        </is>
      </c>
      <c r="N298" s="231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4" t="n"/>
      <c r="B299" s="231" t="inlineStr">
        <is>
          <t>SKU-644F171E</t>
        </is>
      </c>
      <c r="C299" s="231" t="inlineStr"/>
      <c r="D299" s="231" t="n">
        <v>9</v>
      </c>
      <c r="E299" s="231" t="inlineStr"/>
      <c r="F299" s="231" t="inlineStr"/>
      <c r="G299" s="231" t="inlineStr"/>
      <c r="H299" s="231" t="inlineStr">
        <is>
          <t>是</t>
        </is>
      </c>
      <c r="I299" s="231" t="inlineStr"/>
      <c r="J299" s="27" t="inlineStr"/>
      <c r="K299" s="27" t="inlineStr">
        <is>
          <t>是</t>
        </is>
      </c>
      <c r="L299" s="231" t="n">
        <v>100</v>
      </c>
      <c r="M299" s="19" t="inlineStr">
        <is>
          <t>Product-1BA50314</t>
        </is>
      </c>
      <c r="N299" s="231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4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4" t="n"/>
      <c r="B301" s="55" t="inlineStr">
        <is>
          <t>SKU-AEC97CC2</t>
        </is>
      </c>
      <c r="C301" s="231" t="inlineStr"/>
      <c r="D301" s="231" t="n">
        <v>4</v>
      </c>
      <c r="E301" s="231" t="inlineStr">
        <is>
          <t>是</t>
        </is>
      </c>
      <c r="F301" s="231" t="inlineStr"/>
      <c r="G301" s="231" t="inlineStr"/>
      <c r="H301" s="231" t="inlineStr"/>
      <c r="I301" s="231" t="inlineStr"/>
      <c r="J301" s="56" t="inlineStr"/>
      <c r="K301" s="56" t="inlineStr">
        <is>
          <t>是</t>
        </is>
      </c>
      <c r="L301" s="231" t="n">
        <v>100</v>
      </c>
      <c r="M301" s="77" t="inlineStr">
        <is>
          <t>Product-B78F5436</t>
        </is>
      </c>
      <c r="N301" s="231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4" t="n"/>
      <c r="B302" s="55" t="inlineStr">
        <is>
          <t>SKU-472FCFCF</t>
        </is>
      </c>
      <c r="C302" s="231" t="inlineStr"/>
      <c r="D302" s="231" t="n">
        <v>1</v>
      </c>
      <c r="E302" s="231" t="inlineStr">
        <is>
          <t>是</t>
        </is>
      </c>
      <c r="F302" s="231" t="inlineStr"/>
      <c r="G302" s="231" t="inlineStr"/>
      <c r="H302" s="231" t="inlineStr">
        <is>
          <t>是</t>
        </is>
      </c>
      <c r="I302" s="231" t="inlineStr"/>
      <c r="J302" s="56" t="inlineStr"/>
      <c r="K302" s="56" t="inlineStr">
        <is>
          <t>是</t>
        </is>
      </c>
      <c r="L302" s="231" t="n">
        <v>100</v>
      </c>
      <c r="M302" s="77" t="inlineStr">
        <is>
          <t>Product-5367E8C9</t>
        </is>
      </c>
      <c r="N302" s="231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4" t="n"/>
      <c r="B303" s="231" t="inlineStr">
        <is>
          <t>SKU-74226566</t>
        </is>
      </c>
      <c r="C303" s="231" t="inlineStr"/>
      <c r="D303" s="231" t="n">
        <v>1</v>
      </c>
      <c r="E303" s="231" t="inlineStr">
        <is>
          <t>是</t>
        </is>
      </c>
      <c r="F303" s="231" t="inlineStr"/>
      <c r="G303" s="231" t="inlineStr"/>
      <c r="H303" s="231" t="inlineStr"/>
      <c r="I303" s="231" t="inlineStr"/>
      <c r="J303" s="27" t="inlineStr"/>
      <c r="K303" s="27" t="inlineStr">
        <is>
          <t>是</t>
        </is>
      </c>
      <c r="L303" s="231" t="n">
        <v>100</v>
      </c>
      <c r="M303" s="19" t="inlineStr">
        <is>
          <t>Product-5CBC2173</t>
        </is>
      </c>
      <c r="N303" s="231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4" t="n"/>
      <c r="B304" s="231" t="inlineStr">
        <is>
          <t>SKU-C8F1C563</t>
        </is>
      </c>
      <c r="C304" s="231" t="inlineStr"/>
      <c r="D304" s="231" t="n">
        <v>4</v>
      </c>
      <c r="E304" s="231" t="inlineStr">
        <is>
          <t>是</t>
        </is>
      </c>
      <c r="F304" s="231" t="inlineStr"/>
      <c r="G304" s="231" t="inlineStr"/>
      <c r="H304" s="231" t="inlineStr"/>
      <c r="I304" s="231" t="inlineStr"/>
      <c r="J304" s="27" t="inlineStr"/>
      <c r="K304" s="27" t="inlineStr">
        <is>
          <t>是</t>
        </is>
      </c>
      <c r="L304" s="231" t="n">
        <v>100</v>
      </c>
      <c r="M304" s="19" t="inlineStr">
        <is>
          <t>Product-CB94403F</t>
        </is>
      </c>
      <c r="N304" s="231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4" t="n"/>
      <c r="B305" s="55" t="inlineStr">
        <is>
          <t>SKU-3612A067</t>
        </is>
      </c>
      <c r="C305" s="231" t="inlineStr"/>
      <c r="D305" s="231" t="n">
        <v>4</v>
      </c>
      <c r="E305" s="231" t="inlineStr"/>
      <c r="F305" s="231" t="inlineStr"/>
      <c r="G305" s="231" t="inlineStr"/>
      <c r="H305" s="231" t="inlineStr"/>
      <c r="I305" s="231" t="inlineStr"/>
      <c r="J305" s="56" t="inlineStr"/>
      <c r="K305" s="56" t="inlineStr">
        <is>
          <t>是</t>
        </is>
      </c>
      <c r="L305" s="231" t="n">
        <v>100</v>
      </c>
      <c r="M305" s="59" t="inlineStr">
        <is>
          <t>Product-00361644</t>
        </is>
      </c>
      <c r="N305" s="231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4" t="n"/>
      <c r="B306" s="55" t="inlineStr">
        <is>
          <t>SKU-CBB84AFA</t>
        </is>
      </c>
      <c r="C306" s="231" t="inlineStr"/>
      <c r="D306" s="231" t="n">
        <v>7</v>
      </c>
      <c r="E306" s="231" t="inlineStr"/>
      <c r="F306" s="231" t="inlineStr"/>
      <c r="G306" s="231" t="inlineStr"/>
      <c r="H306" s="231" t="inlineStr"/>
      <c r="I306" s="231" t="inlineStr"/>
      <c r="J306" s="56" t="inlineStr"/>
      <c r="K306" s="56" t="inlineStr">
        <is>
          <t>是</t>
        </is>
      </c>
      <c r="L306" s="231" t="n">
        <v>100</v>
      </c>
      <c r="M306" s="44" t="inlineStr">
        <is>
          <t>Product-9FF98A5E</t>
        </is>
      </c>
      <c r="N306" s="231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4" t="n"/>
      <c r="B307" s="231" t="inlineStr">
        <is>
          <t>SKU-64173031</t>
        </is>
      </c>
      <c r="C307" s="231" t="inlineStr"/>
      <c r="D307" s="231" t="n">
        <v>5</v>
      </c>
      <c r="E307" s="231" t="inlineStr"/>
      <c r="F307" s="231" t="inlineStr"/>
      <c r="G307" s="231" t="inlineStr"/>
      <c r="H307" s="231" t="inlineStr"/>
      <c r="I307" s="231" t="inlineStr"/>
      <c r="J307" s="56" t="inlineStr"/>
      <c r="K307" s="56" t="inlineStr">
        <is>
          <t>是</t>
        </is>
      </c>
      <c r="L307" s="231" t="n">
        <v>100</v>
      </c>
      <c r="M307" s="19" t="inlineStr">
        <is>
          <t>Product-CE4A3DBB</t>
        </is>
      </c>
      <c r="N307" s="231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4" t="n"/>
      <c r="B308" s="55" t="inlineStr">
        <is>
          <t>SKU-79156780</t>
        </is>
      </c>
      <c r="C308" s="231" t="inlineStr"/>
      <c r="D308" s="231" t="n">
        <v>11</v>
      </c>
      <c r="E308" s="231" t="inlineStr"/>
      <c r="F308" s="231" t="inlineStr"/>
      <c r="G308" s="231" t="inlineStr"/>
      <c r="H308" s="231" t="inlineStr"/>
      <c r="I308" s="231" t="inlineStr"/>
      <c r="J308" s="56" t="inlineStr"/>
      <c r="K308" s="56" t="inlineStr">
        <is>
          <t>是</t>
        </is>
      </c>
      <c r="L308" s="231" t="n">
        <v>100</v>
      </c>
      <c r="M308" s="59" t="inlineStr">
        <is>
          <t>Product-D8310139</t>
        </is>
      </c>
      <c r="N308" s="231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4" t="n"/>
      <c r="B309" s="55" t="inlineStr">
        <is>
          <t>SKU-5E2193C8</t>
        </is>
      </c>
      <c r="C309" s="231" t="inlineStr"/>
      <c r="D309" s="231" t="n">
        <v>11</v>
      </c>
      <c r="E309" s="231" t="inlineStr"/>
      <c r="F309" s="231" t="inlineStr"/>
      <c r="G309" s="231" t="inlineStr"/>
      <c r="H309" s="231" t="inlineStr"/>
      <c r="I309" s="231" t="inlineStr"/>
      <c r="J309" s="56" t="inlineStr"/>
      <c r="K309" s="56" t="inlineStr">
        <is>
          <t>是</t>
        </is>
      </c>
      <c r="L309" s="231" t="n">
        <v>100</v>
      </c>
      <c r="M309" s="59" t="inlineStr">
        <is>
          <t>Product-B1BCBBF1</t>
        </is>
      </c>
      <c r="N309" s="231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4" t="n"/>
      <c r="B310" s="55" t="inlineStr">
        <is>
          <t>SKU-E0B7650A</t>
        </is>
      </c>
      <c r="C310" s="231" t="inlineStr"/>
      <c r="D310" s="231" t="n">
        <v>9</v>
      </c>
      <c r="E310" s="231" t="inlineStr"/>
      <c r="F310" s="231" t="inlineStr">
        <is>
          <t>是</t>
        </is>
      </c>
      <c r="G310" s="231" t="inlineStr"/>
      <c r="H310" s="231" t="inlineStr"/>
      <c r="I310" s="231" t="inlineStr"/>
      <c r="J310" s="56" t="inlineStr"/>
      <c r="K310" s="56" t="inlineStr">
        <is>
          <t>是</t>
        </is>
      </c>
      <c r="L310" s="231" t="n">
        <v>100</v>
      </c>
      <c r="M310" s="59" t="inlineStr">
        <is>
          <t>Product-6CE7F780</t>
        </is>
      </c>
      <c r="N310" s="231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4" t="n"/>
      <c r="B311" s="55" t="inlineStr">
        <is>
          <t>SKU-843C0510</t>
        </is>
      </c>
      <c r="C311" s="231" t="inlineStr"/>
      <c r="D311" s="231" t="n">
        <v>5</v>
      </c>
      <c r="E311" s="231" t="inlineStr"/>
      <c r="F311" s="231" t="inlineStr"/>
      <c r="G311" s="231" t="inlineStr"/>
      <c r="H311" s="231" t="inlineStr"/>
      <c r="I311" s="231" t="inlineStr"/>
      <c r="J311" s="27" t="inlineStr"/>
      <c r="K311" s="27" t="inlineStr">
        <is>
          <t>是</t>
        </is>
      </c>
      <c r="L311" s="231" t="n">
        <v>100</v>
      </c>
      <c r="M311" s="77" t="inlineStr">
        <is>
          <t>Product-8E98715E</t>
        </is>
      </c>
      <c r="N311" s="231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4" t="n"/>
      <c r="B312" s="55" t="inlineStr">
        <is>
          <t>SKU-24B633DE</t>
        </is>
      </c>
      <c r="C312" s="231" t="inlineStr"/>
      <c r="D312" s="55" t="n">
        <v>4</v>
      </c>
      <c r="E312" s="231" t="inlineStr"/>
      <c r="F312" s="231" t="inlineStr"/>
      <c r="G312" s="231" t="inlineStr"/>
      <c r="H312" s="231" t="inlineStr"/>
      <c r="I312" s="231" t="inlineStr"/>
      <c r="J312" s="27" t="inlineStr"/>
      <c r="K312" s="27" t="inlineStr">
        <is>
          <t>是</t>
        </is>
      </c>
      <c r="L312" s="231" t="n">
        <v>100</v>
      </c>
      <c r="M312" s="59" t="inlineStr">
        <is>
          <t>Product-7888AB17</t>
        </is>
      </c>
      <c r="N312" s="231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4" t="n"/>
      <c r="B313" s="231" t="inlineStr">
        <is>
          <t>SKU-0408BC7B</t>
        </is>
      </c>
      <c r="C313" s="231" t="inlineStr"/>
      <c r="D313" s="231" t="n">
        <v>4</v>
      </c>
      <c r="E313" s="231" t="inlineStr">
        <is>
          <t>是</t>
        </is>
      </c>
      <c r="F313" s="231" t="inlineStr"/>
      <c r="G313" s="231" t="inlineStr"/>
      <c r="H313" s="231" t="inlineStr">
        <is>
          <t>是</t>
        </is>
      </c>
      <c r="I313" s="231" t="inlineStr"/>
      <c r="J313" s="27" t="inlineStr"/>
      <c r="K313" s="27" t="inlineStr">
        <is>
          <t>是</t>
        </is>
      </c>
      <c r="L313" s="231" t="n">
        <v>100</v>
      </c>
      <c r="M313" s="19" t="inlineStr">
        <is>
          <t>Product-5A027F0E</t>
        </is>
      </c>
      <c r="N313" s="231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5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31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31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31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31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31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31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31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topLeftCell="A282" workbookViewId="0">
      <selection activeCell="AG302" sqref="AG302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" customWidth="1" style="1" min="15" max="15"/>
    <col width="8.375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236">
        <f>IFERROR(ROUND(计划落实!O3/计划!O3,5),0)</f>
        <v/>
      </c>
      <c r="P3" s="237">
        <f>IFERROR(ROUND(计划落实!P3/计划!P3,5),0)</f>
        <v/>
      </c>
      <c r="Q3" s="237">
        <f>IFERROR(ROUND(计划落实!Q3/计划!Q3,5),0)</f>
        <v/>
      </c>
      <c r="R3" s="237">
        <f>IFERROR(ROUND(计划落实!R3/计划!R3,5),0)</f>
        <v/>
      </c>
      <c r="S3" s="237">
        <f>IFERROR(ROUND(计划落实!S3/计划!S3,5),0)</f>
        <v/>
      </c>
      <c r="T3" s="237">
        <f>IFERROR(ROUND(计划落实!T3/计划!T3,5),0)</f>
        <v/>
      </c>
      <c r="U3" s="237">
        <f>IFERROR(ROUND(计划落实!U3/计划!U3,5),0)</f>
        <v/>
      </c>
      <c r="V3" s="237">
        <f>IFERROR(ROUND(计划落实!V3/计划!V3,5),0)</f>
        <v/>
      </c>
      <c r="W3" s="237">
        <f>IFERROR(ROUND(计划落实!W3/计划!W3,5),0)</f>
        <v/>
      </c>
      <c r="X3" s="237">
        <f>IFERROR(ROUND(计划落实!X3/计划!X3,5),0)</f>
        <v/>
      </c>
      <c r="Y3" s="237">
        <f>IFERROR(ROUND(计划落实!Y3/计划!Y3,5),0)</f>
        <v/>
      </c>
      <c r="Z3" s="237">
        <f>IFERROR(ROUND(计划落实!Z3/计划!Z3,5),0)</f>
        <v/>
      </c>
      <c r="AA3" s="237">
        <f>IFERROR(ROUND(计划落实!AA3/计划!AA3,5),0)</f>
        <v/>
      </c>
      <c r="AB3" s="238">
        <f>IFERROR(ROUND(计划落实!AB3/计划!AB3,5),0)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4" t="n"/>
      <c r="B4" s="231" t="inlineStr">
        <is>
          <t>SKU-FEFFF06B</t>
        </is>
      </c>
      <c r="C4" s="231" t="inlineStr">
        <is>
          <t>是</t>
        </is>
      </c>
      <c r="D4" s="231" t="n">
        <v>5</v>
      </c>
      <c r="E4" s="231" t="inlineStr"/>
      <c r="F4" s="231" t="inlineStr"/>
      <c r="G4" s="231" t="inlineStr"/>
      <c r="H4" s="231" t="inlineStr"/>
      <c r="I4" s="231" t="inlineStr"/>
      <c r="J4" s="27" t="inlineStr"/>
      <c r="K4" s="27" t="inlineStr">
        <is>
          <t>是</t>
        </is>
      </c>
      <c r="L4" s="231" t="n">
        <v>100</v>
      </c>
      <c r="M4" s="19" t="inlineStr">
        <is>
          <t>Product-2824E2BD</t>
        </is>
      </c>
      <c r="N4" s="231" t="n">
        <v>2</v>
      </c>
      <c r="O4" s="239">
        <f>IFERROR(ROUND(计划落实!O4/计划!O4,5),0)</f>
        <v/>
      </c>
      <c r="P4" s="237">
        <f>IFERROR(ROUND(计划落实!P4/计划!P4,5),0)</f>
        <v/>
      </c>
      <c r="Q4" s="240">
        <f>IFERROR(ROUND(计划落实!Q4/计划!Q4,5),0)</f>
        <v/>
      </c>
      <c r="R4" s="240">
        <f>IFERROR(ROUND(计划落实!R4/计划!R4,5),0)</f>
        <v/>
      </c>
      <c r="S4" s="240">
        <f>IFERROR(ROUND(计划落实!S4/计划!S4,5),0)</f>
        <v/>
      </c>
      <c r="T4" s="240">
        <f>IFERROR(ROUND(计划落实!T4/计划!T4,5),0)</f>
        <v/>
      </c>
      <c r="U4" s="240">
        <f>IFERROR(ROUND(计划落实!U4/计划!U4,5),0)</f>
        <v/>
      </c>
      <c r="V4" s="240">
        <f>IFERROR(ROUND(计划落实!V4/计划!V4,5),0)</f>
        <v/>
      </c>
      <c r="W4" s="240">
        <f>IFERROR(ROUND(计划落实!W4/计划!W4,5),0)</f>
        <v/>
      </c>
      <c r="X4" s="240">
        <f>IFERROR(ROUND(计划落实!X4/计划!X4,5),0)</f>
        <v/>
      </c>
      <c r="Y4" s="240">
        <f>IFERROR(ROUND(计划落实!Y4/计划!Y4,5),0)</f>
        <v/>
      </c>
      <c r="Z4" s="240">
        <f>IFERROR(ROUND(计划落实!Z4/计划!Z4,5),0)</f>
        <v/>
      </c>
      <c r="AA4" s="240">
        <f>IFERROR(ROUND(计划落实!AA4/计划!AA4,5),0)</f>
        <v/>
      </c>
      <c r="AB4" s="241">
        <f>IFERROR(ROUND(计划落实!AB4/计划!AB4,5),0)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4" t="n"/>
      <c r="B5" s="231" t="inlineStr">
        <is>
          <t>SKU-2866FD1A</t>
        </is>
      </c>
      <c r="C5" s="231" t="inlineStr">
        <is>
          <t>是</t>
        </is>
      </c>
      <c r="D5" s="231" t="n">
        <v>8</v>
      </c>
      <c r="E5" s="231" t="inlineStr"/>
      <c r="F5" s="231" t="inlineStr"/>
      <c r="G5" s="231" t="inlineStr"/>
      <c r="H5" s="231" t="inlineStr"/>
      <c r="I5" s="231" t="inlineStr"/>
      <c r="J5" s="27" t="inlineStr"/>
      <c r="K5" s="27" t="inlineStr">
        <is>
          <t>是</t>
        </is>
      </c>
      <c r="L5" s="231" t="n">
        <v>100</v>
      </c>
      <c r="M5" s="19" t="inlineStr">
        <is>
          <t>Product-B05D24B5</t>
        </is>
      </c>
      <c r="N5" s="231" t="n">
        <v>3</v>
      </c>
      <c r="O5" s="239">
        <f>IFERROR(ROUND(计划落实!O5/计划!O5,5),0)</f>
        <v/>
      </c>
      <c r="P5" s="237">
        <f>IFERROR(ROUND(计划落实!P5/计划!P5,5),0)</f>
        <v/>
      </c>
      <c r="Q5" s="240">
        <f>IFERROR(ROUND(计划落实!Q5/计划!Q5,5),0)</f>
        <v/>
      </c>
      <c r="R5" s="240">
        <f>IFERROR(ROUND(计划落实!R5/计划!R5,5),0)</f>
        <v/>
      </c>
      <c r="S5" s="240">
        <f>IFERROR(ROUND(计划落实!S5/计划!S5,5),0)</f>
        <v/>
      </c>
      <c r="T5" s="240">
        <f>IFERROR(ROUND(计划落实!T5/计划!T5,5),0)</f>
        <v/>
      </c>
      <c r="U5" s="240">
        <f>IFERROR(ROUND(计划落实!U5/计划!U5,5),0)</f>
        <v/>
      </c>
      <c r="V5" s="240">
        <f>IFERROR(ROUND(计划落实!V5/计划!V5,5),0)</f>
        <v/>
      </c>
      <c r="W5" s="240">
        <f>IFERROR(ROUND(计划落实!W5/计划!W5,5),0)</f>
        <v/>
      </c>
      <c r="X5" s="240">
        <f>IFERROR(ROUND(计划落实!X5/计划!X5,5),0)</f>
        <v/>
      </c>
      <c r="Y5" s="240">
        <f>IFERROR(ROUND(计划落实!Y5/计划!Y5,5),0)</f>
        <v/>
      </c>
      <c r="Z5" s="240">
        <f>IFERROR(ROUND(计划落实!Z5/计划!Z5,5),0)</f>
        <v/>
      </c>
      <c r="AA5" s="240">
        <f>IFERROR(ROUND(计划落实!AA5/计划!AA5,5),0)</f>
        <v/>
      </c>
      <c r="AB5" s="241">
        <f>IFERROR(ROUND(计划落实!AB5/计划!AB5,5),0)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4" t="n"/>
      <c r="B6" s="231" t="inlineStr">
        <is>
          <t>SKU-0260B714</t>
        </is>
      </c>
      <c r="C6" s="231" t="inlineStr">
        <is>
          <t>是</t>
        </is>
      </c>
      <c r="D6" s="231" t="n">
        <v>5</v>
      </c>
      <c r="E6" s="231" t="inlineStr"/>
      <c r="F6" s="231" t="inlineStr"/>
      <c r="G6" s="231" t="inlineStr"/>
      <c r="H6" s="231" t="inlineStr"/>
      <c r="I6" s="231" t="inlineStr"/>
      <c r="J6" s="27" t="inlineStr"/>
      <c r="K6" s="27" t="inlineStr">
        <is>
          <t>是</t>
        </is>
      </c>
      <c r="L6" s="231" t="n">
        <v>100</v>
      </c>
      <c r="M6" s="33" t="inlineStr">
        <is>
          <t>Product-9FA41960</t>
        </is>
      </c>
      <c r="N6" s="231" t="n">
        <v>2</v>
      </c>
      <c r="O6" s="239">
        <f>IFERROR(ROUND(计划落实!O6/计划!O6,5),0)</f>
        <v/>
      </c>
      <c r="P6" s="237">
        <f>IFERROR(ROUND(计划落实!P6/计划!P6,5),0)</f>
        <v/>
      </c>
      <c r="Q6" s="240">
        <f>IFERROR(ROUND(计划落实!Q6/计划!Q6,5),0)</f>
        <v/>
      </c>
      <c r="R6" s="240">
        <f>IFERROR(ROUND(计划落实!R6/计划!R6,5),0)</f>
        <v/>
      </c>
      <c r="S6" s="240">
        <f>IFERROR(ROUND(计划落实!S6/计划!S6,5),0)</f>
        <v/>
      </c>
      <c r="T6" s="240">
        <f>IFERROR(ROUND(计划落实!T6/计划!T6,5),0)</f>
        <v/>
      </c>
      <c r="U6" s="240">
        <f>IFERROR(ROUND(计划落实!U6/计划!U6,5),0)</f>
        <v/>
      </c>
      <c r="V6" s="240">
        <f>IFERROR(ROUND(计划落实!V6/计划!V6,5),0)</f>
        <v/>
      </c>
      <c r="W6" s="240">
        <f>IFERROR(ROUND(计划落实!W6/计划!W6,5),0)</f>
        <v/>
      </c>
      <c r="X6" s="240">
        <f>IFERROR(ROUND(计划落实!X6/计划!X6,5),0)</f>
        <v/>
      </c>
      <c r="Y6" s="240">
        <f>IFERROR(ROUND(计划落实!Y6/计划!Y6,5),0)</f>
        <v/>
      </c>
      <c r="Z6" s="240">
        <f>IFERROR(ROUND(计划落实!Z6/计划!Z6,5),0)</f>
        <v/>
      </c>
      <c r="AA6" s="240">
        <f>IFERROR(ROUND(计划落实!AA6/计划!AA6,5),0)</f>
        <v/>
      </c>
      <c r="AB6" s="241">
        <f>IFERROR(ROUND(计划落实!AB6/计划!AB6,5),0)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4" t="n"/>
      <c r="B7" s="231" t="inlineStr">
        <is>
          <t>SKU-80DD304E</t>
        </is>
      </c>
      <c r="C7" s="231" t="inlineStr">
        <is>
          <t>是</t>
        </is>
      </c>
      <c r="D7" s="231" t="n">
        <v>5</v>
      </c>
      <c r="E7" s="231" t="inlineStr"/>
      <c r="F7" s="231" t="inlineStr">
        <is>
          <t>是</t>
        </is>
      </c>
      <c r="G7" s="231" t="inlineStr"/>
      <c r="H7" s="231" t="inlineStr"/>
      <c r="I7" s="231" t="inlineStr">
        <is>
          <t>是</t>
        </is>
      </c>
      <c r="J7" s="27" t="inlineStr"/>
      <c r="K7" s="27" t="inlineStr">
        <is>
          <t>是</t>
        </is>
      </c>
      <c r="L7" s="231" t="n">
        <v>100</v>
      </c>
      <c r="M7" s="19" t="inlineStr">
        <is>
          <t>Product-104B7147</t>
        </is>
      </c>
      <c r="N7" s="231" t="n">
        <v>2</v>
      </c>
      <c r="O7" s="239">
        <f>IFERROR(ROUND(计划落实!O7/计划!O7,5),0)</f>
        <v/>
      </c>
      <c r="P7" s="237">
        <f>IFERROR(ROUND(计划落实!P7/计划!P7,5),0)</f>
        <v/>
      </c>
      <c r="Q7" s="240">
        <f>IFERROR(ROUND(计划落实!Q7/计划!Q7,5),0)</f>
        <v/>
      </c>
      <c r="R7" s="240">
        <f>IFERROR(ROUND(计划落实!R7/计划!R7,5),0)</f>
        <v/>
      </c>
      <c r="S7" s="240">
        <f>IFERROR(ROUND(计划落实!S7/计划!S7,5),0)</f>
        <v/>
      </c>
      <c r="T7" s="240">
        <f>IFERROR(ROUND(计划落实!T7/计划!T7,5),0)</f>
        <v/>
      </c>
      <c r="U7" s="240">
        <f>IFERROR(ROUND(计划落实!U7/计划!U7,5),0)</f>
        <v/>
      </c>
      <c r="V7" s="240">
        <f>IFERROR(ROUND(计划落实!V7/计划!V7,5),0)</f>
        <v/>
      </c>
      <c r="W7" s="240">
        <f>IFERROR(ROUND(计划落实!W7/计划!W7,5),0)</f>
        <v/>
      </c>
      <c r="X7" s="240">
        <f>IFERROR(ROUND(计划落实!X7/计划!X7,5),0)</f>
        <v/>
      </c>
      <c r="Y7" s="240">
        <f>IFERROR(ROUND(计划落实!Y7/计划!Y7,5),0)</f>
        <v/>
      </c>
      <c r="Z7" s="240">
        <f>IFERROR(ROUND(计划落实!Z7/计划!Z7,5),0)</f>
        <v/>
      </c>
      <c r="AA7" s="240">
        <f>IFERROR(ROUND(计划落实!AA7/计划!AA7,5),0)</f>
        <v/>
      </c>
      <c r="AB7" s="241">
        <f>IFERROR(ROUND(计划落实!AB7/计划!AB7,5),0)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4" t="n"/>
      <c r="B8" s="231" t="inlineStr">
        <is>
          <t>SKU-1DE29866</t>
        </is>
      </c>
      <c r="C8" s="231" t="inlineStr">
        <is>
          <t>是</t>
        </is>
      </c>
      <c r="D8" s="231" t="n">
        <v>5</v>
      </c>
      <c r="E8" s="231" t="inlineStr"/>
      <c r="F8" s="231" t="inlineStr">
        <is>
          <t>是</t>
        </is>
      </c>
      <c r="G8" s="231" t="inlineStr"/>
      <c r="H8" s="231" t="inlineStr">
        <is>
          <t>是</t>
        </is>
      </c>
      <c r="I8" s="231" t="inlineStr">
        <is>
          <t>是</t>
        </is>
      </c>
      <c r="J8" s="27" t="inlineStr"/>
      <c r="K8" s="27" t="inlineStr">
        <is>
          <t>是</t>
        </is>
      </c>
      <c r="L8" s="231" t="n">
        <v>100</v>
      </c>
      <c r="M8" s="19" t="inlineStr">
        <is>
          <t>Product-F23B59C1</t>
        </is>
      </c>
      <c r="N8" s="231" t="n">
        <v>1</v>
      </c>
      <c r="O8" s="239">
        <f>IFERROR(ROUND(计划落实!O8/计划!O8,5),0)</f>
        <v/>
      </c>
      <c r="P8" s="237">
        <f>IFERROR(ROUND(计划落实!P8/计划!P8,5),0)</f>
        <v/>
      </c>
      <c r="Q8" s="240">
        <f>IFERROR(ROUND(计划落实!Q8/计划!Q8,5),0)</f>
        <v/>
      </c>
      <c r="R8" s="240">
        <f>IFERROR(ROUND(计划落实!R8/计划!R8,5),0)</f>
        <v/>
      </c>
      <c r="S8" s="240">
        <f>IFERROR(ROUND(计划落实!S8/计划!S8,5),0)</f>
        <v/>
      </c>
      <c r="T8" s="240">
        <f>IFERROR(ROUND(计划落实!T8/计划!T8,5),0)</f>
        <v/>
      </c>
      <c r="U8" s="240">
        <f>IFERROR(ROUND(计划落实!U8/计划!U8,5),0)</f>
        <v/>
      </c>
      <c r="V8" s="240">
        <f>IFERROR(ROUND(计划落实!V8/计划!V8,5),0)</f>
        <v/>
      </c>
      <c r="W8" s="240">
        <f>IFERROR(ROUND(计划落实!W8/计划!W8,5),0)</f>
        <v/>
      </c>
      <c r="X8" s="240">
        <f>IFERROR(ROUND(计划落实!X8/计划!X8,5),0)</f>
        <v/>
      </c>
      <c r="Y8" s="240">
        <f>IFERROR(ROUND(计划落实!Y8/计划!Y8,5),0)</f>
        <v/>
      </c>
      <c r="Z8" s="240">
        <f>IFERROR(ROUND(计划落实!Z8/计划!Z8,5),0)</f>
        <v/>
      </c>
      <c r="AA8" s="240">
        <f>IFERROR(ROUND(计划落实!AA8/计划!AA8,5),0)</f>
        <v/>
      </c>
      <c r="AB8" s="241">
        <f>IFERROR(ROUND(计划落实!AB8/计划!AB8,5),0)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4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239">
        <f>IFERROR(ROUND(计划落实!O9/计划!O9,5),0)</f>
        <v/>
      </c>
      <c r="P9" s="239">
        <f>IFERROR(ROUND(计划落实!P9/计划!P9,5),0)</f>
        <v/>
      </c>
      <c r="Q9" s="239">
        <f>IFERROR(ROUND(计划落实!Q9/计划!Q9,5),0)</f>
        <v/>
      </c>
      <c r="R9" s="239">
        <f>IFERROR(ROUND(计划落实!R9/计划!R9,5),0)</f>
        <v/>
      </c>
      <c r="S9" s="239">
        <f>IFERROR(ROUND(计划落实!S9/计划!S9,5),0)</f>
        <v/>
      </c>
      <c r="T9" s="239">
        <f>IFERROR(ROUND(计划落实!T9/计划!T9,5),0)</f>
        <v/>
      </c>
      <c r="U9" s="239">
        <f>IFERROR(ROUND(计划落实!U9/计划!U9,5),0)</f>
        <v/>
      </c>
      <c r="V9" s="239">
        <f>IFERROR(ROUND(计划落实!V9/计划!V9,5),0)</f>
        <v/>
      </c>
      <c r="W9" s="239">
        <f>IFERROR(ROUND(计划落实!W9/计划!W9,5),0)</f>
        <v/>
      </c>
      <c r="X9" s="239">
        <f>IFERROR(ROUND(计划落实!X9/计划!X9,5),0)</f>
        <v/>
      </c>
      <c r="Y9" s="239">
        <f>IFERROR(ROUND(计划落实!Y9/计划!Y9,5),0)</f>
        <v/>
      </c>
      <c r="Z9" s="239">
        <f>IFERROR(ROUND(计划落实!Z9/计划!Z9,5),0)</f>
        <v/>
      </c>
      <c r="AA9" s="239">
        <f>IFERROR(ROUND(计划落实!AA9/计划!AA9,5),0)</f>
        <v/>
      </c>
      <c r="AB9" s="239">
        <f>IFERROR(ROUND(计划落实!AB9/计划!AB9,5),0)</f>
        <v/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4" t="n"/>
      <c r="B10" s="231" t="inlineStr">
        <is>
          <t>SKU-D208A1F4</t>
        </is>
      </c>
      <c r="C10" s="231" t="inlineStr"/>
      <c r="D10" s="231" t="n">
        <v>9</v>
      </c>
      <c r="E10" s="231" t="inlineStr"/>
      <c r="F10" s="231" t="inlineStr"/>
      <c r="G10" s="231" t="inlineStr"/>
      <c r="H10" s="231" t="inlineStr"/>
      <c r="I10" s="231" t="inlineStr"/>
      <c r="J10" s="27" t="inlineStr"/>
      <c r="K10" s="27" t="inlineStr"/>
      <c r="L10" s="231" t="n">
        <v>100</v>
      </c>
      <c r="M10" s="19" t="inlineStr">
        <is>
          <t>Product-DE70A72E</t>
        </is>
      </c>
      <c r="N10" s="231" t="n">
        <v>3</v>
      </c>
      <c r="O10" s="236">
        <f>IFERROR(ROUND(计划落实!O10/计划!O10,5),0)</f>
        <v/>
      </c>
      <c r="P10" s="237">
        <f>IFERROR(ROUND(计划落实!P10/计划!P10,5),0)</f>
        <v/>
      </c>
      <c r="Q10" s="237">
        <f>IFERROR(ROUND(计划落实!Q10/计划!Q10,5),0)</f>
        <v/>
      </c>
      <c r="R10" s="237">
        <f>IFERROR(ROUND(计划落实!R10/计划!R10,5),0)</f>
        <v/>
      </c>
      <c r="S10" s="237">
        <f>IFERROR(ROUND(计划落实!S10/计划!S10,5),0)</f>
        <v/>
      </c>
      <c r="T10" s="237">
        <f>IFERROR(ROUND(计划落实!T10/计划!T10,5),0)</f>
        <v/>
      </c>
      <c r="U10" s="237">
        <f>IFERROR(ROUND(计划落实!U10/计划!U10,5),0)</f>
        <v/>
      </c>
      <c r="V10" s="237">
        <f>IFERROR(ROUND(计划落实!V10/计划!V10,5),0)</f>
        <v/>
      </c>
      <c r="W10" s="237">
        <f>IFERROR(ROUND(计划落实!W10/计划!W10,5),0)</f>
        <v/>
      </c>
      <c r="X10" s="237">
        <f>IFERROR(ROUND(计划落实!X10/计划!X10,5),0)</f>
        <v/>
      </c>
      <c r="Y10" s="237">
        <f>IFERROR(ROUND(计划落实!Y10/计划!Y10,5),0)</f>
        <v/>
      </c>
      <c r="Z10" s="237">
        <f>IFERROR(ROUND(计划落实!Z10/计划!Z10,5),0)</f>
        <v/>
      </c>
      <c r="AA10" s="237">
        <f>IFERROR(ROUND(计划落实!AA10/计划!AA10,5),0)</f>
        <v/>
      </c>
      <c r="AB10" s="237">
        <f>IFERROR(ROUND(计划落实!AB10/计划!AB10,5),0)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4" t="n"/>
      <c r="B11" s="231" t="inlineStr">
        <is>
          <t>SKU-07FCDFBC</t>
        </is>
      </c>
      <c r="C11" s="231" t="inlineStr"/>
      <c r="D11" s="231" t="n">
        <v>10</v>
      </c>
      <c r="E11" s="231" t="inlineStr"/>
      <c r="F11" s="231" t="inlineStr"/>
      <c r="G11" s="231" t="inlineStr">
        <is>
          <t>是</t>
        </is>
      </c>
      <c r="H11" s="231" t="inlineStr"/>
      <c r="I11" s="231" t="inlineStr">
        <is>
          <t>是</t>
        </is>
      </c>
      <c r="J11" s="27" t="inlineStr"/>
      <c r="K11" s="27" t="inlineStr"/>
      <c r="L11" s="231" t="n">
        <v>100</v>
      </c>
      <c r="M11" s="43" t="inlineStr">
        <is>
          <t>Product-7A1FEE2B</t>
        </is>
      </c>
      <c r="N11" s="231" t="n">
        <v>1</v>
      </c>
      <c r="O11" s="236">
        <f>IFERROR(ROUND(计划落实!O11/计划!O11,5),0)</f>
        <v/>
      </c>
      <c r="P11" s="237">
        <f>IFERROR(ROUND(计划落实!P11/计划!P11,5),0)</f>
        <v/>
      </c>
      <c r="Q11" s="237">
        <f>IFERROR(ROUND(计划落实!Q11/计划!Q11,5),0)</f>
        <v/>
      </c>
      <c r="R11" s="237">
        <f>IFERROR(ROUND(计划落实!R11/计划!R11,5),0)</f>
        <v/>
      </c>
      <c r="S11" s="237">
        <f>IFERROR(ROUND(计划落实!S11/计划!S11,5),0)</f>
        <v/>
      </c>
      <c r="T11" s="237">
        <f>IFERROR(ROUND(计划落实!T11/计划!T11,5),0)</f>
        <v/>
      </c>
      <c r="U11" s="237">
        <f>IFERROR(ROUND(计划落实!U11/计划!U11,5),0)</f>
        <v/>
      </c>
      <c r="V11" s="237">
        <f>IFERROR(ROUND(计划落实!V11/计划!V11,5),0)</f>
        <v/>
      </c>
      <c r="W11" s="237">
        <f>IFERROR(ROUND(计划落实!W11/计划!W11,5),0)</f>
        <v/>
      </c>
      <c r="X11" s="237">
        <f>IFERROR(ROUND(计划落实!X11/计划!X11,5),0)</f>
        <v/>
      </c>
      <c r="Y11" s="237">
        <f>IFERROR(ROUND(计划落实!Y11/计划!Y11,5),0)</f>
        <v/>
      </c>
      <c r="Z11" s="237">
        <f>IFERROR(ROUND(计划落实!Z11/计划!Z11,5),0)</f>
        <v/>
      </c>
      <c r="AA11" s="237">
        <f>IFERROR(ROUND(计划落实!AA11/计划!AA11,5),0)</f>
        <v/>
      </c>
      <c r="AB11" s="237">
        <f>IFERROR(ROUND(计划落实!AB11/计划!AB11,5),0)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4" t="n"/>
      <c r="B12" s="231" t="inlineStr">
        <is>
          <t>SKU-F24DC4CC</t>
        </is>
      </c>
      <c r="C12" s="231" t="inlineStr"/>
      <c r="D12" s="231" t="n">
        <v>10</v>
      </c>
      <c r="E12" s="231" t="inlineStr"/>
      <c r="F12" s="231" t="inlineStr"/>
      <c r="G12" s="231" t="inlineStr"/>
      <c r="H12" s="231" t="inlineStr"/>
      <c r="I12" s="231" t="inlineStr"/>
      <c r="J12" s="27" t="inlineStr"/>
      <c r="K12" s="27" t="inlineStr"/>
      <c r="L12" s="231" t="n">
        <v>100</v>
      </c>
      <c r="M12" s="43" t="inlineStr">
        <is>
          <t>Product-3F617BC6</t>
        </is>
      </c>
      <c r="N12" s="231" t="n">
        <v>1</v>
      </c>
      <c r="O12" s="236">
        <f>IFERROR(ROUND(计划落实!O12/计划!O12,5),0)</f>
        <v/>
      </c>
      <c r="P12" s="237">
        <f>IFERROR(ROUND(计划落实!P12/计划!P12,5),0)</f>
        <v/>
      </c>
      <c r="Q12" s="237">
        <f>IFERROR(ROUND(计划落实!Q12/计划!Q12,5),0)</f>
        <v/>
      </c>
      <c r="R12" s="237">
        <f>IFERROR(ROUND(计划落实!R12/计划!R12,5),0)</f>
        <v/>
      </c>
      <c r="S12" s="237">
        <f>IFERROR(ROUND(计划落实!S12/计划!S12,5),0)</f>
        <v/>
      </c>
      <c r="T12" s="237">
        <f>IFERROR(ROUND(计划落实!T12/计划!T12,5),0)</f>
        <v/>
      </c>
      <c r="U12" s="237">
        <f>IFERROR(ROUND(计划落实!U12/计划!U12,5),0)</f>
        <v/>
      </c>
      <c r="V12" s="237">
        <f>IFERROR(ROUND(计划落实!V12/计划!V12,5),0)</f>
        <v/>
      </c>
      <c r="W12" s="237">
        <f>IFERROR(ROUND(计划落实!W12/计划!W12,5),0)</f>
        <v/>
      </c>
      <c r="X12" s="237">
        <f>IFERROR(ROUND(计划落实!X12/计划!X12,5),0)</f>
        <v/>
      </c>
      <c r="Y12" s="237">
        <f>IFERROR(ROUND(计划落实!Y12/计划!Y12,5),0)</f>
        <v/>
      </c>
      <c r="Z12" s="237">
        <f>IFERROR(ROUND(计划落实!Z12/计划!Z12,5),0)</f>
        <v/>
      </c>
      <c r="AA12" s="237">
        <f>IFERROR(ROUND(计划落实!AA12/计划!AA12,5),0)</f>
        <v/>
      </c>
      <c r="AB12" s="237">
        <f>IFERROR(ROUND(计划落实!AB12/计划!AB12,5),0)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4" t="n"/>
      <c r="B13" s="231" t="inlineStr">
        <is>
          <t>SKU-D943D84F</t>
        </is>
      </c>
      <c r="C13" s="231" t="inlineStr"/>
      <c r="D13" s="231" t="n">
        <v>10</v>
      </c>
      <c r="E13" s="231" t="inlineStr"/>
      <c r="F13" s="231" t="inlineStr"/>
      <c r="G13" s="231" t="inlineStr"/>
      <c r="H13" s="231" t="inlineStr"/>
      <c r="I13" s="231" t="inlineStr"/>
      <c r="J13" s="27" t="inlineStr"/>
      <c r="K13" s="27" t="inlineStr"/>
      <c r="L13" s="231" t="n">
        <v>100</v>
      </c>
      <c r="M13" s="44" t="inlineStr">
        <is>
          <t>Product-9C089579</t>
        </is>
      </c>
      <c r="N13" s="231" t="n">
        <v>1</v>
      </c>
      <c r="O13" s="236">
        <f>IFERROR(ROUND(计划落实!O13/计划!O13,5),0)</f>
        <v/>
      </c>
      <c r="P13" s="237">
        <f>IFERROR(ROUND(计划落实!P13/计划!P13,5),0)</f>
        <v/>
      </c>
      <c r="Q13" s="237">
        <f>IFERROR(ROUND(计划落实!Q13/计划!Q13,5),0)</f>
        <v/>
      </c>
      <c r="R13" s="237">
        <f>IFERROR(ROUND(计划落实!R13/计划!R13,5),0)</f>
        <v/>
      </c>
      <c r="S13" s="237">
        <f>IFERROR(ROUND(计划落实!S13/计划!S13,5),0)</f>
        <v/>
      </c>
      <c r="T13" s="237">
        <f>IFERROR(ROUND(计划落实!T13/计划!T13,5),0)</f>
        <v/>
      </c>
      <c r="U13" s="237">
        <f>IFERROR(ROUND(计划落实!U13/计划!U13,5),0)</f>
        <v/>
      </c>
      <c r="V13" s="237">
        <f>IFERROR(ROUND(计划落实!V13/计划!V13,5),0)</f>
        <v/>
      </c>
      <c r="W13" s="237">
        <f>IFERROR(ROUND(计划落实!W13/计划!W13,5),0)</f>
        <v/>
      </c>
      <c r="X13" s="237">
        <f>IFERROR(ROUND(计划落实!X13/计划!X13,5),0)</f>
        <v/>
      </c>
      <c r="Y13" s="237">
        <f>IFERROR(ROUND(计划落实!Y13/计划!Y13,5),0)</f>
        <v/>
      </c>
      <c r="Z13" s="237">
        <f>IFERROR(ROUND(计划落实!Z13/计划!Z13,5),0)</f>
        <v/>
      </c>
      <c r="AA13" s="237">
        <f>IFERROR(ROUND(计划落实!AA13/计划!AA13,5),0)</f>
        <v/>
      </c>
      <c r="AB13" s="237">
        <f>IFERROR(ROUND(计划落实!AB13/计划!AB13,5),0)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4" t="n"/>
      <c r="B14" s="231" t="inlineStr">
        <is>
          <t>SKU-6D9E63BD</t>
        </is>
      </c>
      <c r="C14" s="231" t="inlineStr"/>
      <c r="D14" s="231" t="n">
        <v>8</v>
      </c>
      <c r="E14" s="231" t="inlineStr"/>
      <c r="F14" s="231" t="inlineStr">
        <is>
          <t>是</t>
        </is>
      </c>
      <c r="G14" s="231" t="inlineStr"/>
      <c r="H14" s="231" t="inlineStr"/>
      <c r="I14" s="231" t="inlineStr">
        <is>
          <t>是</t>
        </is>
      </c>
      <c r="J14" s="27" t="inlineStr"/>
      <c r="K14" s="27" t="inlineStr"/>
      <c r="L14" s="231" t="n">
        <v>100</v>
      </c>
      <c r="M14" s="19" t="inlineStr">
        <is>
          <t>Product-BC499EF2</t>
        </is>
      </c>
      <c r="N14" s="231" t="n">
        <v>1</v>
      </c>
      <c r="O14" s="236">
        <f>IFERROR(ROUND(计划落实!O14/计划!O14,5),0)</f>
        <v/>
      </c>
      <c r="P14" s="237">
        <f>IFERROR(ROUND(计划落实!P14/计划!P14,5),0)</f>
        <v/>
      </c>
      <c r="Q14" s="237">
        <f>IFERROR(ROUND(计划落实!Q14/计划!Q14,5),0)</f>
        <v/>
      </c>
      <c r="R14" s="237">
        <f>IFERROR(ROUND(计划落实!R14/计划!R14,5),0)</f>
        <v/>
      </c>
      <c r="S14" s="237">
        <f>IFERROR(ROUND(计划落实!S14/计划!S14,5),0)</f>
        <v/>
      </c>
      <c r="T14" s="237">
        <f>IFERROR(ROUND(计划落实!T14/计划!T14,5),0)</f>
        <v/>
      </c>
      <c r="U14" s="237">
        <f>IFERROR(ROUND(计划落实!U14/计划!U14,5),0)</f>
        <v/>
      </c>
      <c r="V14" s="237">
        <f>IFERROR(ROUND(计划落实!V14/计划!V14,5),0)</f>
        <v/>
      </c>
      <c r="W14" s="237">
        <f>IFERROR(ROUND(计划落实!W14/计划!W14,5),0)</f>
        <v/>
      </c>
      <c r="X14" s="237">
        <f>IFERROR(ROUND(计划落实!X14/计划!X14,5),0)</f>
        <v/>
      </c>
      <c r="Y14" s="237">
        <f>IFERROR(ROUND(计划落实!Y14/计划!Y14,5),0)</f>
        <v/>
      </c>
      <c r="Z14" s="237">
        <f>IFERROR(ROUND(计划落实!Z14/计划!Z14,5),0)</f>
        <v/>
      </c>
      <c r="AA14" s="237">
        <f>IFERROR(ROUND(计划落实!AA14/计划!AA14,5),0)</f>
        <v/>
      </c>
      <c r="AB14" s="237">
        <f>IFERROR(ROUND(计划落实!AB14/计划!AB14,5),0)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4" t="n"/>
      <c r="B15" s="231" t="inlineStr">
        <is>
          <t>SKU-01FF2431</t>
        </is>
      </c>
      <c r="C15" s="231" t="inlineStr"/>
      <c r="D15" s="231" t="n">
        <v>8</v>
      </c>
      <c r="E15" s="231" t="inlineStr"/>
      <c r="F15" s="231" t="inlineStr">
        <is>
          <t>是</t>
        </is>
      </c>
      <c r="G15" s="231" t="inlineStr"/>
      <c r="H15" s="231" t="inlineStr"/>
      <c r="I15" s="231" t="inlineStr">
        <is>
          <t>是</t>
        </is>
      </c>
      <c r="J15" s="27" t="inlineStr"/>
      <c r="K15" s="27" t="inlineStr"/>
      <c r="L15" s="231" t="n">
        <v>100</v>
      </c>
      <c r="M15" s="19" t="inlineStr">
        <is>
          <t>Product-C54A353F</t>
        </is>
      </c>
      <c r="N15" s="231" t="n">
        <v>1</v>
      </c>
      <c r="O15" s="236">
        <f>IFERROR(ROUND(计划落实!O15/计划!O15,5),0)</f>
        <v/>
      </c>
      <c r="P15" s="237">
        <f>IFERROR(ROUND(计划落实!P15/计划!P15,5),0)</f>
        <v/>
      </c>
      <c r="Q15" s="237">
        <f>IFERROR(ROUND(计划落实!Q15/计划!Q15,5),0)</f>
        <v/>
      </c>
      <c r="R15" s="237">
        <f>IFERROR(ROUND(计划落实!R15/计划!R15,5),0)</f>
        <v/>
      </c>
      <c r="S15" s="237">
        <f>IFERROR(ROUND(计划落实!S15/计划!S15,5),0)</f>
        <v/>
      </c>
      <c r="T15" s="237">
        <f>IFERROR(ROUND(计划落实!T15/计划!T15,5),0)</f>
        <v/>
      </c>
      <c r="U15" s="237">
        <f>IFERROR(ROUND(计划落实!U15/计划!U15,5),0)</f>
        <v/>
      </c>
      <c r="V15" s="237">
        <f>IFERROR(ROUND(计划落实!V15/计划!V15,5),0)</f>
        <v/>
      </c>
      <c r="W15" s="237">
        <f>IFERROR(ROUND(计划落实!W15/计划!W15,5),0)</f>
        <v/>
      </c>
      <c r="X15" s="237">
        <f>IFERROR(ROUND(计划落实!X15/计划!X15,5),0)</f>
        <v/>
      </c>
      <c r="Y15" s="237">
        <f>IFERROR(ROUND(计划落实!Y15/计划!Y15,5),0)</f>
        <v/>
      </c>
      <c r="Z15" s="237">
        <f>IFERROR(ROUND(计划落实!Z15/计划!Z15,5),0)</f>
        <v/>
      </c>
      <c r="AA15" s="237">
        <f>IFERROR(ROUND(计划落实!AA15/计划!AA15,5),0)</f>
        <v/>
      </c>
      <c r="AB15" s="237">
        <f>IFERROR(ROUND(计划落实!AB15/计划!AB15,5),0)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4" t="n"/>
      <c r="B16" s="231" t="inlineStr">
        <is>
          <t>SKU-8916FAEC</t>
        </is>
      </c>
      <c r="C16" s="231" t="inlineStr"/>
      <c r="D16" s="231" t="n">
        <v>8</v>
      </c>
      <c r="E16" s="231" t="inlineStr"/>
      <c r="F16" s="231" t="inlineStr">
        <is>
          <t>是</t>
        </is>
      </c>
      <c r="G16" s="231" t="inlineStr"/>
      <c r="H16" s="231" t="inlineStr"/>
      <c r="I16" s="231" t="inlineStr">
        <is>
          <t>是</t>
        </is>
      </c>
      <c r="J16" s="27" t="inlineStr">
        <is>
          <t>共</t>
        </is>
      </c>
      <c r="K16" s="27" t="inlineStr"/>
      <c r="L16" s="231" t="n">
        <v>100</v>
      </c>
      <c r="M16" s="19" t="inlineStr">
        <is>
          <t>Product-558A622A</t>
        </is>
      </c>
      <c r="N16" s="231" t="n">
        <v>1</v>
      </c>
      <c r="O16" s="236">
        <f>IFERROR(ROUND(计划落实!O16/计划!O16,5),0)</f>
        <v/>
      </c>
      <c r="P16" s="237">
        <f>IFERROR(ROUND(计划落实!P16/计划!P16,5),0)</f>
        <v/>
      </c>
      <c r="Q16" s="237">
        <f>IFERROR(ROUND(计划落实!Q16/计划!Q16,5),0)</f>
        <v/>
      </c>
      <c r="R16" s="237">
        <f>IFERROR(ROUND(计划落实!R16/计划!R16,5),0)</f>
        <v/>
      </c>
      <c r="S16" s="237">
        <f>IFERROR(ROUND(计划落实!S16/计划!S16,5),0)</f>
        <v/>
      </c>
      <c r="T16" s="237">
        <f>IFERROR(ROUND(计划落实!T16/计划!T16,5),0)</f>
        <v/>
      </c>
      <c r="U16" s="237">
        <f>IFERROR(ROUND(计划落实!U16/计划!U16,5),0)</f>
        <v/>
      </c>
      <c r="V16" s="237">
        <f>IFERROR(ROUND(计划落实!V16/计划!V16,5),0)</f>
        <v/>
      </c>
      <c r="W16" s="237">
        <f>IFERROR(ROUND(计划落实!W16/计划!W16,5),0)</f>
        <v/>
      </c>
      <c r="X16" s="237">
        <f>IFERROR(ROUND(计划落实!X16/计划!X16,5),0)</f>
        <v/>
      </c>
      <c r="Y16" s="237">
        <f>IFERROR(ROUND(计划落实!Y16/计划!Y16,5),0)</f>
        <v/>
      </c>
      <c r="Z16" s="237">
        <f>IFERROR(ROUND(计划落实!Z16/计划!Z16,5),0)</f>
        <v/>
      </c>
      <c r="AA16" s="237">
        <f>IFERROR(ROUND(计划落实!AA16/计划!AA16,5),0)</f>
        <v/>
      </c>
      <c r="AB16" s="237">
        <f>IFERROR(ROUND(计划落实!AB16/计划!AB16,5),0)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4" t="n"/>
      <c r="B17" s="231" t="inlineStr">
        <is>
          <t>SKU-13F48E9F</t>
        </is>
      </c>
      <c r="C17" s="231" t="inlineStr"/>
      <c r="D17" s="231" t="n">
        <v>8</v>
      </c>
      <c r="E17" s="231" t="inlineStr"/>
      <c r="F17" s="231" t="inlineStr">
        <is>
          <t>是</t>
        </is>
      </c>
      <c r="G17" s="231" t="inlineStr"/>
      <c r="H17" s="231" t="inlineStr"/>
      <c r="I17" s="231" t="inlineStr">
        <is>
          <t>是</t>
        </is>
      </c>
      <c r="J17" s="27" t="inlineStr"/>
      <c r="K17" s="27" t="inlineStr"/>
      <c r="L17" s="231" t="n">
        <v>100</v>
      </c>
      <c r="M17" s="19" t="inlineStr">
        <is>
          <t>Product-9B1626A5</t>
        </is>
      </c>
      <c r="N17" s="231" t="n">
        <v>1</v>
      </c>
      <c r="O17" s="236">
        <f>IFERROR(ROUND(计划落实!O17/计划!O17,5),0)</f>
        <v/>
      </c>
      <c r="P17" s="237">
        <f>IFERROR(ROUND(计划落实!P17/计划!P17,5),0)</f>
        <v/>
      </c>
      <c r="Q17" s="237">
        <f>IFERROR(ROUND(计划落实!Q17/计划!Q17,5),0)</f>
        <v/>
      </c>
      <c r="R17" s="237">
        <f>IFERROR(ROUND(计划落实!R17/计划!R17,5),0)</f>
        <v/>
      </c>
      <c r="S17" s="237">
        <f>IFERROR(ROUND(计划落实!S17/计划!S17,5),0)</f>
        <v/>
      </c>
      <c r="T17" s="237">
        <f>IFERROR(ROUND(计划落实!T17/计划!T17,5),0)</f>
        <v/>
      </c>
      <c r="U17" s="237">
        <f>IFERROR(ROUND(计划落实!U17/计划!U17,5),0)</f>
        <v/>
      </c>
      <c r="V17" s="237">
        <f>IFERROR(ROUND(计划落实!V17/计划!V17,5),0)</f>
        <v/>
      </c>
      <c r="W17" s="237">
        <f>IFERROR(ROUND(计划落实!W17/计划!W17,5),0)</f>
        <v/>
      </c>
      <c r="X17" s="237">
        <f>IFERROR(ROUND(计划落实!X17/计划!X17,5),0)</f>
        <v/>
      </c>
      <c r="Y17" s="237">
        <f>IFERROR(ROUND(计划落实!Y17/计划!Y17,5),0)</f>
        <v/>
      </c>
      <c r="Z17" s="237">
        <f>IFERROR(ROUND(计划落实!Z17/计划!Z17,5),0)</f>
        <v/>
      </c>
      <c r="AA17" s="237">
        <f>IFERROR(ROUND(计划落实!AA17/计划!AA17,5),0)</f>
        <v/>
      </c>
      <c r="AB17" s="237">
        <f>IFERROR(ROUND(计划落实!AB17/计划!AB17,5),0)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4" t="n"/>
      <c r="B18" s="231" t="inlineStr">
        <is>
          <t>SKU-84735B62</t>
        </is>
      </c>
      <c r="C18" s="231" t="inlineStr">
        <is>
          <t>是</t>
        </is>
      </c>
      <c r="D18" s="231" t="n">
        <v>10</v>
      </c>
      <c r="E18" s="231" t="inlineStr"/>
      <c r="F18" s="231" t="inlineStr"/>
      <c r="G18" s="231" t="inlineStr"/>
      <c r="H18" s="231" t="inlineStr"/>
      <c r="I18" s="231" t="inlineStr"/>
      <c r="J18" s="27" t="inlineStr"/>
      <c r="K18" s="27" t="inlineStr"/>
      <c r="L18" s="231" t="n">
        <v>100</v>
      </c>
      <c r="M18" s="19" t="inlineStr">
        <is>
          <t>Product-61AE19F7</t>
        </is>
      </c>
      <c r="N18" s="231" t="n">
        <v>3</v>
      </c>
      <c r="O18" s="236">
        <f>IFERROR(ROUND(计划落实!O18/计划!O18,5),0)</f>
        <v/>
      </c>
      <c r="P18" s="237">
        <f>IFERROR(ROUND(计划落实!P18/计划!P18,5),0)</f>
        <v/>
      </c>
      <c r="Q18" s="237">
        <f>IFERROR(ROUND(计划落实!Q18/计划!Q18,5),0)</f>
        <v/>
      </c>
      <c r="R18" s="237">
        <f>IFERROR(ROUND(计划落实!R18/计划!R18,5),0)</f>
        <v/>
      </c>
      <c r="S18" s="237">
        <f>IFERROR(ROUND(计划落实!S18/计划!S18,5),0)</f>
        <v/>
      </c>
      <c r="T18" s="237">
        <f>IFERROR(ROUND(计划落实!T18/计划!T18,5),0)</f>
        <v/>
      </c>
      <c r="U18" s="237">
        <f>IFERROR(ROUND(计划落实!U18/计划!U18,5),0)</f>
        <v/>
      </c>
      <c r="V18" s="237">
        <f>IFERROR(ROUND(计划落实!V18/计划!V18,5),0)</f>
        <v/>
      </c>
      <c r="W18" s="237">
        <f>IFERROR(ROUND(计划落实!W18/计划!W18,5),0)</f>
        <v/>
      </c>
      <c r="X18" s="237">
        <f>IFERROR(ROUND(计划落实!X18/计划!X18,5),0)</f>
        <v/>
      </c>
      <c r="Y18" s="237">
        <f>IFERROR(ROUND(计划落实!Y18/计划!Y18,5),0)</f>
        <v/>
      </c>
      <c r="Z18" s="237">
        <f>IFERROR(ROUND(计划落实!Z18/计划!Z18,5),0)</f>
        <v/>
      </c>
      <c r="AA18" s="237">
        <f>IFERROR(ROUND(计划落实!AA18/计划!AA18,5),0)</f>
        <v/>
      </c>
      <c r="AB18" s="237">
        <f>IFERROR(ROUND(计划落实!AB18/计划!AB18,5),0)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4" t="n"/>
      <c r="B19" s="231" t="inlineStr">
        <is>
          <t>SKU-9356910A</t>
        </is>
      </c>
      <c r="C19" s="231" t="inlineStr">
        <is>
          <t>是</t>
        </is>
      </c>
      <c r="D19" s="231" t="n">
        <v>11</v>
      </c>
      <c r="E19" s="231" t="inlineStr"/>
      <c r="F19" s="231" t="inlineStr"/>
      <c r="G19" s="231" t="inlineStr"/>
      <c r="H19" s="231" t="inlineStr"/>
      <c r="I19" s="231" t="inlineStr"/>
      <c r="J19" s="27" t="inlineStr"/>
      <c r="K19" s="27" t="inlineStr"/>
      <c r="L19" s="231" t="n">
        <v>100</v>
      </c>
      <c r="M19" s="19" t="inlineStr">
        <is>
          <t>Product-1433AC24</t>
        </is>
      </c>
      <c r="N19" s="231" t="n">
        <v>2</v>
      </c>
      <c r="O19" s="236">
        <f>IFERROR(ROUND(计划落实!O19/计划!O19,5),0)</f>
        <v/>
      </c>
      <c r="P19" s="237">
        <f>IFERROR(ROUND(计划落实!P19/计划!P19,5),0)</f>
        <v/>
      </c>
      <c r="Q19" s="237">
        <f>IFERROR(ROUND(计划落实!Q19/计划!Q19,5),0)</f>
        <v/>
      </c>
      <c r="R19" s="237">
        <f>IFERROR(ROUND(计划落实!R19/计划!R19,5),0)</f>
        <v/>
      </c>
      <c r="S19" s="237">
        <f>IFERROR(ROUND(计划落实!S19/计划!S19,5),0)</f>
        <v/>
      </c>
      <c r="T19" s="237">
        <f>IFERROR(ROUND(计划落实!T19/计划!T19,5),0)</f>
        <v/>
      </c>
      <c r="U19" s="237">
        <f>IFERROR(ROUND(计划落实!U19/计划!U19,5),0)</f>
        <v/>
      </c>
      <c r="V19" s="237">
        <f>IFERROR(ROUND(计划落实!V19/计划!V19,5),0)</f>
        <v/>
      </c>
      <c r="W19" s="237">
        <f>IFERROR(ROUND(计划落实!W19/计划!W19,5),0)</f>
        <v/>
      </c>
      <c r="X19" s="237">
        <f>IFERROR(ROUND(计划落实!X19/计划!X19,5),0)</f>
        <v/>
      </c>
      <c r="Y19" s="237">
        <f>IFERROR(ROUND(计划落实!Y19/计划!Y19,5),0)</f>
        <v/>
      </c>
      <c r="Z19" s="237">
        <f>IFERROR(ROUND(计划落实!Z19/计划!Z19,5),0)</f>
        <v/>
      </c>
      <c r="AA19" s="237">
        <f>IFERROR(ROUND(计划落实!AA19/计划!AA19,5),0)</f>
        <v/>
      </c>
      <c r="AB19" s="237">
        <f>IFERROR(ROUND(计划落实!AB19/计划!AB19,5),0)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4" t="n"/>
      <c r="B20" s="231" t="inlineStr">
        <is>
          <t>SKU-A1C9F3C5</t>
        </is>
      </c>
      <c r="C20" s="231" t="inlineStr">
        <is>
          <t>是</t>
        </is>
      </c>
      <c r="D20" s="231" t="n">
        <v>10</v>
      </c>
      <c r="E20" s="231" t="inlineStr"/>
      <c r="F20" s="231" t="inlineStr"/>
      <c r="G20" s="231" t="inlineStr"/>
      <c r="H20" s="231" t="inlineStr"/>
      <c r="I20" s="231" t="inlineStr"/>
      <c r="J20" s="27" t="inlineStr">
        <is>
          <t>共</t>
        </is>
      </c>
      <c r="K20" s="27" t="inlineStr"/>
      <c r="L20" s="231" t="n">
        <v>100</v>
      </c>
      <c r="M20" s="19" t="inlineStr">
        <is>
          <t>Product-A7F669A5</t>
        </is>
      </c>
      <c r="N20" s="231" t="n">
        <v>2</v>
      </c>
      <c r="O20" s="236">
        <f>IFERROR(ROUND(计划落实!O20/计划!O20,5),0)</f>
        <v/>
      </c>
      <c r="P20" s="237">
        <f>IFERROR(ROUND(计划落实!P20/计划!P20,5),0)</f>
        <v/>
      </c>
      <c r="Q20" s="237">
        <f>IFERROR(ROUND(计划落实!Q20/计划!Q20,5),0)</f>
        <v/>
      </c>
      <c r="R20" s="237">
        <f>IFERROR(ROUND(计划落实!R20/计划!R20,5),0)</f>
        <v/>
      </c>
      <c r="S20" s="237">
        <f>IFERROR(ROUND(计划落实!S20/计划!S20,5),0)</f>
        <v/>
      </c>
      <c r="T20" s="237">
        <f>IFERROR(ROUND(计划落实!T20/计划!T20,5),0)</f>
        <v/>
      </c>
      <c r="U20" s="237">
        <f>IFERROR(ROUND(计划落实!U20/计划!U20,5),0)</f>
        <v/>
      </c>
      <c r="V20" s="237">
        <f>IFERROR(ROUND(计划落实!V20/计划!V20,5),0)</f>
        <v/>
      </c>
      <c r="W20" s="237">
        <f>IFERROR(ROUND(计划落实!W20/计划!W20,5),0)</f>
        <v/>
      </c>
      <c r="X20" s="237">
        <f>IFERROR(ROUND(计划落实!X20/计划!X20,5),0)</f>
        <v/>
      </c>
      <c r="Y20" s="237">
        <f>IFERROR(ROUND(计划落实!Y20/计划!Y20,5),0)</f>
        <v/>
      </c>
      <c r="Z20" s="237">
        <f>IFERROR(ROUND(计划落实!Z20/计划!Z20,5),0)</f>
        <v/>
      </c>
      <c r="AA20" s="237">
        <f>IFERROR(ROUND(计划落实!AA20/计划!AA20,5),0)</f>
        <v/>
      </c>
      <c r="AB20" s="237">
        <f>IFERROR(ROUND(计划落实!AB20/计划!AB20,5),0)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4" t="n"/>
      <c r="B21" s="231" t="inlineStr">
        <is>
          <t>SKU-9FED3CD7</t>
        </is>
      </c>
      <c r="C21" s="231" t="inlineStr">
        <is>
          <t>是</t>
        </is>
      </c>
      <c r="D21" s="231" t="n">
        <v>6</v>
      </c>
      <c r="E21" s="231" t="inlineStr">
        <is>
          <t>是</t>
        </is>
      </c>
      <c r="F21" s="231" t="inlineStr"/>
      <c r="G21" s="231" t="inlineStr"/>
      <c r="H21" s="231" t="inlineStr"/>
      <c r="I21" s="231" t="inlineStr">
        <is>
          <t>是</t>
        </is>
      </c>
      <c r="J21" s="27" t="inlineStr"/>
      <c r="K21" s="27" t="inlineStr"/>
      <c r="L21" s="231" t="n">
        <v>100</v>
      </c>
      <c r="M21" s="44" t="inlineStr">
        <is>
          <t>Product-80F515FA</t>
        </is>
      </c>
      <c r="N21" s="231" t="n">
        <v>1</v>
      </c>
      <c r="O21" s="236">
        <f>IFERROR(ROUND(计划落实!O21/计划!O21,5),0)</f>
        <v/>
      </c>
      <c r="P21" s="237">
        <f>IFERROR(ROUND(计划落实!P21/计划!P21,5),0)</f>
        <v/>
      </c>
      <c r="Q21" s="237">
        <f>IFERROR(ROUND(计划落实!Q21/计划!Q21,5),0)</f>
        <v/>
      </c>
      <c r="R21" s="237">
        <f>IFERROR(ROUND(计划落实!R21/计划!R21,5),0)</f>
        <v/>
      </c>
      <c r="S21" s="237">
        <f>IFERROR(ROUND(计划落实!S21/计划!S21,5),0)</f>
        <v/>
      </c>
      <c r="T21" s="237">
        <f>IFERROR(ROUND(计划落实!T21/计划!T21,5),0)</f>
        <v/>
      </c>
      <c r="U21" s="237">
        <f>IFERROR(ROUND(计划落实!U21/计划!U21,5),0)</f>
        <v/>
      </c>
      <c r="V21" s="237">
        <f>IFERROR(ROUND(计划落实!V21/计划!V21,5),0)</f>
        <v/>
      </c>
      <c r="W21" s="237">
        <f>IFERROR(ROUND(计划落实!W21/计划!W21,5),0)</f>
        <v/>
      </c>
      <c r="X21" s="237">
        <f>IFERROR(ROUND(计划落实!X21/计划!X21,5),0)</f>
        <v/>
      </c>
      <c r="Y21" s="237">
        <f>IFERROR(ROUND(计划落实!Y21/计划!Y21,5),0)</f>
        <v/>
      </c>
      <c r="Z21" s="237">
        <f>IFERROR(ROUND(计划落实!Z21/计划!Z21,5),0)</f>
        <v/>
      </c>
      <c r="AA21" s="237">
        <f>IFERROR(ROUND(计划落实!AA21/计划!AA21,5),0)</f>
        <v/>
      </c>
      <c r="AB21" s="237">
        <f>IFERROR(ROUND(计划落实!AB21/计划!AB21,5),0)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4" t="n"/>
      <c r="B22" s="231" t="inlineStr">
        <is>
          <t>SKU-D2D4FD85</t>
        </is>
      </c>
      <c r="C22" s="231" t="inlineStr">
        <is>
          <t>是</t>
        </is>
      </c>
      <c r="D22" s="231" t="n">
        <v>8</v>
      </c>
      <c r="E22" s="231" t="inlineStr">
        <is>
          <t>是</t>
        </is>
      </c>
      <c r="F22" s="231" t="inlineStr"/>
      <c r="G22" s="231" t="inlineStr"/>
      <c r="H22" s="231" t="inlineStr"/>
      <c r="I22" s="231" t="inlineStr">
        <is>
          <t>是</t>
        </is>
      </c>
      <c r="J22" s="27" t="inlineStr"/>
      <c r="K22" s="27" t="inlineStr"/>
      <c r="L22" s="231" t="n">
        <v>100</v>
      </c>
      <c r="M22" s="33" t="inlineStr">
        <is>
          <t>Product-D1D130D9</t>
        </is>
      </c>
      <c r="N22" s="231" t="n">
        <v>1</v>
      </c>
      <c r="O22" s="236">
        <f>IFERROR(ROUND(计划落实!O22/计划!O22,5),0)</f>
        <v/>
      </c>
      <c r="P22" s="237">
        <f>IFERROR(ROUND(计划落实!P22/计划!P22,5),0)</f>
        <v/>
      </c>
      <c r="Q22" s="237">
        <f>IFERROR(ROUND(计划落实!Q22/计划!Q22,5),0)</f>
        <v/>
      </c>
      <c r="R22" s="237">
        <f>IFERROR(ROUND(计划落实!R22/计划!R22,5),0)</f>
        <v/>
      </c>
      <c r="S22" s="237">
        <f>IFERROR(ROUND(计划落实!S22/计划!S22,5),0)</f>
        <v/>
      </c>
      <c r="T22" s="237">
        <f>IFERROR(ROUND(计划落实!T22/计划!T22,5),0)</f>
        <v/>
      </c>
      <c r="U22" s="237">
        <f>IFERROR(ROUND(计划落实!U22/计划!U22,5),0)</f>
        <v/>
      </c>
      <c r="V22" s="237">
        <f>IFERROR(ROUND(计划落实!V22/计划!V22,5),0)</f>
        <v/>
      </c>
      <c r="W22" s="237">
        <f>IFERROR(ROUND(计划落实!W22/计划!W22,5),0)</f>
        <v/>
      </c>
      <c r="X22" s="237">
        <f>IFERROR(ROUND(计划落实!X22/计划!X22,5),0)</f>
        <v/>
      </c>
      <c r="Y22" s="237">
        <f>IFERROR(ROUND(计划落实!Y22/计划!Y22,5),0)</f>
        <v/>
      </c>
      <c r="Z22" s="237">
        <f>IFERROR(ROUND(计划落实!Z22/计划!Z22,5),0)</f>
        <v/>
      </c>
      <c r="AA22" s="237">
        <f>IFERROR(ROUND(计划落实!AA22/计划!AA22,5),0)</f>
        <v/>
      </c>
      <c r="AB22" s="237">
        <f>IFERROR(ROUND(计划落实!AB22/计划!AB22,5),0)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4" t="n"/>
      <c r="B23" s="231" t="inlineStr">
        <is>
          <t>SKU-2324D87D</t>
        </is>
      </c>
      <c r="C23" s="231" t="inlineStr">
        <is>
          <t>是</t>
        </is>
      </c>
      <c r="D23" s="231" t="n">
        <v>9</v>
      </c>
      <c r="E23" s="231" t="inlineStr"/>
      <c r="F23" s="231" t="inlineStr">
        <is>
          <t>是</t>
        </is>
      </c>
      <c r="G23" s="231" t="inlineStr"/>
      <c r="H23" s="231" t="inlineStr"/>
      <c r="I23" s="231" t="inlineStr">
        <is>
          <t>是</t>
        </is>
      </c>
      <c r="J23" s="27" t="inlineStr"/>
      <c r="K23" s="27" t="inlineStr"/>
      <c r="L23" s="231" t="n">
        <v>100</v>
      </c>
      <c r="M23" s="19" t="inlineStr">
        <is>
          <t>Product-142947AA</t>
        </is>
      </c>
      <c r="N23" s="231" t="n">
        <v>1</v>
      </c>
      <c r="O23" s="236">
        <f>IFERROR(ROUND(计划落实!O23/计划!O23,5),0)</f>
        <v/>
      </c>
      <c r="P23" s="237">
        <f>IFERROR(ROUND(计划落实!P23/计划!P23,5),0)</f>
        <v/>
      </c>
      <c r="Q23" s="237">
        <f>IFERROR(ROUND(计划落实!Q23/计划!Q23,5),0)</f>
        <v/>
      </c>
      <c r="R23" s="237">
        <f>IFERROR(ROUND(计划落实!R23/计划!R23,5),0)</f>
        <v/>
      </c>
      <c r="S23" s="237">
        <f>IFERROR(ROUND(计划落实!S23/计划!S23,5),0)</f>
        <v/>
      </c>
      <c r="T23" s="237">
        <f>IFERROR(ROUND(计划落实!T23/计划!T23,5),0)</f>
        <v/>
      </c>
      <c r="U23" s="237">
        <f>IFERROR(ROUND(计划落实!U23/计划!U23,5),0)</f>
        <v/>
      </c>
      <c r="V23" s="237">
        <f>IFERROR(ROUND(计划落实!V23/计划!V23,5),0)</f>
        <v/>
      </c>
      <c r="W23" s="237">
        <f>IFERROR(ROUND(计划落实!W23/计划!W23,5),0)</f>
        <v/>
      </c>
      <c r="X23" s="237">
        <f>IFERROR(ROUND(计划落实!X23/计划!X23,5),0)</f>
        <v/>
      </c>
      <c r="Y23" s="237">
        <f>IFERROR(ROUND(计划落实!Y23/计划!Y23,5),0)</f>
        <v/>
      </c>
      <c r="Z23" s="237">
        <f>IFERROR(ROUND(计划落实!Z23/计划!Z23,5),0)</f>
        <v/>
      </c>
      <c r="AA23" s="237">
        <f>IFERROR(ROUND(计划落实!AA23/计划!AA23,5),0)</f>
        <v/>
      </c>
      <c r="AB23" s="237">
        <f>IFERROR(ROUND(计划落实!AB23/计划!AB23,5),0)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4" t="n"/>
      <c r="B24" s="231" t="inlineStr">
        <is>
          <t>SKU-D3A8D0D1</t>
        </is>
      </c>
      <c r="C24" s="231" t="inlineStr">
        <is>
          <t>是</t>
        </is>
      </c>
      <c r="D24" s="231" t="n">
        <v>9</v>
      </c>
      <c r="E24" s="231" t="inlineStr"/>
      <c r="F24" s="231" t="inlineStr">
        <is>
          <t>是</t>
        </is>
      </c>
      <c r="G24" s="231" t="inlineStr"/>
      <c r="H24" s="231" t="inlineStr"/>
      <c r="I24" s="231" t="inlineStr">
        <is>
          <t>是</t>
        </is>
      </c>
      <c r="J24" s="27" t="inlineStr"/>
      <c r="K24" s="27" t="inlineStr"/>
      <c r="L24" s="231" t="n">
        <v>100</v>
      </c>
      <c r="M24" s="19" t="inlineStr">
        <is>
          <t>Product-B80128BB</t>
        </is>
      </c>
      <c r="N24" s="231" t="n">
        <v>1</v>
      </c>
      <c r="O24" s="236">
        <f>IFERROR(ROUND(计划落实!O24/计划!O24,5),0)</f>
        <v/>
      </c>
      <c r="P24" s="237">
        <f>IFERROR(ROUND(计划落实!P24/计划!P24,5),0)</f>
        <v/>
      </c>
      <c r="Q24" s="237">
        <f>IFERROR(ROUND(计划落实!Q24/计划!Q24,5),0)</f>
        <v/>
      </c>
      <c r="R24" s="237">
        <f>IFERROR(ROUND(计划落实!R24/计划!R24,5),0)</f>
        <v/>
      </c>
      <c r="S24" s="237">
        <f>IFERROR(ROUND(计划落实!S24/计划!S24,5),0)</f>
        <v/>
      </c>
      <c r="T24" s="237">
        <f>IFERROR(ROUND(计划落实!T24/计划!T24,5),0)</f>
        <v/>
      </c>
      <c r="U24" s="237">
        <f>IFERROR(ROUND(计划落实!U24/计划!U24,5),0)</f>
        <v/>
      </c>
      <c r="V24" s="237">
        <f>IFERROR(ROUND(计划落实!V24/计划!V24,5),0)</f>
        <v/>
      </c>
      <c r="W24" s="237">
        <f>IFERROR(ROUND(计划落实!W24/计划!W24,5),0)</f>
        <v/>
      </c>
      <c r="X24" s="237">
        <f>IFERROR(ROUND(计划落实!X24/计划!X24,5),0)</f>
        <v/>
      </c>
      <c r="Y24" s="237">
        <f>IFERROR(ROUND(计划落实!Y24/计划!Y24,5),0)</f>
        <v/>
      </c>
      <c r="Z24" s="237">
        <f>IFERROR(ROUND(计划落实!Z24/计划!Z24,5),0)</f>
        <v/>
      </c>
      <c r="AA24" s="237">
        <f>IFERROR(ROUND(计划落实!AA24/计划!AA24,5),0)</f>
        <v/>
      </c>
      <c r="AB24" s="237">
        <f>IFERROR(ROUND(计划落实!AB24/计划!AB24,5),0)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4" t="n"/>
      <c r="B25" s="231" t="inlineStr">
        <is>
          <t>SKU-55B49425</t>
        </is>
      </c>
      <c r="C25" s="231" t="inlineStr">
        <is>
          <t>是</t>
        </is>
      </c>
      <c r="D25" s="231" t="n">
        <v>11</v>
      </c>
      <c r="E25" s="231" t="inlineStr"/>
      <c r="F25" s="231" t="inlineStr"/>
      <c r="G25" s="231" t="inlineStr"/>
      <c r="H25" s="231" t="inlineStr"/>
      <c r="I25" s="231" t="inlineStr"/>
      <c r="J25" s="27" t="inlineStr">
        <is>
          <t>共</t>
        </is>
      </c>
      <c r="K25" s="27" t="inlineStr"/>
      <c r="L25" s="231" t="n">
        <v>100</v>
      </c>
      <c r="M25" s="19" t="inlineStr">
        <is>
          <t>Product-2E005B6F</t>
        </is>
      </c>
      <c r="N25" s="231" t="n">
        <v>1</v>
      </c>
      <c r="O25" s="236">
        <f>IFERROR(ROUND(计划落实!O25/计划!O25,5),0)</f>
        <v/>
      </c>
      <c r="P25" s="237">
        <f>IFERROR(ROUND(计划落实!P25/计划!P25,5),0)</f>
        <v/>
      </c>
      <c r="Q25" s="237">
        <f>IFERROR(ROUND(计划落实!Q25/计划!Q25,5),0)</f>
        <v/>
      </c>
      <c r="R25" s="237">
        <f>IFERROR(ROUND(计划落实!R25/计划!R25,5),0)</f>
        <v/>
      </c>
      <c r="S25" s="237">
        <f>IFERROR(ROUND(计划落实!S25/计划!S25,5),0)</f>
        <v/>
      </c>
      <c r="T25" s="237">
        <f>IFERROR(ROUND(计划落实!T25/计划!T25,5),0)</f>
        <v/>
      </c>
      <c r="U25" s="237">
        <f>IFERROR(ROUND(计划落实!U25/计划!U25,5),0)</f>
        <v/>
      </c>
      <c r="V25" s="237">
        <f>IFERROR(ROUND(计划落实!V25/计划!V25,5),0)</f>
        <v/>
      </c>
      <c r="W25" s="237">
        <f>IFERROR(ROUND(计划落实!W25/计划!W25,5),0)</f>
        <v/>
      </c>
      <c r="X25" s="237">
        <f>IFERROR(ROUND(计划落实!X25/计划!X25,5),0)</f>
        <v/>
      </c>
      <c r="Y25" s="237">
        <f>IFERROR(ROUND(计划落实!Y25/计划!Y25,5),0)</f>
        <v/>
      </c>
      <c r="Z25" s="237">
        <f>IFERROR(ROUND(计划落实!Z25/计划!Z25,5),0)</f>
        <v/>
      </c>
      <c r="AA25" s="237">
        <f>IFERROR(ROUND(计划落实!AA25/计划!AA25,5),0)</f>
        <v/>
      </c>
      <c r="AB25" s="237">
        <f>IFERROR(ROUND(计划落实!AB25/计划!AB25,5),0)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4" t="n"/>
      <c r="B26" s="231" t="inlineStr">
        <is>
          <t>SKU-7E7C0C23</t>
        </is>
      </c>
      <c r="C26" s="231" t="inlineStr">
        <is>
          <t>是</t>
        </is>
      </c>
      <c r="D26" s="231" t="n">
        <v>11</v>
      </c>
      <c r="E26" s="231" t="inlineStr"/>
      <c r="F26" s="231" t="inlineStr"/>
      <c r="G26" s="231" t="inlineStr"/>
      <c r="H26" s="231" t="inlineStr"/>
      <c r="I26" s="231" t="inlineStr"/>
      <c r="J26" s="27" t="inlineStr">
        <is>
          <t>共</t>
        </is>
      </c>
      <c r="K26" s="27" t="inlineStr"/>
      <c r="L26" s="231" t="n">
        <v>100</v>
      </c>
      <c r="M26" s="19" t="inlineStr">
        <is>
          <t>Product-8C5BA899</t>
        </is>
      </c>
      <c r="N26" s="231" t="n">
        <v>1</v>
      </c>
      <c r="O26" s="236">
        <f>IFERROR(ROUND(计划落实!O26/计划!O26,5),0)</f>
        <v/>
      </c>
      <c r="P26" s="237">
        <f>IFERROR(ROUND(计划落实!P26/计划!P26,5),0)</f>
        <v/>
      </c>
      <c r="Q26" s="237">
        <f>IFERROR(ROUND(计划落实!Q26/计划!Q26,5),0)</f>
        <v/>
      </c>
      <c r="R26" s="237">
        <f>IFERROR(ROUND(计划落实!R26/计划!R26,5),0)</f>
        <v/>
      </c>
      <c r="S26" s="237">
        <f>IFERROR(ROUND(计划落实!S26/计划!S26,5),0)</f>
        <v/>
      </c>
      <c r="T26" s="237">
        <f>IFERROR(ROUND(计划落实!T26/计划!T26,5),0)</f>
        <v/>
      </c>
      <c r="U26" s="237">
        <f>IFERROR(ROUND(计划落实!U26/计划!U26,5),0)</f>
        <v/>
      </c>
      <c r="V26" s="237">
        <f>IFERROR(ROUND(计划落实!V26/计划!V26,5),0)</f>
        <v/>
      </c>
      <c r="W26" s="237">
        <f>IFERROR(ROUND(计划落实!W26/计划!W26,5),0)</f>
        <v/>
      </c>
      <c r="X26" s="237">
        <f>IFERROR(ROUND(计划落实!X26/计划!X26,5),0)</f>
        <v/>
      </c>
      <c r="Y26" s="237">
        <f>IFERROR(ROUND(计划落实!Y26/计划!Y26,5),0)</f>
        <v/>
      </c>
      <c r="Z26" s="237">
        <f>IFERROR(ROUND(计划落实!Z26/计划!Z26,5),0)</f>
        <v/>
      </c>
      <c r="AA26" s="237">
        <f>IFERROR(ROUND(计划落实!AA26/计划!AA26,5),0)</f>
        <v/>
      </c>
      <c r="AB26" s="237">
        <f>IFERROR(ROUND(计划落实!AB26/计划!AB26,5),0)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4" t="n"/>
      <c r="B27" s="231" t="inlineStr">
        <is>
          <t>SKU-581048FF</t>
        </is>
      </c>
      <c r="C27" s="231" t="inlineStr">
        <is>
          <t>是</t>
        </is>
      </c>
      <c r="D27" s="231" t="n">
        <v>11</v>
      </c>
      <c r="E27" s="231" t="inlineStr"/>
      <c r="F27" s="231" t="inlineStr"/>
      <c r="G27" s="231" t="inlineStr"/>
      <c r="H27" s="231" t="inlineStr"/>
      <c r="I27" s="231" t="inlineStr"/>
      <c r="J27" s="27" t="inlineStr"/>
      <c r="K27" s="27" t="inlineStr"/>
      <c r="L27" s="231" t="n">
        <v>100</v>
      </c>
      <c r="M27" s="19" t="inlineStr">
        <is>
          <t>Product-9C9F0DD0</t>
        </is>
      </c>
      <c r="N27" s="231" t="n">
        <v>1</v>
      </c>
      <c r="O27" s="236">
        <f>IFERROR(ROUND(计划落实!O27/计划!O27,5),0)</f>
        <v/>
      </c>
      <c r="P27" s="237">
        <f>IFERROR(ROUND(计划落实!P27/计划!P27,5),0)</f>
        <v/>
      </c>
      <c r="Q27" s="237">
        <f>IFERROR(ROUND(计划落实!Q27/计划!Q27,5),0)</f>
        <v/>
      </c>
      <c r="R27" s="237">
        <f>IFERROR(ROUND(计划落实!R27/计划!R27,5),0)</f>
        <v/>
      </c>
      <c r="S27" s="237">
        <f>IFERROR(ROUND(计划落实!S27/计划!S27,5),0)</f>
        <v/>
      </c>
      <c r="T27" s="237">
        <f>IFERROR(ROUND(计划落实!T27/计划!T27,5),0)</f>
        <v/>
      </c>
      <c r="U27" s="237">
        <f>IFERROR(ROUND(计划落实!U27/计划!U27,5),0)</f>
        <v/>
      </c>
      <c r="V27" s="237">
        <f>IFERROR(ROUND(计划落实!V27/计划!V27,5),0)</f>
        <v/>
      </c>
      <c r="W27" s="237">
        <f>IFERROR(ROUND(计划落实!W27/计划!W27,5),0)</f>
        <v/>
      </c>
      <c r="X27" s="237">
        <f>IFERROR(ROUND(计划落实!X27/计划!X27,5),0)</f>
        <v/>
      </c>
      <c r="Y27" s="237">
        <f>IFERROR(ROUND(计划落实!Y27/计划!Y27,5),0)</f>
        <v/>
      </c>
      <c r="Z27" s="237">
        <f>IFERROR(ROUND(计划落实!Z27/计划!Z27,5),0)</f>
        <v/>
      </c>
      <c r="AA27" s="237">
        <f>IFERROR(ROUND(计划落实!AA27/计划!AA27,5),0)</f>
        <v/>
      </c>
      <c r="AB27" s="237">
        <f>IFERROR(ROUND(计划落实!AB27/计划!AB27,5),0)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4" t="n"/>
      <c r="B28" s="231" t="inlineStr">
        <is>
          <t>SKU-1943C75B</t>
        </is>
      </c>
      <c r="C28" s="231" t="inlineStr">
        <is>
          <t>是</t>
        </is>
      </c>
      <c r="D28" s="231" t="n">
        <v>10</v>
      </c>
      <c r="E28" s="231" t="inlineStr"/>
      <c r="F28" s="231" t="inlineStr">
        <is>
          <t>是</t>
        </is>
      </c>
      <c r="G28" s="231" t="inlineStr"/>
      <c r="H28" s="231" t="inlineStr"/>
      <c r="I28" s="231" t="inlineStr">
        <is>
          <t>是</t>
        </is>
      </c>
      <c r="J28" s="27" t="inlineStr">
        <is>
          <t>共</t>
        </is>
      </c>
      <c r="K28" s="27" t="inlineStr"/>
      <c r="L28" s="231" t="n">
        <v>100</v>
      </c>
      <c r="M28" s="19" t="inlineStr">
        <is>
          <t>Product-62BC29B7</t>
        </is>
      </c>
      <c r="N28" s="231" t="n">
        <v>1</v>
      </c>
      <c r="O28" s="236">
        <f>IFERROR(ROUND(计划落实!O28/计划!O28,5),0)</f>
        <v/>
      </c>
      <c r="P28" s="237">
        <f>IFERROR(ROUND(计划落实!P28/计划!P28,5),0)</f>
        <v/>
      </c>
      <c r="Q28" s="237">
        <f>IFERROR(ROUND(计划落实!Q28/计划!Q28,5),0)</f>
        <v/>
      </c>
      <c r="R28" s="237">
        <f>IFERROR(ROUND(计划落实!R28/计划!R28,5),0)</f>
        <v/>
      </c>
      <c r="S28" s="237">
        <f>IFERROR(ROUND(计划落实!S28/计划!S28,5),0)</f>
        <v/>
      </c>
      <c r="T28" s="237">
        <f>IFERROR(ROUND(计划落实!T28/计划!T28,5),0)</f>
        <v/>
      </c>
      <c r="U28" s="237">
        <f>IFERROR(ROUND(计划落实!U28/计划!U28,5),0)</f>
        <v/>
      </c>
      <c r="V28" s="237">
        <f>IFERROR(ROUND(计划落实!V28/计划!V28,5),0)</f>
        <v/>
      </c>
      <c r="W28" s="237">
        <f>IFERROR(ROUND(计划落实!W28/计划!W28,5),0)</f>
        <v/>
      </c>
      <c r="X28" s="237">
        <f>IFERROR(ROUND(计划落实!X28/计划!X28,5),0)</f>
        <v/>
      </c>
      <c r="Y28" s="237">
        <f>IFERROR(ROUND(计划落实!Y28/计划!Y28,5),0)</f>
        <v/>
      </c>
      <c r="Z28" s="237">
        <f>IFERROR(ROUND(计划落实!Z28/计划!Z28,5),0)</f>
        <v/>
      </c>
      <c r="AA28" s="237">
        <f>IFERROR(ROUND(计划落实!AA28/计划!AA28,5),0)</f>
        <v/>
      </c>
      <c r="AB28" s="237">
        <f>IFERROR(ROUND(计划落实!AB28/计划!AB28,5),0)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4" t="n"/>
      <c r="B29" s="231" t="inlineStr">
        <is>
          <t>SKU-51C641E5</t>
        </is>
      </c>
      <c r="C29" s="231" t="inlineStr">
        <is>
          <t>是</t>
        </is>
      </c>
      <c r="D29" s="231" t="n">
        <v>10</v>
      </c>
      <c r="E29" s="231" t="inlineStr"/>
      <c r="F29" s="231" t="inlineStr">
        <is>
          <t>是</t>
        </is>
      </c>
      <c r="G29" s="231" t="inlineStr"/>
      <c r="H29" s="231" t="inlineStr"/>
      <c r="I29" s="231" t="inlineStr">
        <is>
          <t>是</t>
        </is>
      </c>
      <c r="J29" s="27" t="inlineStr">
        <is>
          <t>共</t>
        </is>
      </c>
      <c r="K29" s="27" t="inlineStr"/>
      <c r="L29" s="231" t="n">
        <v>100</v>
      </c>
      <c r="M29" s="19" t="inlineStr">
        <is>
          <t>Product-4CA63C06</t>
        </is>
      </c>
      <c r="N29" s="231" t="n">
        <v>1</v>
      </c>
      <c r="O29" s="236">
        <f>IFERROR(ROUND(计划落实!O29/计划!O29,5),0)</f>
        <v/>
      </c>
      <c r="P29" s="237">
        <f>IFERROR(ROUND(计划落实!P29/计划!P29,5),0)</f>
        <v/>
      </c>
      <c r="Q29" s="237">
        <f>IFERROR(ROUND(计划落实!Q29/计划!Q29,5),0)</f>
        <v/>
      </c>
      <c r="R29" s="237">
        <f>IFERROR(ROUND(计划落实!R29/计划!R29,5),0)</f>
        <v/>
      </c>
      <c r="S29" s="237">
        <f>IFERROR(ROUND(计划落实!S29/计划!S29,5),0)</f>
        <v/>
      </c>
      <c r="T29" s="237">
        <f>IFERROR(ROUND(计划落实!T29/计划!T29,5),0)</f>
        <v/>
      </c>
      <c r="U29" s="237">
        <f>IFERROR(ROUND(计划落实!U29/计划!U29,5),0)</f>
        <v/>
      </c>
      <c r="V29" s="237">
        <f>IFERROR(ROUND(计划落实!V29/计划!V29,5),0)</f>
        <v/>
      </c>
      <c r="W29" s="237">
        <f>IFERROR(ROUND(计划落实!W29/计划!W29,5),0)</f>
        <v/>
      </c>
      <c r="X29" s="237">
        <f>IFERROR(ROUND(计划落实!X29/计划!X29,5),0)</f>
        <v/>
      </c>
      <c r="Y29" s="237">
        <f>IFERROR(ROUND(计划落实!Y29/计划!Y29,5),0)</f>
        <v/>
      </c>
      <c r="Z29" s="237">
        <f>IFERROR(ROUND(计划落实!Z29/计划!Z29,5),0)</f>
        <v/>
      </c>
      <c r="AA29" s="237">
        <f>IFERROR(ROUND(计划落实!AA29/计划!AA29,5),0)</f>
        <v/>
      </c>
      <c r="AB29" s="237">
        <f>IFERROR(ROUND(计划落实!AB29/计划!AB29,5),0)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4" t="n"/>
      <c r="B30" s="231" t="inlineStr">
        <is>
          <t>SKU-740A9334</t>
        </is>
      </c>
      <c r="C30" s="231" t="inlineStr">
        <is>
          <t>是</t>
        </is>
      </c>
      <c r="D30" s="231" t="n">
        <v>10</v>
      </c>
      <c r="E30" s="231" t="inlineStr"/>
      <c r="F30" s="231" t="inlineStr"/>
      <c r="G30" s="231" t="inlineStr">
        <is>
          <t>是</t>
        </is>
      </c>
      <c r="H30" s="231" t="inlineStr"/>
      <c r="I30" s="231" t="inlineStr">
        <is>
          <t>是</t>
        </is>
      </c>
      <c r="J30" s="27" t="inlineStr"/>
      <c r="K30" s="27" t="inlineStr"/>
      <c r="L30" s="231" t="n">
        <v>100</v>
      </c>
      <c r="M30" s="33" t="inlineStr">
        <is>
          <t>Product-7726A962</t>
        </is>
      </c>
      <c r="N30" s="231" t="n">
        <v>1</v>
      </c>
      <c r="O30" s="236">
        <f>IFERROR(ROUND(计划落实!O30/计划!O30,5),0)</f>
        <v/>
      </c>
      <c r="P30" s="237">
        <f>IFERROR(ROUND(计划落实!P30/计划!P30,5),0)</f>
        <v/>
      </c>
      <c r="Q30" s="237">
        <f>IFERROR(ROUND(计划落实!Q30/计划!Q30,5),0)</f>
        <v/>
      </c>
      <c r="R30" s="237">
        <f>IFERROR(ROUND(计划落实!R30/计划!R30,5),0)</f>
        <v/>
      </c>
      <c r="S30" s="237">
        <f>IFERROR(ROUND(计划落实!S30/计划!S30,5),0)</f>
        <v/>
      </c>
      <c r="T30" s="237">
        <f>IFERROR(ROUND(计划落实!T30/计划!T30,5),0)</f>
        <v/>
      </c>
      <c r="U30" s="237">
        <f>IFERROR(ROUND(计划落实!U30/计划!U30,5),0)</f>
        <v/>
      </c>
      <c r="V30" s="237">
        <f>IFERROR(ROUND(计划落实!V30/计划!V30,5),0)</f>
        <v/>
      </c>
      <c r="W30" s="237">
        <f>IFERROR(ROUND(计划落实!W30/计划!W30,5),0)</f>
        <v/>
      </c>
      <c r="X30" s="237">
        <f>IFERROR(ROUND(计划落实!X30/计划!X30,5),0)</f>
        <v/>
      </c>
      <c r="Y30" s="237">
        <f>IFERROR(ROUND(计划落实!Y30/计划!Y30,5),0)</f>
        <v/>
      </c>
      <c r="Z30" s="237">
        <f>IFERROR(ROUND(计划落实!Z30/计划!Z30,5),0)</f>
        <v/>
      </c>
      <c r="AA30" s="237">
        <f>IFERROR(ROUND(计划落实!AA30/计划!AA30,5),0)</f>
        <v/>
      </c>
      <c r="AB30" s="237">
        <f>IFERROR(ROUND(计划落实!AB30/计划!AB30,5),0)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4" t="n"/>
      <c r="B31" s="231" t="inlineStr">
        <is>
          <t>SKU-ABAD8823</t>
        </is>
      </c>
      <c r="C31" s="231" t="inlineStr">
        <is>
          <t>是</t>
        </is>
      </c>
      <c r="D31" s="231" t="n">
        <v>8</v>
      </c>
      <c r="E31" s="231" t="inlineStr">
        <is>
          <t>是</t>
        </is>
      </c>
      <c r="F31" s="231" t="inlineStr"/>
      <c r="G31" s="231" t="inlineStr"/>
      <c r="H31" s="231" t="inlineStr"/>
      <c r="I31" s="231" t="inlineStr">
        <is>
          <t>是</t>
        </is>
      </c>
      <c r="J31" s="27" t="inlineStr">
        <is>
          <t>共</t>
        </is>
      </c>
      <c r="K31" s="27" t="inlineStr"/>
      <c r="L31" s="231" t="n">
        <v>100</v>
      </c>
      <c r="M31" s="19" t="inlineStr">
        <is>
          <t>Product-342D1F0D</t>
        </is>
      </c>
      <c r="N31" s="231" t="n">
        <v>1</v>
      </c>
      <c r="O31" s="236">
        <f>IFERROR(ROUND(计划落实!O31/计划!O31,5),0)</f>
        <v/>
      </c>
      <c r="P31" s="237">
        <f>IFERROR(ROUND(计划落实!P31/计划!P31,5),0)</f>
        <v/>
      </c>
      <c r="Q31" s="237">
        <f>IFERROR(ROUND(计划落实!Q31/计划!Q31,5),0)</f>
        <v/>
      </c>
      <c r="R31" s="237">
        <f>IFERROR(ROUND(计划落实!R31/计划!R31,5),0)</f>
        <v/>
      </c>
      <c r="S31" s="237">
        <f>IFERROR(ROUND(计划落实!S31/计划!S31,5),0)</f>
        <v/>
      </c>
      <c r="T31" s="237">
        <f>IFERROR(ROUND(计划落实!T31/计划!T31,5),0)</f>
        <v/>
      </c>
      <c r="U31" s="237">
        <f>IFERROR(ROUND(计划落实!U31/计划!U31,5),0)</f>
        <v/>
      </c>
      <c r="V31" s="237">
        <f>IFERROR(ROUND(计划落实!V31/计划!V31,5),0)</f>
        <v/>
      </c>
      <c r="W31" s="237">
        <f>IFERROR(ROUND(计划落实!W31/计划!W31,5),0)</f>
        <v/>
      </c>
      <c r="X31" s="237">
        <f>IFERROR(ROUND(计划落实!X31/计划!X31,5),0)</f>
        <v/>
      </c>
      <c r="Y31" s="237">
        <f>IFERROR(ROUND(计划落实!Y31/计划!Y31,5),0)</f>
        <v/>
      </c>
      <c r="Z31" s="237">
        <f>IFERROR(ROUND(计划落实!Z31/计划!Z31,5),0)</f>
        <v/>
      </c>
      <c r="AA31" s="237">
        <f>IFERROR(ROUND(计划落实!AA31/计划!AA31,5),0)</f>
        <v/>
      </c>
      <c r="AB31" s="237">
        <f>IFERROR(ROUND(计划落实!AB31/计划!AB31,5),0)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4" t="n"/>
      <c r="B32" s="231" t="inlineStr">
        <is>
          <t>SKU-CD40403A</t>
        </is>
      </c>
      <c r="C32" s="231" t="inlineStr">
        <is>
          <t>是</t>
        </is>
      </c>
      <c r="D32" s="231" t="n">
        <v>8</v>
      </c>
      <c r="E32" s="231" t="inlineStr">
        <is>
          <t>是</t>
        </is>
      </c>
      <c r="F32" s="231" t="inlineStr"/>
      <c r="G32" s="231" t="inlineStr"/>
      <c r="H32" s="231" t="inlineStr"/>
      <c r="I32" s="231" t="inlineStr">
        <is>
          <t>是</t>
        </is>
      </c>
      <c r="J32" s="27" t="inlineStr">
        <is>
          <t>共</t>
        </is>
      </c>
      <c r="K32" s="27" t="inlineStr"/>
      <c r="L32" s="231" t="n">
        <v>100</v>
      </c>
      <c r="M32" s="19" t="inlineStr">
        <is>
          <t>Product-D6D3CCE6</t>
        </is>
      </c>
      <c r="N32" s="231" t="n">
        <v>1</v>
      </c>
      <c r="O32" s="236">
        <f>IFERROR(ROUND(计划落实!O32/计划!O32,5),0)</f>
        <v/>
      </c>
      <c r="P32" s="237">
        <f>IFERROR(ROUND(计划落实!P32/计划!P32,5),0)</f>
        <v/>
      </c>
      <c r="Q32" s="237">
        <f>IFERROR(ROUND(计划落实!Q32/计划!Q32,5),0)</f>
        <v/>
      </c>
      <c r="R32" s="237">
        <f>IFERROR(ROUND(计划落实!R32/计划!R32,5),0)</f>
        <v/>
      </c>
      <c r="S32" s="237">
        <f>IFERROR(ROUND(计划落实!S32/计划!S32,5),0)</f>
        <v/>
      </c>
      <c r="T32" s="237">
        <f>IFERROR(ROUND(计划落实!T32/计划!T32,5),0)</f>
        <v/>
      </c>
      <c r="U32" s="237">
        <f>IFERROR(ROUND(计划落实!U32/计划!U32,5),0)</f>
        <v/>
      </c>
      <c r="V32" s="237">
        <f>IFERROR(ROUND(计划落实!V32/计划!V32,5),0)</f>
        <v/>
      </c>
      <c r="W32" s="237">
        <f>IFERROR(ROUND(计划落实!W32/计划!W32,5),0)</f>
        <v/>
      </c>
      <c r="X32" s="237">
        <f>IFERROR(ROUND(计划落实!X32/计划!X32,5),0)</f>
        <v/>
      </c>
      <c r="Y32" s="237">
        <f>IFERROR(ROUND(计划落实!Y32/计划!Y32,5),0)</f>
        <v/>
      </c>
      <c r="Z32" s="237">
        <f>IFERROR(ROUND(计划落实!Z32/计划!Z32,5),0)</f>
        <v/>
      </c>
      <c r="AA32" s="237">
        <f>IFERROR(ROUND(计划落实!AA32/计划!AA32,5),0)</f>
        <v/>
      </c>
      <c r="AB32" s="237">
        <f>IFERROR(ROUND(计划落实!AB32/计划!AB32,5),0)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4" t="n"/>
      <c r="B33" s="231" t="inlineStr">
        <is>
          <t>SKU-B0D292B1</t>
        </is>
      </c>
      <c r="C33" s="231" t="inlineStr">
        <is>
          <t>是</t>
        </is>
      </c>
      <c r="D33" s="231" t="n">
        <v>10</v>
      </c>
      <c r="E33" s="231" t="inlineStr"/>
      <c r="F33" s="231" t="inlineStr"/>
      <c r="G33" s="231" t="inlineStr">
        <is>
          <t>是</t>
        </is>
      </c>
      <c r="H33" s="231" t="inlineStr"/>
      <c r="I33" s="231" t="inlineStr">
        <is>
          <t>是</t>
        </is>
      </c>
      <c r="J33" s="27" t="inlineStr"/>
      <c r="K33" s="27" t="inlineStr"/>
      <c r="L33" s="231" t="n">
        <v>100</v>
      </c>
      <c r="M33" s="19" t="inlineStr">
        <is>
          <t>Product-7726A962</t>
        </is>
      </c>
      <c r="N33" s="231" t="n">
        <v>1</v>
      </c>
      <c r="O33" s="236">
        <f>IFERROR(ROUND(计划落实!O33/计划!O33,5),0)</f>
        <v/>
      </c>
      <c r="P33" s="237">
        <f>IFERROR(ROUND(计划落实!P33/计划!P33,5),0)</f>
        <v/>
      </c>
      <c r="Q33" s="237">
        <f>IFERROR(ROUND(计划落实!Q33/计划!Q33,5),0)</f>
        <v/>
      </c>
      <c r="R33" s="237">
        <f>IFERROR(ROUND(计划落实!R33/计划!R33,5),0)</f>
        <v/>
      </c>
      <c r="S33" s="237">
        <f>IFERROR(ROUND(计划落实!S33/计划!S33,5),0)</f>
        <v/>
      </c>
      <c r="T33" s="237">
        <f>IFERROR(ROUND(计划落实!T33/计划!T33,5),0)</f>
        <v/>
      </c>
      <c r="U33" s="237">
        <f>IFERROR(ROUND(计划落实!U33/计划!U33,5),0)</f>
        <v/>
      </c>
      <c r="V33" s="237">
        <f>IFERROR(ROUND(计划落实!V33/计划!V33,5),0)</f>
        <v/>
      </c>
      <c r="W33" s="237">
        <f>IFERROR(ROUND(计划落实!W33/计划!W33,5),0)</f>
        <v/>
      </c>
      <c r="X33" s="237">
        <f>IFERROR(ROUND(计划落实!X33/计划!X33,5),0)</f>
        <v/>
      </c>
      <c r="Y33" s="237">
        <f>IFERROR(ROUND(计划落实!Y33/计划!Y33,5),0)</f>
        <v/>
      </c>
      <c r="Z33" s="237">
        <f>IFERROR(ROUND(计划落实!Z33/计划!Z33,5),0)</f>
        <v/>
      </c>
      <c r="AA33" s="237">
        <f>IFERROR(ROUND(计划落实!AA33/计划!AA33,5),0)</f>
        <v/>
      </c>
      <c r="AB33" s="237">
        <f>IFERROR(ROUND(计划落实!AB33/计划!AB33,5),0)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4" t="n"/>
      <c r="B34" s="231" t="inlineStr">
        <is>
          <t>SKU-D5FB4C4D</t>
        </is>
      </c>
      <c r="C34" s="231" t="inlineStr"/>
      <c r="D34" s="231" t="n">
        <v>10</v>
      </c>
      <c r="E34" s="231" t="inlineStr"/>
      <c r="F34" s="231" t="inlineStr"/>
      <c r="G34" s="231" t="inlineStr"/>
      <c r="H34" s="231" t="inlineStr"/>
      <c r="I34" s="231" t="inlineStr"/>
      <c r="J34" s="27" t="inlineStr"/>
      <c r="K34" s="27" t="inlineStr"/>
      <c r="L34" s="231" t="n">
        <v>100</v>
      </c>
      <c r="M34" s="33" t="inlineStr">
        <is>
          <t>Product-3DCEC0C0</t>
        </is>
      </c>
      <c r="N34" s="231" t="n">
        <v>1</v>
      </c>
      <c r="O34" s="236">
        <f>IFERROR(ROUND(计划落实!O34/计划!O34,5),0)</f>
        <v/>
      </c>
      <c r="P34" s="237">
        <f>IFERROR(ROUND(计划落实!P34/计划!P34,5),0)</f>
        <v/>
      </c>
      <c r="Q34" s="237">
        <f>IFERROR(ROUND(计划落实!Q34/计划!Q34,5),0)</f>
        <v/>
      </c>
      <c r="R34" s="237">
        <f>IFERROR(ROUND(计划落实!R34/计划!R34,5),0)</f>
        <v/>
      </c>
      <c r="S34" s="237">
        <f>IFERROR(ROUND(计划落实!S34/计划!S34,5),0)</f>
        <v/>
      </c>
      <c r="T34" s="237">
        <f>IFERROR(ROUND(计划落实!T34/计划!T34,5),0)</f>
        <v/>
      </c>
      <c r="U34" s="237">
        <f>IFERROR(ROUND(计划落实!U34/计划!U34,5),0)</f>
        <v/>
      </c>
      <c r="V34" s="237">
        <f>IFERROR(ROUND(计划落实!V34/计划!V34,5),0)</f>
        <v/>
      </c>
      <c r="W34" s="237">
        <f>IFERROR(ROUND(计划落实!W34/计划!W34,5),0)</f>
        <v/>
      </c>
      <c r="X34" s="237">
        <f>IFERROR(ROUND(计划落实!X34/计划!X34,5),0)</f>
        <v/>
      </c>
      <c r="Y34" s="237">
        <f>IFERROR(ROUND(计划落实!Y34/计划!Y34,5),0)</f>
        <v/>
      </c>
      <c r="Z34" s="237">
        <f>IFERROR(ROUND(计划落实!Z34/计划!Z34,5),0)</f>
        <v/>
      </c>
      <c r="AA34" s="237">
        <f>IFERROR(ROUND(计划落实!AA34/计划!AA34,5),0)</f>
        <v/>
      </c>
      <c r="AB34" s="237">
        <f>IFERROR(ROUND(计划落实!AB34/计划!AB34,5),0)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4" t="n"/>
      <c r="B35" s="231" t="inlineStr">
        <is>
          <t>SKU-DCF98B33</t>
        </is>
      </c>
      <c r="C35" s="231" t="inlineStr"/>
      <c r="D35" s="231" t="n">
        <v>10</v>
      </c>
      <c r="E35" s="231" t="inlineStr"/>
      <c r="F35" s="231" t="inlineStr"/>
      <c r="G35" s="231" t="inlineStr"/>
      <c r="H35" s="231" t="inlineStr"/>
      <c r="I35" s="231" t="inlineStr"/>
      <c r="J35" s="27" t="inlineStr"/>
      <c r="K35" s="27" t="inlineStr"/>
      <c r="L35" s="231" t="n">
        <v>100</v>
      </c>
      <c r="M35" s="19" t="inlineStr">
        <is>
          <t>Product-3DCEC0C0</t>
        </is>
      </c>
      <c r="N35" s="231" t="n">
        <v>1</v>
      </c>
      <c r="O35" s="236">
        <f>IFERROR(ROUND(计划落实!O35/计划!O35,5),0)</f>
        <v/>
      </c>
      <c r="P35" s="237">
        <f>IFERROR(ROUND(计划落实!P35/计划!P35,5),0)</f>
        <v/>
      </c>
      <c r="Q35" s="237">
        <f>IFERROR(ROUND(计划落实!Q35/计划!Q35,5),0)</f>
        <v/>
      </c>
      <c r="R35" s="237">
        <f>IFERROR(ROUND(计划落实!R35/计划!R35,5),0)</f>
        <v/>
      </c>
      <c r="S35" s="237">
        <f>IFERROR(ROUND(计划落实!S35/计划!S35,5),0)</f>
        <v/>
      </c>
      <c r="T35" s="237">
        <f>IFERROR(ROUND(计划落实!T35/计划!T35,5),0)</f>
        <v/>
      </c>
      <c r="U35" s="237">
        <f>IFERROR(ROUND(计划落实!U35/计划!U35,5),0)</f>
        <v/>
      </c>
      <c r="V35" s="237">
        <f>IFERROR(ROUND(计划落实!V35/计划!V35,5),0)</f>
        <v/>
      </c>
      <c r="W35" s="237">
        <f>IFERROR(ROUND(计划落实!W35/计划!W35,5),0)</f>
        <v/>
      </c>
      <c r="X35" s="237">
        <f>IFERROR(ROUND(计划落实!X35/计划!X35,5),0)</f>
        <v/>
      </c>
      <c r="Y35" s="237">
        <f>IFERROR(ROUND(计划落实!Y35/计划!Y35,5),0)</f>
        <v/>
      </c>
      <c r="Z35" s="237">
        <f>IFERROR(ROUND(计划落实!Z35/计划!Z35,5),0)</f>
        <v/>
      </c>
      <c r="AA35" s="237">
        <f>IFERROR(ROUND(计划落实!AA35/计划!AA35,5),0)</f>
        <v/>
      </c>
      <c r="AB35" s="237">
        <f>IFERROR(ROUND(计划落实!AB35/计划!AB35,5),0)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4" t="n"/>
      <c r="B36" s="231" t="inlineStr">
        <is>
          <t>SKU-7ECD2FA6</t>
        </is>
      </c>
      <c r="C36" s="231" t="inlineStr"/>
      <c r="D36" s="231" t="n">
        <v>10</v>
      </c>
      <c r="E36" s="231" t="inlineStr"/>
      <c r="F36" s="231" t="inlineStr">
        <is>
          <t>是</t>
        </is>
      </c>
      <c r="G36" s="231" t="inlineStr"/>
      <c r="H36" s="231" t="inlineStr"/>
      <c r="I36" s="231" t="inlineStr">
        <is>
          <t>是</t>
        </is>
      </c>
      <c r="J36" s="27" t="inlineStr"/>
      <c r="K36" s="27" t="inlineStr"/>
      <c r="L36" s="231" t="n">
        <v>100</v>
      </c>
      <c r="M36" s="45" t="inlineStr">
        <is>
          <t>Product-29355C79</t>
        </is>
      </c>
      <c r="N36" s="231" t="n">
        <v>1</v>
      </c>
      <c r="O36" s="236">
        <f>IFERROR(ROUND(计划落实!O36/计划!O36,5),0)</f>
        <v/>
      </c>
      <c r="P36" s="237">
        <f>IFERROR(ROUND(计划落实!P36/计划!P36,5),0)</f>
        <v/>
      </c>
      <c r="Q36" s="237">
        <f>IFERROR(ROUND(计划落实!Q36/计划!Q36,5),0)</f>
        <v/>
      </c>
      <c r="R36" s="237">
        <f>IFERROR(ROUND(计划落实!R36/计划!R36,5),0)</f>
        <v/>
      </c>
      <c r="S36" s="237">
        <f>IFERROR(ROUND(计划落实!S36/计划!S36,5),0)</f>
        <v/>
      </c>
      <c r="T36" s="237">
        <f>IFERROR(ROUND(计划落实!T36/计划!T36,5),0)</f>
        <v/>
      </c>
      <c r="U36" s="237">
        <f>IFERROR(ROUND(计划落实!U36/计划!U36,5),0)</f>
        <v/>
      </c>
      <c r="V36" s="237">
        <f>IFERROR(ROUND(计划落实!V36/计划!V36,5),0)</f>
        <v/>
      </c>
      <c r="W36" s="237">
        <f>IFERROR(ROUND(计划落实!W36/计划!W36,5),0)</f>
        <v/>
      </c>
      <c r="X36" s="237">
        <f>IFERROR(ROUND(计划落实!X36/计划!X36,5),0)</f>
        <v/>
      </c>
      <c r="Y36" s="237">
        <f>IFERROR(ROUND(计划落实!Y36/计划!Y36,5),0)</f>
        <v/>
      </c>
      <c r="Z36" s="237">
        <f>IFERROR(ROUND(计划落实!Z36/计划!Z36,5),0)</f>
        <v/>
      </c>
      <c r="AA36" s="237">
        <f>IFERROR(ROUND(计划落实!AA36/计划!AA36,5),0)</f>
        <v/>
      </c>
      <c r="AB36" s="237">
        <f>IFERROR(ROUND(计划落实!AB36/计划!AB36,5),0)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4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239">
        <f>IFERROR(ROUND(计划落实!O37/计划!O37,5),0)</f>
        <v/>
      </c>
      <c r="P37" s="239">
        <f>IFERROR(ROUND(计划落实!P37/计划!P37,5),0)</f>
        <v/>
      </c>
      <c r="Q37" s="239">
        <f>IFERROR(ROUND(计划落实!Q37/计划!Q37,5),0)</f>
        <v/>
      </c>
      <c r="R37" s="239">
        <f>IFERROR(ROUND(计划落实!R37/计划!R37,5),0)</f>
        <v/>
      </c>
      <c r="S37" s="239">
        <f>IFERROR(ROUND(计划落实!S37/计划!S37,5),0)</f>
        <v/>
      </c>
      <c r="T37" s="239">
        <f>IFERROR(ROUND(计划落实!T37/计划!T37,5),0)</f>
        <v/>
      </c>
      <c r="U37" s="239">
        <f>IFERROR(ROUND(计划落实!U37/计划!U37,5),0)</f>
        <v/>
      </c>
      <c r="V37" s="239">
        <f>IFERROR(ROUND(计划落实!V37/计划!V37,5),0)</f>
        <v/>
      </c>
      <c r="W37" s="239">
        <f>IFERROR(ROUND(计划落实!W37/计划!W37,5),0)</f>
        <v/>
      </c>
      <c r="X37" s="239">
        <f>IFERROR(ROUND(计划落实!X37/计划!X37,5),0)</f>
        <v/>
      </c>
      <c r="Y37" s="239">
        <f>IFERROR(ROUND(计划落实!Y37/计划!Y37,5),0)</f>
        <v/>
      </c>
      <c r="Z37" s="239">
        <f>IFERROR(ROUND(计划落实!Z37/计划!Z37,5),0)</f>
        <v/>
      </c>
      <c r="AA37" s="239">
        <f>IFERROR(ROUND(计划落实!AA37/计划!AA37,5),0)</f>
        <v/>
      </c>
      <c r="AB37" s="239">
        <f>IFERROR(ROUND(计划落实!AB37/计划!AB37,5),0)</f>
        <v/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5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239">
        <f>IFERROR(ROUND(计划落实!O38/计划!O38,5),0)</f>
        <v/>
      </c>
      <c r="P38" s="239">
        <f>IFERROR(ROUND(计划落实!P38/计划!P38,5),0)</f>
        <v/>
      </c>
      <c r="Q38" s="239">
        <f>IFERROR(ROUND(计划落实!Q38/计划!Q38,5),0)</f>
        <v/>
      </c>
      <c r="R38" s="239">
        <f>IFERROR(ROUND(计划落实!R38/计划!R38,5),0)</f>
        <v/>
      </c>
      <c r="S38" s="239">
        <f>IFERROR(ROUND(计划落实!S38/计划!S38,5),0)</f>
        <v/>
      </c>
      <c r="T38" s="239">
        <f>IFERROR(ROUND(计划落实!T38/计划!T38,5),0)</f>
        <v/>
      </c>
      <c r="U38" s="239">
        <f>IFERROR(ROUND(计划落实!U38/计划!U38,5),0)</f>
        <v/>
      </c>
      <c r="V38" s="239">
        <f>IFERROR(ROUND(计划落实!V38/计划!V38,5),0)</f>
        <v/>
      </c>
      <c r="W38" s="239">
        <f>IFERROR(ROUND(计划落实!W38/计划!W38,5),0)</f>
        <v/>
      </c>
      <c r="X38" s="239">
        <f>IFERROR(ROUND(计划落实!X38/计划!X38,5),0)</f>
        <v/>
      </c>
      <c r="Y38" s="239">
        <f>IFERROR(ROUND(计划落实!Y38/计划!Y38,5),0)</f>
        <v/>
      </c>
      <c r="Z38" s="239">
        <f>IFERROR(ROUND(计划落实!Z38/计划!Z38,5),0)</f>
        <v/>
      </c>
      <c r="AA38" s="239">
        <f>IFERROR(ROUND(计划落实!AA38/计划!AA38,5),0)</f>
        <v/>
      </c>
      <c r="AB38" s="239">
        <f>IFERROR(ROUND(计划落实!AB38/计划!AB38,5),0)</f>
        <v/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31" t="inlineStr">
        <is>
          <t>SKU-3095C758</t>
        </is>
      </c>
      <c r="C39" s="231" t="inlineStr">
        <is>
          <t>是</t>
        </is>
      </c>
      <c r="D39" s="231" t="n">
        <v>11</v>
      </c>
      <c r="E39" s="231" t="inlineStr"/>
      <c r="F39" s="231" t="inlineStr"/>
      <c r="G39" s="231" t="inlineStr"/>
      <c r="H39" s="231" t="inlineStr"/>
      <c r="I39" s="231" t="inlineStr"/>
      <c r="J39" s="27" t="inlineStr"/>
      <c r="K39" s="27" t="inlineStr"/>
      <c r="L39" s="231" t="n">
        <v>100</v>
      </c>
      <c r="M39" s="19" t="inlineStr">
        <is>
          <t>Product-280802D6</t>
        </is>
      </c>
      <c r="N39" s="231" t="n">
        <v>4</v>
      </c>
      <c r="O39" s="236">
        <f>IFERROR(ROUND(计划落实!O39/计划!O39,5),0)</f>
        <v/>
      </c>
      <c r="P39" s="237">
        <f>IFERROR(ROUND(计划落实!P39/计划!P39,5),0)</f>
        <v/>
      </c>
      <c r="Q39" s="237">
        <f>IFERROR(ROUND(计划落实!Q39/计划!Q39,5),0)</f>
        <v/>
      </c>
      <c r="R39" s="237">
        <f>IFERROR(ROUND(计划落实!R39/计划!R39,5),0)</f>
        <v/>
      </c>
      <c r="S39" s="237">
        <f>IFERROR(ROUND(计划落实!S39/计划!S39,5),0)</f>
        <v/>
      </c>
      <c r="T39" s="237">
        <f>IFERROR(ROUND(计划落实!T39/计划!T39,5),0)</f>
        <v/>
      </c>
      <c r="U39" s="237">
        <f>IFERROR(ROUND(计划落实!U39/计划!U39,5),0)</f>
        <v/>
      </c>
      <c r="V39" s="237">
        <f>IFERROR(ROUND(计划落实!V39/计划!V39,5),0)</f>
        <v/>
      </c>
      <c r="W39" s="237">
        <f>IFERROR(ROUND(计划落实!W39/计划!W39,5),0)</f>
        <v/>
      </c>
      <c r="X39" s="237">
        <f>IFERROR(ROUND(计划落实!X39/计划!X39,5),0)</f>
        <v/>
      </c>
      <c r="Y39" s="237">
        <f>IFERROR(ROUND(计划落实!Y39/计划!Y39,5),0)</f>
        <v/>
      </c>
      <c r="Z39" s="237">
        <f>IFERROR(ROUND(计划落实!Z39/计划!Z39,5),0)</f>
        <v/>
      </c>
      <c r="AA39" s="237">
        <f>IFERROR(ROUND(计划落实!AA39/计划!AA39,5),0)</f>
        <v/>
      </c>
      <c r="AB39" s="237">
        <f>IFERROR(ROUND(计划落实!AB39/计划!AB39,5),0)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4" t="n"/>
      <c r="B40" s="231" t="inlineStr">
        <is>
          <t>SKU-22512FF3</t>
        </is>
      </c>
      <c r="C40" s="231" t="inlineStr">
        <is>
          <t>是</t>
        </is>
      </c>
      <c r="D40" s="231" t="n">
        <v>10</v>
      </c>
      <c r="E40" s="231" t="inlineStr"/>
      <c r="F40" s="231" t="inlineStr"/>
      <c r="G40" s="231" t="inlineStr"/>
      <c r="H40" s="231" t="inlineStr"/>
      <c r="I40" s="231" t="inlineStr"/>
      <c r="J40" s="27" t="inlineStr">
        <is>
          <t>共</t>
        </is>
      </c>
      <c r="K40" s="27" t="inlineStr"/>
      <c r="L40" s="231" t="n">
        <v>100</v>
      </c>
      <c r="M40" s="19" t="inlineStr">
        <is>
          <t>Product-C617F7D2</t>
        </is>
      </c>
      <c r="N40" s="231" t="n">
        <v>1</v>
      </c>
      <c r="O40" s="236">
        <f>IFERROR(ROUND(计划落实!O40/计划!O40,5),0)</f>
        <v/>
      </c>
      <c r="P40" s="237">
        <f>IFERROR(ROUND(计划落实!P40/计划!P40,5),0)</f>
        <v/>
      </c>
      <c r="Q40" s="237">
        <f>IFERROR(ROUND(计划落实!Q40/计划!Q40,5),0)</f>
        <v/>
      </c>
      <c r="R40" s="237">
        <f>IFERROR(ROUND(计划落实!R40/计划!R40,5),0)</f>
        <v/>
      </c>
      <c r="S40" s="237">
        <f>IFERROR(ROUND(计划落实!S40/计划!S40,5),0)</f>
        <v/>
      </c>
      <c r="T40" s="237">
        <f>IFERROR(ROUND(计划落实!T40/计划!T40,5),0)</f>
        <v/>
      </c>
      <c r="U40" s="237">
        <f>IFERROR(ROUND(计划落实!U40/计划!U40,5),0)</f>
        <v/>
      </c>
      <c r="V40" s="237">
        <f>IFERROR(ROUND(计划落实!V40/计划!V40,5),0)</f>
        <v/>
      </c>
      <c r="W40" s="237">
        <f>IFERROR(ROUND(计划落实!W40/计划!W40,5),0)</f>
        <v/>
      </c>
      <c r="X40" s="237">
        <f>IFERROR(ROUND(计划落实!X40/计划!X40,5),0)</f>
        <v/>
      </c>
      <c r="Y40" s="237">
        <f>IFERROR(ROUND(计划落实!Y40/计划!Y40,5),0)</f>
        <v/>
      </c>
      <c r="Z40" s="237">
        <f>IFERROR(ROUND(计划落实!Z40/计划!Z40,5),0)</f>
        <v/>
      </c>
      <c r="AA40" s="237">
        <f>IFERROR(ROUND(计划落实!AA40/计划!AA40,5),0)</f>
        <v/>
      </c>
      <c r="AB40" s="237">
        <f>IFERROR(ROUND(计划落实!AB40/计划!AB40,5),0)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4" t="n"/>
      <c r="B41" s="231" t="inlineStr">
        <is>
          <t>SKU-8B1D5EF6</t>
        </is>
      </c>
      <c r="C41" s="231" t="inlineStr">
        <is>
          <t>是</t>
        </is>
      </c>
      <c r="D41" s="231" t="n">
        <v>6</v>
      </c>
      <c r="E41" s="231" t="inlineStr">
        <is>
          <t>是</t>
        </is>
      </c>
      <c r="F41" s="231" t="inlineStr"/>
      <c r="G41" s="231" t="inlineStr"/>
      <c r="H41" s="231" t="inlineStr"/>
      <c r="I41" s="231" t="inlineStr">
        <is>
          <t>是</t>
        </is>
      </c>
      <c r="J41" s="27" t="inlineStr">
        <is>
          <t>共</t>
        </is>
      </c>
      <c r="K41" s="27" t="inlineStr"/>
      <c r="L41" s="231" t="n">
        <v>100</v>
      </c>
      <c r="M41" s="19" t="inlineStr">
        <is>
          <t>Product-C0E4574A</t>
        </is>
      </c>
      <c r="N41" s="231" t="n">
        <v>1</v>
      </c>
      <c r="O41" s="236">
        <f>IFERROR(ROUND(计划落实!O41/计划!O41,5),0)</f>
        <v/>
      </c>
      <c r="P41" s="237">
        <f>IFERROR(ROUND(计划落实!P41/计划!P41,5),0)</f>
        <v/>
      </c>
      <c r="Q41" s="237">
        <f>IFERROR(ROUND(计划落实!Q41/计划!Q41,5),0)</f>
        <v/>
      </c>
      <c r="R41" s="237">
        <f>IFERROR(ROUND(计划落实!R41/计划!R41,5),0)</f>
        <v/>
      </c>
      <c r="S41" s="237">
        <f>IFERROR(ROUND(计划落实!S41/计划!S41,5),0)</f>
        <v/>
      </c>
      <c r="T41" s="237">
        <f>IFERROR(ROUND(计划落实!T41/计划!T41,5),0)</f>
        <v/>
      </c>
      <c r="U41" s="237">
        <f>IFERROR(ROUND(计划落实!U41/计划!U41,5),0)</f>
        <v/>
      </c>
      <c r="V41" s="237">
        <f>IFERROR(ROUND(计划落实!V41/计划!V41,5),0)</f>
        <v/>
      </c>
      <c r="W41" s="237">
        <f>IFERROR(ROUND(计划落实!W41/计划!W41,5),0)</f>
        <v/>
      </c>
      <c r="X41" s="237">
        <f>IFERROR(ROUND(计划落实!X41/计划!X41,5),0)</f>
        <v/>
      </c>
      <c r="Y41" s="237">
        <f>IFERROR(ROUND(计划落实!Y41/计划!Y41,5),0)</f>
        <v/>
      </c>
      <c r="Z41" s="237">
        <f>IFERROR(ROUND(计划落实!Z41/计划!Z41,5),0)</f>
        <v/>
      </c>
      <c r="AA41" s="237">
        <f>IFERROR(ROUND(计划落实!AA41/计划!AA41,5),0)</f>
        <v/>
      </c>
      <c r="AB41" s="237">
        <f>IFERROR(ROUND(计划落实!AB41/计划!AB41,5),0)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4" t="n"/>
      <c r="B42" s="231" t="inlineStr">
        <is>
          <t>SKU-8BA825B6</t>
        </is>
      </c>
      <c r="C42" s="231" t="inlineStr">
        <is>
          <t>是</t>
        </is>
      </c>
      <c r="D42" s="231" t="n">
        <v>10</v>
      </c>
      <c r="E42" s="231" t="inlineStr"/>
      <c r="F42" s="231" t="inlineStr"/>
      <c r="G42" s="231" t="inlineStr"/>
      <c r="H42" s="231" t="inlineStr"/>
      <c r="I42" s="231" t="inlineStr"/>
      <c r="J42" s="27" t="inlineStr"/>
      <c r="K42" s="27" t="inlineStr"/>
      <c r="L42" s="231" t="n">
        <v>100</v>
      </c>
      <c r="M42" s="19" t="inlineStr">
        <is>
          <t>Product-E7EC78F7</t>
        </is>
      </c>
      <c r="N42" s="231" t="n">
        <v>1</v>
      </c>
      <c r="O42" s="236">
        <f>IFERROR(ROUND(计划落实!O42/计划!O42,5),0)</f>
        <v/>
      </c>
      <c r="P42" s="237">
        <f>IFERROR(ROUND(计划落实!P42/计划!P42,5),0)</f>
        <v/>
      </c>
      <c r="Q42" s="237">
        <f>IFERROR(ROUND(计划落实!Q42/计划!Q42,5),0)</f>
        <v/>
      </c>
      <c r="R42" s="237">
        <f>IFERROR(ROUND(计划落实!R42/计划!R42,5),0)</f>
        <v/>
      </c>
      <c r="S42" s="237">
        <f>IFERROR(ROUND(计划落实!S42/计划!S42,5),0)</f>
        <v/>
      </c>
      <c r="T42" s="237">
        <f>IFERROR(ROUND(计划落实!T42/计划!T42,5),0)</f>
        <v/>
      </c>
      <c r="U42" s="237">
        <f>IFERROR(ROUND(计划落实!U42/计划!U42,5),0)</f>
        <v/>
      </c>
      <c r="V42" s="237">
        <f>IFERROR(ROUND(计划落实!V42/计划!V42,5),0)</f>
        <v/>
      </c>
      <c r="W42" s="237">
        <f>IFERROR(ROUND(计划落实!W42/计划!W42,5),0)</f>
        <v/>
      </c>
      <c r="X42" s="237">
        <f>IFERROR(ROUND(计划落实!X42/计划!X42,5),0)</f>
        <v/>
      </c>
      <c r="Y42" s="237">
        <f>IFERROR(ROUND(计划落实!Y42/计划!Y42,5),0)</f>
        <v/>
      </c>
      <c r="Z42" s="237">
        <f>IFERROR(ROUND(计划落实!Z42/计划!Z42,5),0)</f>
        <v/>
      </c>
      <c r="AA42" s="237">
        <f>IFERROR(ROUND(计划落实!AA42/计划!AA42,5),0)</f>
        <v/>
      </c>
      <c r="AB42" s="237">
        <f>IFERROR(ROUND(计划落实!AB42/计划!AB42,5),0)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4" t="n"/>
      <c r="B43" s="231" t="inlineStr">
        <is>
          <t>SKU-DBE8D847</t>
        </is>
      </c>
      <c r="C43" s="231" t="inlineStr">
        <is>
          <t>是</t>
        </is>
      </c>
      <c r="D43" s="231" t="n">
        <v>8</v>
      </c>
      <c r="E43" s="231" t="inlineStr">
        <is>
          <t>是</t>
        </is>
      </c>
      <c r="F43" s="231" t="inlineStr"/>
      <c r="G43" s="231" t="inlineStr"/>
      <c r="H43" s="231" t="inlineStr"/>
      <c r="I43" s="231" t="inlineStr">
        <is>
          <t>是</t>
        </is>
      </c>
      <c r="J43" s="27" t="inlineStr"/>
      <c r="K43" s="27" t="inlineStr"/>
      <c r="L43" s="231" t="n">
        <v>100</v>
      </c>
      <c r="M43" s="19" t="inlineStr">
        <is>
          <t>Product-31FC13CA</t>
        </is>
      </c>
      <c r="N43" s="231" t="n">
        <v>2</v>
      </c>
      <c r="O43" s="236">
        <f>IFERROR(ROUND(计划落实!O43/计划!O43,5),0)</f>
        <v/>
      </c>
      <c r="P43" s="237">
        <f>IFERROR(ROUND(计划落实!P43/计划!P43,5),0)</f>
        <v/>
      </c>
      <c r="Q43" s="237">
        <f>IFERROR(ROUND(计划落实!Q43/计划!Q43,5),0)</f>
        <v/>
      </c>
      <c r="R43" s="237">
        <f>IFERROR(ROUND(计划落实!R43/计划!R43,5),0)</f>
        <v/>
      </c>
      <c r="S43" s="237">
        <f>IFERROR(ROUND(计划落实!S43/计划!S43,5),0)</f>
        <v/>
      </c>
      <c r="T43" s="237">
        <f>IFERROR(ROUND(计划落实!T43/计划!T43,5),0)</f>
        <v/>
      </c>
      <c r="U43" s="237">
        <f>IFERROR(ROUND(计划落实!U43/计划!U43,5),0)</f>
        <v/>
      </c>
      <c r="V43" s="237">
        <f>IFERROR(ROUND(计划落实!V43/计划!V43,5),0)</f>
        <v/>
      </c>
      <c r="W43" s="237">
        <f>IFERROR(ROUND(计划落实!W43/计划!W43,5),0)</f>
        <v/>
      </c>
      <c r="X43" s="237">
        <f>IFERROR(ROUND(计划落实!X43/计划!X43,5),0)</f>
        <v/>
      </c>
      <c r="Y43" s="237">
        <f>IFERROR(ROUND(计划落实!Y43/计划!Y43,5),0)</f>
        <v/>
      </c>
      <c r="Z43" s="237">
        <f>IFERROR(ROUND(计划落实!Z43/计划!Z43,5),0)</f>
        <v/>
      </c>
      <c r="AA43" s="237">
        <f>IFERROR(ROUND(计划落实!AA43/计划!AA43,5),0)</f>
        <v/>
      </c>
      <c r="AB43" s="237">
        <f>IFERROR(ROUND(计划落实!AB43/计划!AB43,5),0)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4" t="n"/>
      <c r="B44" s="231" t="inlineStr">
        <is>
          <t>SKU-993415A4</t>
        </is>
      </c>
      <c r="C44" s="231" t="inlineStr">
        <is>
          <t>是</t>
        </is>
      </c>
      <c r="D44" s="231" t="n">
        <v>10</v>
      </c>
      <c r="E44" s="231" t="inlineStr"/>
      <c r="F44" s="231" t="inlineStr"/>
      <c r="G44" s="231" t="inlineStr"/>
      <c r="H44" s="231" t="inlineStr"/>
      <c r="I44" s="231" t="inlineStr"/>
      <c r="J44" s="27" t="inlineStr"/>
      <c r="K44" s="27" t="inlineStr"/>
      <c r="L44" s="231" t="n">
        <v>100</v>
      </c>
      <c r="M44" s="19" t="inlineStr">
        <is>
          <t>Product-914BA5F4</t>
        </is>
      </c>
      <c r="N44" s="231" t="n">
        <v>3</v>
      </c>
      <c r="O44" s="236">
        <f>IFERROR(ROUND(计划落实!O44/计划!O44,5),0)</f>
        <v/>
      </c>
      <c r="P44" s="237">
        <f>IFERROR(ROUND(计划落实!P44/计划!P44,5),0)</f>
        <v/>
      </c>
      <c r="Q44" s="237">
        <f>IFERROR(ROUND(计划落实!Q44/计划!Q44,5),0)</f>
        <v/>
      </c>
      <c r="R44" s="237">
        <f>IFERROR(ROUND(计划落实!R44/计划!R44,5),0)</f>
        <v/>
      </c>
      <c r="S44" s="237">
        <f>IFERROR(ROUND(计划落实!S44/计划!S44,5),0)</f>
        <v/>
      </c>
      <c r="T44" s="237">
        <f>IFERROR(ROUND(计划落实!T44/计划!T44,5),0)</f>
        <v/>
      </c>
      <c r="U44" s="237">
        <f>IFERROR(ROUND(计划落实!U44/计划!U44,5),0)</f>
        <v/>
      </c>
      <c r="V44" s="237">
        <f>IFERROR(ROUND(计划落实!V44/计划!V44,5),0)</f>
        <v/>
      </c>
      <c r="W44" s="237">
        <f>IFERROR(ROUND(计划落实!W44/计划!W44,5),0)</f>
        <v/>
      </c>
      <c r="X44" s="237">
        <f>IFERROR(ROUND(计划落实!X44/计划!X44,5),0)</f>
        <v/>
      </c>
      <c r="Y44" s="237">
        <f>IFERROR(ROUND(计划落实!Y44/计划!Y44,5),0)</f>
        <v/>
      </c>
      <c r="Z44" s="237">
        <f>IFERROR(ROUND(计划落实!Z44/计划!Z44,5),0)</f>
        <v/>
      </c>
      <c r="AA44" s="237">
        <f>IFERROR(ROUND(计划落实!AA44/计划!AA44,5),0)</f>
        <v/>
      </c>
      <c r="AB44" s="237">
        <f>IFERROR(ROUND(计划落实!AB44/计划!AB44,5),0)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4" t="n"/>
      <c r="B45" s="231" t="inlineStr">
        <is>
          <t>SKU-D86E9747</t>
        </is>
      </c>
      <c r="C45" s="231" t="inlineStr">
        <is>
          <t>是</t>
        </is>
      </c>
      <c r="D45" s="231" t="n">
        <v>9</v>
      </c>
      <c r="E45" s="231" t="inlineStr"/>
      <c r="F45" s="231" t="inlineStr">
        <is>
          <t>是</t>
        </is>
      </c>
      <c r="G45" s="231" t="inlineStr"/>
      <c r="H45" s="231" t="inlineStr"/>
      <c r="I45" s="231" t="inlineStr">
        <is>
          <t>是</t>
        </is>
      </c>
      <c r="J45" s="27" t="inlineStr"/>
      <c r="K45" s="27" t="inlineStr"/>
      <c r="L45" s="231" t="n">
        <v>100</v>
      </c>
      <c r="M45" s="33" t="inlineStr">
        <is>
          <t>Product-FF4227EA</t>
        </is>
      </c>
      <c r="N45" s="231" t="n">
        <v>1</v>
      </c>
      <c r="O45" s="236">
        <f>IFERROR(ROUND(计划落实!O45/计划!O45,5),0)</f>
        <v/>
      </c>
      <c r="P45" s="237">
        <f>IFERROR(ROUND(计划落实!P45/计划!P45,5),0)</f>
        <v/>
      </c>
      <c r="Q45" s="237">
        <f>IFERROR(ROUND(计划落实!Q45/计划!Q45,5),0)</f>
        <v/>
      </c>
      <c r="R45" s="237">
        <f>IFERROR(ROUND(计划落实!R45/计划!R45,5),0)</f>
        <v/>
      </c>
      <c r="S45" s="237">
        <f>IFERROR(ROUND(计划落实!S45/计划!S45,5),0)</f>
        <v/>
      </c>
      <c r="T45" s="237">
        <f>IFERROR(ROUND(计划落实!T45/计划!T45,5),0)</f>
        <v/>
      </c>
      <c r="U45" s="237">
        <f>IFERROR(ROUND(计划落实!U45/计划!U45,5),0)</f>
        <v/>
      </c>
      <c r="V45" s="237">
        <f>IFERROR(ROUND(计划落实!V45/计划!V45,5),0)</f>
        <v/>
      </c>
      <c r="W45" s="237">
        <f>IFERROR(ROUND(计划落实!W45/计划!W45,5),0)</f>
        <v/>
      </c>
      <c r="X45" s="237">
        <f>IFERROR(ROUND(计划落实!X45/计划!X45,5),0)</f>
        <v/>
      </c>
      <c r="Y45" s="237">
        <f>IFERROR(ROUND(计划落实!Y45/计划!Y45,5),0)</f>
        <v/>
      </c>
      <c r="Z45" s="237">
        <f>IFERROR(ROUND(计划落实!Z45/计划!Z45,5),0)</f>
        <v/>
      </c>
      <c r="AA45" s="237">
        <f>IFERROR(ROUND(计划落实!AA45/计划!AA45,5),0)</f>
        <v/>
      </c>
      <c r="AB45" s="237">
        <f>IFERROR(ROUND(计划落实!AB45/计划!AB45,5),0)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4" t="n"/>
      <c r="B46" s="231" t="inlineStr">
        <is>
          <t>SKU-7CB9F294</t>
        </is>
      </c>
      <c r="C46" s="231" t="inlineStr">
        <is>
          <t>是</t>
        </is>
      </c>
      <c r="D46" s="231" t="n">
        <v>7</v>
      </c>
      <c r="E46" s="231" t="inlineStr">
        <is>
          <t>是</t>
        </is>
      </c>
      <c r="F46" s="231" t="inlineStr"/>
      <c r="G46" s="231" t="inlineStr"/>
      <c r="H46" s="231" t="inlineStr"/>
      <c r="I46" s="231" t="inlineStr">
        <is>
          <t>是</t>
        </is>
      </c>
      <c r="J46" s="27" t="inlineStr"/>
      <c r="K46" s="27" t="inlineStr"/>
      <c r="L46" s="231" t="n">
        <v>100</v>
      </c>
      <c r="M46" s="19" t="inlineStr">
        <is>
          <t>Product-1F3A5A4E</t>
        </is>
      </c>
      <c r="N46" s="231" t="n">
        <v>1</v>
      </c>
      <c r="O46" s="236">
        <f>IFERROR(ROUND(计划落实!O46/计划!O46,5),0)</f>
        <v/>
      </c>
      <c r="P46" s="237">
        <f>IFERROR(ROUND(计划落实!P46/计划!P46,5),0)</f>
        <v/>
      </c>
      <c r="Q46" s="237">
        <f>IFERROR(ROUND(计划落实!Q46/计划!Q46,5),0)</f>
        <v/>
      </c>
      <c r="R46" s="237">
        <f>IFERROR(ROUND(计划落实!R46/计划!R46,5),0)</f>
        <v/>
      </c>
      <c r="S46" s="237">
        <f>IFERROR(ROUND(计划落实!S46/计划!S46,5),0)</f>
        <v/>
      </c>
      <c r="T46" s="237">
        <f>IFERROR(ROUND(计划落实!T46/计划!T46,5),0)</f>
        <v/>
      </c>
      <c r="U46" s="237">
        <f>IFERROR(ROUND(计划落实!U46/计划!U46,5),0)</f>
        <v/>
      </c>
      <c r="V46" s="237">
        <f>IFERROR(ROUND(计划落实!V46/计划!V46,5),0)</f>
        <v/>
      </c>
      <c r="W46" s="237">
        <f>IFERROR(ROUND(计划落实!W46/计划!W46,5),0)</f>
        <v/>
      </c>
      <c r="X46" s="237">
        <f>IFERROR(ROUND(计划落实!X46/计划!X46,5),0)</f>
        <v/>
      </c>
      <c r="Y46" s="237">
        <f>IFERROR(ROUND(计划落实!Y46/计划!Y46,5),0)</f>
        <v/>
      </c>
      <c r="Z46" s="237">
        <f>IFERROR(ROUND(计划落实!Z46/计划!Z46,5),0)</f>
        <v/>
      </c>
      <c r="AA46" s="237">
        <f>IFERROR(ROUND(计划落实!AA46/计划!AA46,5),0)</f>
        <v/>
      </c>
      <c r="AB46" s="237">
        <f>IFERROR(ROUND(计划落实!AB46/计划!AB46,5),0)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5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239">
        <f>IFERROR(ROUND(计划落实!O47/计划!O47,5),0)</f>
        <v/>
      </c>
      <c r="P47" s="239">
        <f>IFERROR(ROUND(计划落实!P47/计划!P47,5),0)</f>
        <v/>
      </c>
      <c r="Q47" s="239">
        <f>IFERROR(ROUND(计划落实!Q47/计划!Q47,5),0)</f>
        <v/>
      </c>
      <c r="R47" s="239">
        <f>IFERROR(ROUND(计划落实!R47/计划!R47,5),0)</f>
        <v/>
      </c>
      <c r="S47" s="239">
        <f>IFERROR(ROUND(计划落实!S47/计划!S47,5),0)</f>
        <v/>
      </c>
      <c r="T47" s="239">
        <f>IFERROR(ROUND(计划落实!T47/计划!T47,5),0)</f>
        <v/>
      </c>
      <c r="U47" s="239">
        <f>IFERROR(ROUND(计划落实!U47/计划!U47,5),0)</f>
        <v/>
      </c>
      <c r="V47" s="239">
        <f>IFERROR(ROUND(计划落实!V47/计划!V47,5),0)</f>
        <v/>
      </c>
      <c r="W47" s="239">
        <f>IFERROR(ROUND(计划落实!W47/计划!W47,5),0)</f>
        <v/>
      </c>
      <c r="X47" s="239">
        <f>IFERROR(ROUND(计划落实!X47/计划!X47,5),0)</f>
        <v/>
      </c>
      <c r="Y47" s="239">
        <f>IFERROR(ROUND(计划落实!Y47/计划!Y47,5),0)</f>
        <v/>
      </c>
      <c r="Z47" s="239">
        <f>IFERROR(ROUND(计划落实!Z47/计划!Z47,5),0)</f>
        <v/>
      </c>
      <c r="AA47" s="239">
        <f>IFERROR(ROUND(计划落实!AA47/计划!AA47,5),0)</f>
        <v/>
      </c>
      <c r="AB47" s="239">
        <f>IFERROR(ROUND(计划落实!AB47/计划!AB47,5),0)</f>
        <v/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31" t="inlineStr">
        <is>
          <t>SKU-4BF6BE09</t>
        </is>
      </c>
      <c r="C48" s="231" t="inlineStr">
        <is>
          <t>是</t>
        </is>
      </c>
      <c r="D48" s="231" t="n">
        <v>11</v>
      </c>
      <c r="E48" s="231" t="inlineStr"/>
      <c r="F48" s="231" t="inlineStr"/>
      <c r="G48" s="231" t="inlineStr"/>
      <c r="H48" s="231" t="inlineStr"/>
      <c r="I48" s="231" t="inlineStr"/>
      <c r="J48" s="27" t="inlineStr"/>
      <c r="K48" s="27" t="inlineStr"/>
      <c r="L48" s="231" t="n">
        <v>100</v>
      </c>
      <c r="M48" s="44" t="inlineStr">
        <is>
          <t>Product-685982B2</t>
        </is>
      </c>
      <c r="N48" s="231" t="n">
        <v>2</v>
      </c>
      <c r="O48" s="236">
        <f>IFERROR(ROUND(计划落实!O48/计划!O48,5),0)</f>
        <v/>
      </c>
      <c r="P48" s="237">
        <f>IFERROR(ROUND(计划落实!P48/计划!P48,5),0)</f>
        <v/>
      </c>
      <c r="Q48" s="237">
        <f>IFERROR(ROUND(计划落实!Q48/计划!Q48,5),0)</f>
        <v/>
      </c>
      <c r="R48" s="237">
        <f>IFERROR(ROUND(计划落实!R48/计划!R48,5),0)</f>
        <v/>
      </c>
      <c r="S48" s="237">
        <f>IFERROR(ROUND(计划落实!S48/计划!S48,5),0)</f>
        <v/>
      </c>
      <c r="T48" s="237">
        <f>IFERROR(ROUND(计划落实!T48/计划!T48,5),0)</f>
        <v/>
      </c>
      <c r="U48" s="237">
        <f>IFERROR(ROUND(计划落实!U48/计划!U48,5),0)</f>
        <v/>
      </c>
      <c r="V48" s="237">
        <f>IFERROR(ROUND(计划落实!V48/计划!V48,5),0)</f>
        <v/>
      </c>
      <c r="W48" s="237">
        <f>IFERROR(ROUND(计划落实!W48/计划!W48,5),0)</f>
        <v/>
      </c>
      <c r="X48" s="237">
        <f>IFERROR(ROUND(计划落实!X48/计划!X48,5),0)</f>
        <v/>
      </c>
      <c r="Y48" s="237">
        <f>IFERROR(ROUND(计划落实!Y48/计划!Y48,5),0)</f>
        <v/>
      </c>
      <c r="Z48" s="237">
        <f>IFERROR(ROUND(计划落实!Z48/计划!Z48,5),0)</f>
        <v/>
      </c>
      <c r="AA48" s="237">
        <f>IFERROR(ROUND(计划落实!AA48/计划!AA48,5),0)</f>
        <v/>
      </c>
      <c r="AB48" s="237">
        <f>IFERROR(ROUND(计划落实!AB48/计划!AB48,5),0)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4" t="n"/>
      <c r="B49" s="231" t="inlineStr">
        <is>
          <t>SKU-68F01DAC</t>
        </is>
      </c>
      <c r="C49" s="231" t="inlineStr">
        <is>
          <t>是</t>
        </is>
      </c>
      <c r="D49" s="231" t="n">
        <v>6</v>
      </c>
      <c r="E49" s="231" t="inlineStr">
        <is>
          <t>是</t>
        </is>
      </c>
      <c r="F49" s="231" t="inlineStr"/>
      <c r="G49" s="231" t="inlineStr"/>
      <c r="H49" s="231" t="inlineStr"/>
      <c r="I49" s="231" t="inlineStr">
        <is>
          <t>是</t>
        </is>
      </c>
      <c r="J49" s="27" t="inlineStr">
        <is>
          <t>共</t>
        </is>
      </c>
      <c r="K49" s="27" t="inlineStr"/>
      <c r="L49" s="231" t="n">
        <v>100</v>
      </c>
      <c r="M49" s="19" t="inlineStr">
        <is>
          <t>Product-DB12469B</t>
        </is>
      </c>
      <c r="N49" s="231" t="n">
        <v>2</v>
      </c>
      <c r="O49" s="236">
        <f>IFERROR(ROUND(计划落实!O49/计划!O49,5),0)</f>
        <v/>
      </c>
      <c r="P49" s="237">
        <f>IFERROR(ROUND(计划落实!P49/计划!P49,5),0)</f>
        <v/>
      </c>
      <c r="Q49" s="237">
        <f>IFERROR(ROUND(计划落实!Q49/计划!Q49,5),0)</f>
        <v/>
      </c>
      <c r="R49" s="237">
        <f>IFERROR(ROUND(计划落实!R49/计划!R49,5),0)</f>
        <v/>
      </c>
      <c r="S49" s="237">
        <f>IFERROR(ROUND(计划落实!S49/计划!S49,5),0)</f>
        <v/>
      </c>
      <c r="T49" s="237">
        <f>IFERROR(ROUND(计划落实!T49/计划!T49,5),0)</f>
        <v/>
      </c>
      <c r="U49" s="237">
        <f>IFERROR(ROUND(计划落实!U49/计划!U49,5),0)</f>
        <v/>
      </c>
      <c r="V49" s="237">
        <f>IFERROR(ROUND(计划落实!V49/计划!V49,5),0)</f>
        <v/>
      </c>
      <c r="W49" s="237">
        <f>IFERROR(ROUND(计划落实!W49/计划!W49,5),0)</f>
        <v/>
      </c>
      <c r="X49" s="237">
        <f>IFERROR(ROUND(计划落实!X49/计划!X49,5),0)</f>
        <v/>
      </c>
      <c r="Y49" s="237">
        <f>IFERROR(ROUND(计划落实!Y49/计划!Y49,5),0)</f>
        <v/>
      </c>
      <c r="Z49" s="237">
        <f>IFERROR(ROUND(计划落实!Z49/计划!Z49,5),0)</f>
        <v/>
      </c>
      <c r="AA49" s="237">
        <f>IFERROR(ROUND(计划落实!AA49/计划!AA49,5),0)</f>
        <v/>
      </c>
      <c r="AB49" s="237">
        <f>IFERROR(ROUND(计划落实!AB49/计划!AB49,5),0)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4" t="n"/>
      <c r="B50" s="231" t="inlineStr">
        <is>
          <t>SKU-B376DBC8</t>
        </is>
      </c>
      <c r="C50" s="231" t="inlineStr">
        <is>
          <t>是</t>
        </is>
      </c>
      <c r="D50" s="231" t="n">
        <v>9</v>
      </c>
      <c r="E50" s="231" t="inlineStr"/>
      <c r="F50" s="231" t="inlineStr">
        <is>
          <t>是</t>
        </is>
      </c>
      <c r="G50" s="231" t="inlineStr"/>
      <c r="H50" s="231" t="inlineStr"/>
      <c r="I50" s="231" t="inlineStr">
        <is>
          <t>是</t>
        </is>
      </c>
      <c r="J50" s="27" t="inlineStr"/>
      <c r="K50" s="27" t="inlineStr"/>
      <c r="L50" s="231" t="n">
        <v>100</v>
      </c>
      <c r="M50" s="44" t="inlineStr">
        <is>
          <t>Product-12486764</t>
        </is>
      </c>
      <c r="N50" s="231" t="n">
        <v>1</v>
      </c>
      <c r="O50" s="236">
        <f>IFERROR(ROUND(计划落实!O50/计划!O50,5),0)</f>
        <v/>
      </c>
      <c r="P50" s="237">
        <f>IFERROR(ROUND(计划落实!P50/计划!P50,5),0)</f>
        <v/>
      </c>
      <c r="Q50" s="237">
        <f>IFERROR(ROUND(计划落实!Q50/计划!Q50,5),0)</f>
        <v/>
      </c>
      <c r="R50" s="237">
        <f>IFERROR(ROUND(计划落实!R50/计划!R50,5),0)</f>
        <v/>
      </c>
      <c r="S50" s="237">
        <f>IFERROR(ROUND(计划落实!S50/计划!S50,5),0)</f>
        <v/>
      </c>
      <c r="T50" s="237">
        <f>IFERROR(ROUND(计划落实!T50/计划!T50,5),0)</f>
        <v/>
      </c>
      <c r="U50" s="237">
        <f>IFERROR(ROUND(计划落实!U50/计划!U50,5),0)</f>
        <v/>
      </c>
      <c r="V50" s="237">
        <f>IFERROR(ROUND(计划落实!V50/计划!V50,5),0)</f>
        <v/>
      </c>
      <c r="W50" s="237">
        <f>IFERROR(ROUND(计划落实!W50/计划!W50,5),0)</f>
        <v/>
      </c>
      <c r="X50" s="237">
        <f>IFERROR(ROUND(计划落实!X50/计划!X50,5),0)</f>
        <v/>
      </c>
      <c r="Y50" s="237">
        <f>IFERROR(ROUND(计划落实!Y50/计划!Y50,5),0)</f>
        <v/>
      </c>
      <c r="Z50" s="237">
        <f>IFERROR(ROUND(计划落实!Z50/计划!Z50,5),0)</f>
        <v/>
      </c>
      <c r="AA50" s="237">
        <f>IFERROR(ROUND(计划落实!AA50/计划!AA50,5),0)</f>
        <v/>
      </c>
      <c r="AB50" s="237">
        <f>IFERROR(ROUND(计划落实!AB50/计划!AB50,5),0)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4" t="n"/>
      <c r="B51" s="231" t="inlineStr">
        <is>
          <t>SKU-D051F69D</t>
        </is>
      </c>
      <c r="C51" s="231" t="inlineStr">
        <is>
          <t>是</t>
        </is>
      </c>
      <c r="D51" s="231" t="n">
        <v>10</v>
      </c>
      <c r="E51" s="231" t="inlineStr"/>
      <c r="F51" s="231" t="inlineStr"/>
      <c r="G51" s="231" t="inlineStr"/>
      <c r="H51" s="231" t="inlineStr"/>
      <c r="I51" s="231" t="inlineStr"/>
      <c r="J51" s="27" t="inlineStr"/>
      <c r="K51" s="27" t="inlineStr"/>
      <c r="L51" s="231" t="n">
        <v>100</v>
      </c>
      <c r="M51" s="19" t="inlineStr">
        <is>
          <t>Product-89AAAC0F</t>
        </is>
      </c>
      <c r="N51" s="231" t="n">
        <v>1</v>
      </c>
      <c r="O51" s="236">
        <f>IFERROR(ROUND(计划落实!O51/计划!O51,5),0)</f>
        <v/>
      </c>
      <c r="P51" s="237">
        <f>IFERROR(ROUND(计划落实!P51/计划!P51,5),0)</f>
        <v/>
      </c>
      <c r="Q51" s="237">
        <f>IFERROR(ROUND(计划落实!Q51/计划!Q51,5),0)</f>
        <v/>
      </c>
      <c r="R51" s="237">
        <f>IFERROR(ROUND(计划落实!R51/计划!R51,5),0)</f>
        <v/>
      </c>
      <c r="S51" s="237">
        <f>IFERROR(ROUND(计划落实!S51/计划!S51,5),0)</f>
        <v/>
      </c>
      <c r="T51" s="237">
        <f>IFERROR(ROUND(计划落实!T51/计划!T51,5),0)</f>
        <v/>
      </c>
      <c r="U51" s="237">
        <f>IFERROR(ROUND(计划落实!U51/计划!U51,5),0)</f>
        <v/>
      </c>
      <c r="V51" s="237">
        <f>IFERROR(ROUND(计划落实!V51/计划!V51,5),0)</f>
        <v/>
      </c>
      <c r="W51" s="237">
        <f>IFERROR(ROUND(计划落实!W51/计划!W51,5),0)</f>
        <v/>
      </c>
      <c r="X51" s="237">
        <f>IFERROR(ROUND(计划落实!X51/计划!X51,5),0)</f>
        <v/>
      </c>
      <c r="Y51" s="237">
        <f>IFERROR(ROUND(计划落实!Y51/计划!Y51,5),0)</f>
        <v/>
      </c>
      <c r="Z51" s="237">
        <f>IFERROR(ROUND(计划落实!Z51/计划!Z51,5),0)</f>
        <v/>
      </c>
      <c r="AA51" s="237">
        <f>IFERROR(ROUND(计划落实!AA51/计划!AA51,5),0)</f>
        <v/>
      </c>
      <c r="AB51" s="237">
        <f>IFERROR(ROUND(计划落实!AB51/计划!AB51,5),0)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4" t="n"/>
      <c r="B52" s="231" t="inlineStr">
        <is>
          <t>SKU-D6DABD2C</t>
        </is>
      </c>
      <c r="C52" s="231" t="inlineStr">
        <is>
          <t>是</t>
        </is>
      </c>
      <c r="D52" s="231" t="n">
        <v>6</v>
      </c>
      <c r="E52" s="231" t="inlineStr">
        <is>
          <t>是</t>
        </is>
      </c>
      <c r="F52" s="231" t="inlineStr"/>
      <c r="G52" s="231" t="inlineStr"/>
      <c r="H52" s="231" t="inlineStr"/>
      <c r="I52" s="231" t="inlineStr">
        <is>
          <t>是</t>
        </is>
      </c>
      <c r="J52" s="27" t="inlineStr"/>
      <c r="K52" s="27" t="inlineStr"/>
      <c r="L52" s="231" t="n">
        <v>100</v>
      </c>
      <c r="M52" s="19" t="inlineStr">
        <is>
          <t>Product-E13E7723</t>
        </is>
      </c>
      <c r="N52" s="231" t="n">
        <v>1</v>
      </c>
      <c r="O52" s="236">
        <f>IFERROR(ROUND(计划落实!O52/计划!O52,5),0)</f>
        <v/>
      </c>
      <c r="P52" s="237">
        <f>IFERROR(ROUND(计划落实!P52/计划!P52,5),0)</f>
        <v/>
      </c>
      <c r="Q52" s="237">
        <f>IFERROR(ROUND(计划落实!Q52/计划!Q52,5),0)</f>
        <v/>
      </c>
      <c r="R52" s="237">
        <f>IFERROR(ROUND(计划落实!R52/计划!R52,5),0)</f>
        <v/>
      </c>
      <c r="S52" s="237">
        <f>IFERROR(ROUND(计划落实!S52/计划!S52,5),0)</f>
        <v/>
      </c>
      <c r="T52" s="237">
        <f>IFERROR(ROUND(计划落实!T52/计划!T52,5),0)</f>
        <v/>
      </c>
      <c r="U52" s="237">
        <f>IFERROR(ROUND(计划落实!U52/计划!U52,5),0)</f>
        <v/>
      </c>
      <c r="V52" s="237">
        <f>IFERROR(ROUND(计划落实!V52/计划!V52,5),0)</f>
        <v/>
      </c>
      <c r="W52" s="237">
        <f>IFERROR(ROUND(计划落实!W52/计划!W52,5),0)</f>
        <v/>
      </c>
      <c r="X52" s="237">
        <f>IFERROR(ROUND(计划落实!X52/计划!X52,5),0)</f>
        <v/>
      </c>
      <c r="Y52" s="237">
        <f>IFERROR(ROUND(计划落实!Y52/计划!Y52,5),0)</f>
        <v/>
      </c>
      <c r="Z52" s="237">
        <f>IFERROR(ROUND(计划落实!Z52/计划!Z52,5),0)</f>
        <v/>
      </c>
      <c r="AA52" s="237">
        <f>IFERROR(ROUND(计划落实!AA52/计划!AA52,5),0)</f>
        <v/>
      </c>
      <c r="AB52" s="237">
        <f>IFERROR(ROUND(计划落实!AB52/计划!AB52,5),0)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5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239">
        <f>IFERROR(ROUND(计划落实!O53/计划!O53,5),0)</f>
        <v/>
      </c>
      <c r="P53" s="239">
        <f>IFERROR(ROUND(计划落实!P53/计划!P53,5),0)</f>
        <v/>
      </c>
      <c r="Q53" s="239">
        <f>IFERROR(ROUND(计划落实!Q53/计划!Q53,5),0)</f>
        <v/>
      </c>
      <c r="R53" s="239">
        <f>IFERROR(ROUND(计划落实!R53/计划!R53,5),0)</f>
        <v/>
      </c>
      <c r="S53" s="239">
        <f>IFERROR(ROUND(计划落实!S53/计划!S53,5),0)</f>
        <v/>
      </c>
      <c r="T53" s="239">
        <f>IFERROR(ROUND(计划落实!T53/计划!T53,5),0)</f>
        <v/>
      </c>
      <c r="U53" s="239">
        <f>IFERROR(ROUND(计划落实!U53/计划!U53,5),0)</f>
        <v/>
      </c>
      <c r="V53" s="239">
        <f>IFERROR(ROUND(计划落实!V53/计划!V53,5),0)</f>
        <v/>
      </c>
      <c r="W53" s="239">
        <f>IFERROR(ROUND(计划落实!W53/计划!W53,5),0)</f>
        <v/>
      </c>
      <c r="X53" s="239">
        <f>IFERROR(ROUND(计划落实!X53/计划!X53,5),0)</f>
        <v/>
      </c>
      <c r="Y53" s="239">
        <f>IFERROR(ROUND(计划落实!Y53/计划!Y53,5),0)</f>
        <v/>
      </c>
      <c r="Z53" s="239">
        <f>IFERROR(ROUND(计划落实!Z53/计划!Z53,5),0)</f>
        <v/>
      </c>
      <c r="AA53" s="239">
        <f>IFERROR(ROUND(计划落实!AA53/计划!AA53,5),0)</f>
        <v/>
      </c>
      <c r="AB53" s="239">
        <f>IFERROR(ROUND(计划落实!AB53/计划!AB53,5),0)</f>
        <v/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31" t="inlineStr">
        <is>
          <t>SKU-58C29290</t>
        </is>
      </c>
      <c r="C54" s="231" t="inlineStr">
        <is>
          <t>是</t>
        </is>
      </c>
      <c r="D54" s="231" t="n">
        <v>8</v>
      </c>
      <c r="E54" s="231" t="inlineStr"/>
      <c r="F54" s="231" t="inlineStr"/>
      <c r="G54" s="231" t="inlineStr"/>
      <c r="H54" s="231" t="inlineStr"/>
      <c r="I54" s="231" t="inlineStr"/>
      <c r="J54" s="27" t="inlineStr"/>
      <c r="K54" s="27" t="inlineStr"/>
      <c r="L54" s="231" t="n">
        <v>100</v>
      </c>
      <c r="M54" s="19" t="inlineStr">
        <is>
          <t>Product-0F81BD89</t>
        </is>
      </c>
      <c r="N54" s="231" t="n">
        <v>3</v>
      </c>
      <c r="O54" s="236">
        <f>IFERROR(ROUND(计划落实!O54/计划!O54,5),0)</f>
        <v/>
      </c>
      <c r="P54" s="237">
        <f>IFERROR(ROUND(计划落实!P54/计划!P54,5),0)</f>
        <v/>
      </c>
      <c r="Q54" s="237">
        <f>IFERROR(ROUND(计划落实!Q54/计划!Q54,5),0)</f>
        <v/>
      </c>
      <c r="R54" s="237">
        <f>IFERROR(ROUND(计划落实!R54/计划!R54,5),0)</f>
        <v/>
      </c>
      <c r="S54" s="237">
        <f>IFERROR(ROUND(计划落实!S54/计划!S54,5),0)</f>
        <v/>
      </c>
      <c r="T54" s="237">
        <f>IFERROR(ROUND(计划落实!T54/计划!T54,5),0)</f>
        <v/>
      </c>
      <c r="U54" s="237">
        <f>IFERROR(ROUND(计划落实!U54/计划!U54,5),0)</f>
        <v/>
      </c>
      <c r="V54" s="237">
        <f>IFERROR(ROUND(计划落实!V54/计划!V54,5),0)</f>
        <v/>
      </c>
      <c r="W54" s="237">
        <f>IFERROR(ROUND(计划落实!W54/计划!W54,5),0)</f>
        <v/>
      </c>
      <c r="X54" s="237">
        <f>IFERROR(ROUND(计划落实!X54/计划!X54,5),0)</f>
        <v/>
      </c>
      <c r="Y54" s="237">
        <f>IFERROR(ROUND(计划落实!Y54/计划!Y54,5),0)</f>
        <v/>
      </c>
      <c r="Z54" s="237">
        <f>IFERROR(ROUND(计划落实!Z54/计划!Z54,5),0)</f>
        <v/>
      </c>
      <c r="AA54" s="237">
        <f>IFERROR(ROUND(计划落实!AA54/计划!AA54,5),0)</f>
        <v/>
      </c>
      <c r="AB54" s="237">
        <f>IFERROR(ROUND(计划落实!AB54/计划!AB54,5),0)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4" t="n"/>
      <c r="B55" s="231" t="inlineStr">
        <is>
          <t>SKU-204217AA</t>
        </is>
      </c>
      <c r="C55" s="231" t="inlineStr">
        <is>
          <t>是</t>
        </is>
      </c>
      <c r="D55" s="231" t="n">
        <v>9</v>
      </c>
      <c r="E55" s="231" t="inlineStr"/>
      <c r="F55" s="231" t="inlineStr"/>
      <c r="G55" s="231" t="inlineStr"/>
      <c r="H55" s="231" t="inlineStr"/>
      <c r="I55" s="231" t="inlineStr"/>
      <c r="J55" s="27" t="inlineStr"/>
      <c r="K55" s="27" t="inlineStr"/>
      <c r="L55" s="231" t="n">
        <v>100</v>
      </c>
      <c r="M55" s="19" t="inlineStr">
        <is>
          <t>Product-65B192F5</t>
        </is>
      </c>
      <c r="N55" s="231" t="n">
        <v>3</v>
      </c>
      <c r="O55" s="236">
        <f>IFERROR(ROUND(计划落实!O55/计划!O55,5),0)</f>
        <v/>
      </c>
      <c r="P55" s="237">
        <f>IFERROR(ROUND(计划落实!P55/计划!P55,5),0)</f>
        <v/>
      </c>
      <c r="Q55" s="237">
        <f>IFERROR(ROUND(计划落实!Q55/计划!Q55,5),0)</f>
        <v/>
      </c>
      <c r="R55" s="237">
        <f>IFERROR(ROUND(计划落实!R55/计划!R55,5),0)</f>
        <v/>
      </c>
      <c r="S55" s="237">
        <f>IFERROR(ROUND(计划落实!S55/计划!S55,5),0)</f>
        <v/>
      </c>
      <c r="T55" s="237">
        <f>IFERROR(ROUND(计划落实!T55/计划!T55,5),0)</f>
        <v/>
      </c>
      <c r="U55" s="237">
        <f>IFERROR(ROUND(计划落实!U55/计划!U55,5),0)</f>
        <v/>
      </c>
      <c r="V55" s="237">
        <f>IFERROR(ROUND(计划落实!V55/计划!V55,5),0)</f>
        <v/>
      </c>
      <c r="W55" s="237">
        <f>IFERROR(ROUND(计划落实!W55/计划!W55,5),0)</f>
        <v/>
      </c>
      <c r="X55" s="237">
        <f>IFERROR(ROUND(计划落实!X55/计划!X55,5),0)</f>
        <v/>
      </c>
      <c r="Y55" s="237">
        <f>IFERROR(ROUND(计划落实!Y55/计划!Y55,5),0)</f>
        <v/>
      </c>
      <c r="Z55" s="237">
        <f>IFERROR(ROUND(计划落实!Z55/计划!Z55,5),0)</f>
        <v/>
      </c>
      <c r="AA55" s="237">
        <f>IFERROR(ROUND(计划落实!AA55/计划!AA55,5),0)</f>
        <v/>
      </c>
      <c r="AB55" s="237">
        <f>IFERROR(ROUND(计划落实!AB55/计划!AB55,5),0)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4" t="n"/>
      <c r="B56" s="231" t="inlineStr">
        <is>
          <t>SKU-AA06D68B</t>
        </is>
      </c>
      <c r="C56" s="231" t="inlineStr">
        <is>
          <t>是</t>
        </is>
      </c>
      <c r="D56" s="231" t="n">
        <v>5</v>
      </c>
      <c r="E56" s="231" t="inlineStr"/>
      <c r="F56" s="231" t="inlineStr"/>
      <c r="G56" s="231" t="inlineStr"/>
      <c r="H56" s="231" t="inlineStr"/>
      <c r="I56" s="231" t="inlineStr"/>
      <c r="J56" s="27" t="inlineStr"/>
      <c r="K56" s="27" t="inlineStr"/>
      <c r="L56" s="231" t="n">
        <v>100</v>
      </c>
      <c r="M56" s="19" t="inlineStr">
        <is>
          <t>Product-BC490182</t>
        </is>
      </c>
      <c r="N56" s="231" t="n">
        <v>1</v>
      </c>
      <c r="O56" s="236">
        <f>IFERROR(ROUND(计划落实!O56/计划!O56,5),0)</f>
        <v/>
      </c>
      <c r="P56" s="237">
        <f>IFERROR(ROUND(计划落实!P56/计划!P56,5),0)</f>
        <v/>
      </c>
      <c r="Q56" s="237">
        <f>IFERROR(ROUND(计划落实!Q56/计划!Q56,5),0)</f>
        <v/>
      </c>
      <c r="R56" s="237">
        <f>IFERROR(ROUND(计划落实!R56/计划!R56,5),0)</f>
        <v/>
      </c>
      <c r="S56" s="237">
        <f>IFERROR(ROUND(计划落实!S56/计划!S56,5),0)</f>
        <v/>
      </c>
      <c r="T56" s="237">
        <f>IFERROR(ROUND(计划落实!T56/计划!T56,5),0)</f>
        <v/>
      </c>
      <c r="U56" s="237">
        <f>IFERROR(ROUND(计划落实!U56/计划!U56,5),0)</f>
        <v/>
      </c>
      <c r="V56" s="237">
        <f>IFERROR(ROUND(计划落实!V56/计划!V56,5),0)</f>
        <v/>
      </c>
      <c r="W56" s="237">
        <f>IFERROR(ROUND(计划落实!W56/计划!W56,5),0)</f>
        <v/>
      </c>
      <c r="X56" s="237">
        <f>IFERROR(ROUND(计划落实!X56/计划!X56,5),0)</f>
        <v/>
      </c>
      <c r="Y56" s="237">
        <f>IFERROR(ROUND(计划落实!Y56/计划!Y56,5),0)</f>
        <v/>
      </c>
      <c r="Z56" s="237">
        <f>IFERROR(ROUND(计划落实!Z56/计划!Z56,5),0)</f>
        <v/>
      </c>
      <c r="AA56" s="237">
        <f>IFERROR(ROUND(计划落实!AA56/计划!AA56,5),0)</f>
        <v/>
      </c>
      <c r="AB56" s="237">
        <f>IFERROR(ROUND(计划落实!AB56/计划!AB56,5),0)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4" t="n"/>
      <c r="B57" s="231" t="inlineStr">
        <is>
          <t>SKU-AB711576</t>
        </is>
      </c>
      <c r="C57" s="231" t="inlineStr">
        <is>
          <t>是</t>
        </is>
      </c>
      <c r="D57" s="231" t="n">
        <v>7</v>
      </c>
      <c r="E57" s="231" t="inlineStr">
        <is>
          <t>是</t>
        </is>
      </c>
      <c r="F57" s="231" t="inlineStr"/>
      <c r="G57" s="231" t="inlineStr"/>
      <c r="H57" s="231" t="inlineStr"/>
      <c r="I57" s="231" t="inlineStr">
        <is>
          <t>是</t>
        </is>
      </c>
      <c r="J57" s="27" t="inlineStr">
        <is>
          <t>共</t>
        </is>
      </c>
      <c r="K57" s="27" t="inlineStr"/>
      <c r="L57" s="231" t="n">
        <v>100</v>
      </c>
      <c r="M57" s="19" t="inlineStr">
        <is>
          <t>Product-606B1B6A</t>
        </is>
      </c>
      <c r="N57" s="231" t="n">
        <v>2</v>
      </c>
      <c r="O57" s="236">
        <f>IFERROR(ROUND(计划落实!O57/计划!O57,5),0)</f>
        <v/>
      </c>
      <c r="P57" s="237">
        <f>IFERROR(ROUND(计划落实!P57/计划!P57,5),0)</f>
        <v/>
      </c>
      <c r="Q57" s="237">
        <f>IFERROR(ROUND(计划落实!Q57/计划!Q57,5),0)</f>
        <v/>
      </c>
      <c r="R57" s="237">
        <f>IFERROR(ROUND(计划落实!R57/计划!R57,5),0)</f>
        <v/>
      </c>
      <c r="S57" s="237">
        <f>IFERROR(ROUND(计划落实!S57/计划!S57,5),0)</f>
        <v/>
      </c>
      <c r="T57" s="237">
        <f>IFERROR(ROUND(计划落实!T57/计划!T57,5),0)</f>
        <v/>
      </c>
      <c r="U57" s="237">
        <f>IFERROR(ROUND(计划落实!U57/计划!U57,5),0)</f>
        <v/>
      </c>
      <c r="V57" s="237">
        <f>IFERROR(ROUND(计划落实!V57/计划!V57,5),0)</f>
        <v/>
      </c>
      <c r="W57" s="237">
        <f>IFERROR(ROUND(计划落实!W57/计划!W57,5),0)</f>
        <v/>
      </c>
      <c r="X57" s="237">
        <f>IFERROR(ROUND(计划落实!X57/计划!X57,5),0)</f>
        <v/>
      </c>
      <c r="Y57" s="237">
        <f>IFERROR(ROUND(计划落实!Y57/计划!Y57,5),0)</f>
        <v/>
      </c>
      <c r="Z57" s="237">
        <f>IFERROR(ROUND(计划落实!Z57/计划!Z57,5),0)</f>
        <v/>
      </c>
      <c r="AA57" s="237">
        <f>IFERROR(ROUND(计划落实!AA57/计划!AA57,5),0)</f>
        <v/>
      </c>
      <c r="AB57" s="237">
        <f>IFERROR(ROUND(计划落实!AB57/计划!AB57,5),0)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4" t="n"/>
      <c r="B58" s="231" t="inlineStr">
        <is>
          <t>SKU-9F810407</t>
        </is>
      </c>
      <c r="C58" s="231" t="inlineStr">
        <is>
          <t>是</t>
        </is>
      </c>
      <c r="D58" s="231" t="n">
        <v>9</v>
      </c>
      <c r="E58" s="231" t="inlineStr"/>
      <c r="F58" s="231" t="inlineStr">
        <is>
          <t>是</t>
        </is>
      </c>
      <c r="G58" s="231" t="inlineStr"/>
      <c r="H58" s="231" t="inlineStr"/>
      <c r="I58" s="231" t="inlineStr">
        <is>
          <t>是</t>
        </is>
      </c>
      <c r="J58" s="27" t="inlineStr"/>
      <c r="K58" s="27" t="inlineStr"/>
      <c r="L58" s="231" t="n">
        <v>100</v>
      </c>
      <c r="M58" s="19" t="inlineStr">
        <is>
          <t>Product-F93B8445</t>
        </is>
      </c>
      <c r="N58" s="231" t="n">
        <v>3</v>
      </c>
      <c r="O58" s="236">
        <f>IFERROR(ROUND(计划落实!O58/计划!O58,5),0)</f>
        <v/>
      </c>
      <c r="P58" s="237">
        <f>IFERROR(ROUND(计划落实!P58/计划!P58,5),0)</f>
        <v/>
      </c>
      <c r="Q58" s="237">
        <f>IFERROR(ROUND(计划落实!Q58/计划!Q58,5),0)</f>
        <v/>
      </c>
      <c r="R58" s="237">
        <f>IFERROR(ROUND(计划落实!R58/计划!R58,5),0)</f>
        <v/>
      </c>
      <c r="S58" s="237">
        <f>IFERROR(ROUND(计划落实!S58/计划!S58,5),0)</f>
        <v/>
      </c>
      <c r="T58" s="237">
        <f>IFERROR(ROUND(计划落实!T58/计划!T58,5),0)</f>
        <v/>
      </c>
      <c r="U58" s="237">
        <f>IFERROR(ROUND(计划落实!U58/计划!U58,5),0)</f>
        <v/>
      </c>
      <c r="V58" s="237">
        <f>IFERROR(ROUND(计划落实!V58/计划!V58,5),0)</f>
        <v/>
      </c>
      <c r="W58" s="237">
        <f>IFERROR(ROUND(计划落实!W58/计划!W58,5),0)</f>
        <v/>
      </c>
      <c r="X58" s="237">
        <f>IFERROR(ROUND(计划落实!X58/计划!X58,5),0)</f>
        <v/>
      </c>
      <c r="Y58" s="237">
        <f>IFERROR(ROUND(计划落实!Y58/计划!Y58,5),0)</f>
        <v/>
      </c>
      <c r="Z58" s="237">
        <f>IFERROR(ROUND(计划落实!Z58/计划!Z58,5),0)</f>
        <v/>
      </c>
      <c r="AA58" s="237">
        <f>IFERROR(ROUND(计划落实!AA58/计划!AA58,5),0)</f>
        <v/>
      </c>
      <c r="AB58" s="237">
        <f>IFERROR(ROUND(计划落实!AB58/计划!AB58,5),0)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4" t="n"/>
      <c r="B59" s="231" t="inlineStr">
        <is>
          <t>SKU-F676B681</t>
        </is>
      </c>
      <c r="C59" s="231" t="inlineStr">
        <is>
          <t>是</t>
        </is>
      </c>
      <c r="D59" s="231" t="n">
        <v>9</v>
      </c>
      <c r="E59" s="231" t="inlineStr"/>
      <c r="F59" s="231" t="inlineStr">
        <is>
          <t>是</t>
        </is>
      </c>
      <c r="G59" s="231" t="inlineStr"/>
      <c r="H59" s="231" t="inlineStr"/>
      <c r="I59" s="231" t="inlineStr">
        <is>
          <t>是</t>
        </is>
      </c>
      <c r="J59" s="27" t="inlineStr"/>
      <c r="K59" s="27" t="inlineStr"/>
      <c r="L59" s="231" t="n">
        <v>100</v>
      </c>
      <c r="M59" s="44" t="inlineStr">
        <is>
          <t>Product-33875634</t>
        </is>
      </c>
      <c r="N59" s="231" t="n">
        <v>1</v>
      </c>
      <c r="O59" s="236">
        <f>IFERROR(ROUND(计划落实!O59/计划!O59,5),0)</f>
        <v/>
      </c>
      <c r="P59" s="237">
        <f>IFERROR(ROUND(计划落实!P59/计划!P59,5),0)</f>
        <v/>
      </c>
      <c r="Q59" s="237">
        <f>IFERROR(ROUND(计划落实!Q59/计划!Q59,5),0)</f>
        <v/>
      </c>
      <c r="R59" s="237">
        <f>IFERROR(ROUND(计划落实!R59/计划!R59,5),0)</f>
        <v/>
      </c>
      <c r="S59" s="237">
        <f>IFERROR(ROUND(计划落实!S59/计划!S59,5),0)</f>
        <v/>
      </c>
      <c r="T59" s="237">
        <f>IFERROR(ROUND(计划落实!T59/计划!T59,5),0)</f>
        <v/>
      </c>
      <c r="U59" s="237">
        <f>IFERROR(ROUND(计划落实!U59/计划!U59,5),0)</f>
        <v/>
      </c>
      <c r="V59" s="237">
        <f>IFERROR(ROUND(计划落实!V59/计划!V59,5),0)</f>
        <v/>
      </c>
      <c r="W59" s="237">
        <f>IFERROR(ROUND(计划落实!W59/计划!W59,5),0)</f>
        <v/>
      </c>
      <c r="X59" s="237">
        <f>IFERROR(ROUND(计划落实!X59/计划!X59,5),0)</f>
        <v/>
      </c>
      <c r="Y59" s="237">
        <f>IFERROR(ROUND(计划落实!Y59/计划!Y59,5),0)</f>
        <v/>
      </c>
      <c r="Z59" s="237">
        <f>IFERROR(ROUND(计划落实!Z59/计划!Z59,5),0)</f>
        <v/>
      </c>
      <c r="AA59" s="237">
        <f>IFERROR(ROUND(计划落实!AA59/计划!AA59,5),0)</f>
        <v/>
      </c>
      <c r="AB59" s="237">
        <f>IFERROR(ROUND(计划落实!AB59/计划!AB59,5),0)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4" t="n"/>
      <c r="B60" s="231" t="inlineStr">
        <is>
          <t>SKU-E4C1BC6F</t>
        </is>
      </c>
      <c r="C60" s="231" t="inlineStr">
        <is>
          <t>是</t>
        </is>
      </c>
      <c r="D60" s="231" t="n">
        <v>8</v>
      </c>
      <c r="E60" s="231" t="inlineStr">
        <is>
          <t>是</t>
        </is>
      </c>
      <c r="F60" s="231" t="inlineStr"/>
      <c r="G60" s="231" t="inlineStr"/>
      <c r="H60" s="231" t="inlineStr"/>
      <c r="I60" s="231" t="inlineStr">
        <is>
          <t>是</t>
        </is>
      </c>
      <c r="J60" s="27" t="inlineStr">
        <is>
          <t>共</t>
        </is>
      </c>
      <c r="K60" s="27" t="inlineStr"/>
      <c r="L60" s="231" t="n">
        <v>100</v>
      </c>
      <c r="M60" s="19" t="inlineStr">
        <is>
          <t>Product-10F9DCAD</t>
        </is>
      </c>
      <c r="N60" s="231" t="n">
        <v>1</v>
      </c>
      <c r="O60" s="236">
        <f>IFERROR(ROUND(计划落实!O60/计划!O60,5),0)</f>
        <v/>
      </c>
      <c r="P60" s="237">
        <f>IFERROR(ROUND(计划落实!P60/计划!P60,5),0)</f>
        <v/>
      </c>
      <c r="Q60" s="237">
        <f>IFERROR(ROUND(计划落实!Q60/计划!Q60,5),0)</f>
        <v/>
      </c>
      <c r="R60" s="237">
        <f>IFERROR(ROUND(计划落实!R60/计划!R60,5),0)</f>
        <v/>
      </c>
      <c r="S60" s="237">
        <f>IFERROR(ROUND(计划落实!S60/计划!S60,5),0)</f>
        <v/>
      </c>
      <c r="T60" s="237">
        <f>IFERROR(ROUND(计划落实!T60/计划!T60,5),0)</f>
        <v/>
      </c>
      <c r="U60" s="237">
        <f>IFERROR(ROUND(计划落实!U60/计划!U60,5),0)</f>
        <v/>
      </c>
      <c r="V60" s="237">
        <f>IFERROR(ROUND(计划落实!V60/计划!V60,5),0)</f>
        <v/>
      </c>
      <c r="W60" s="237">
        <f>IFERROR(ROUND(计划落实!W60/计划!W60,5),0)</f>
        <v/>
      </c>
      <c r="X60" s="237">
        <f>IFERROR(ROUND(计划落实!X60/计划!X60,5),0)</f>
        <v/>
      </c>
      <c r="Y60" s="237">
        <f>IFERROR(ROUND(计划落实!Y60/计划!Y60,5),0)</f>
        <v/>
      </c>
      <c r="Z60" s="237">
        <f>IFERROR(ROUND(计划落实!Z60/计划!Z60,5),0)</f>
        <v/>
      </c>
      <c r="AA60" s="237">
        <f>IFERROR(ROUND(计划落实!AA60/计划!AA60,5),0)</f>
        <v/>
      </c>
      <c r="AB60" s="237">
        <f>IFERROR(ROUND(计划落实!AB60/计划!AB60,5),0)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4" t="n"/>
      <c r="B61" s="231" t="inlineStr">
        <is>
          <t>SKU-CD605EDE</t>
        </is>
      </c>
      <c r="C61" s="231" t="inlineStr">
        <is>
          <t>是</t>
        </is>
      </c>
      <c r="D61" s="231" t="n">
        <v>9</v>
      </c>
      <c r="E61" s="231" t="inlineStr"/>
      <c r="F61" s="231" t="inlineStr">
        <is>
          <t>是</t>
        </is>
      </c>
      <c r="G61" s="231" t="inlineStr"/>
      <c r="H61" s="231" t="inlineStr"/>
      <c r="I61" s="231" t="inlineStr">
        <is>
          <t>是</t>
        </is>
      </c>
      <c r="J61" s="27" t="inlineStr"/>
      <c r="K61" s="27" t="inlineStr"/>
      <c r="L61" s="231" t="n">
        <v>100</v>
      </c>
      <c r="M61" s="19" t="inlineStr">
        <is>
          <t>Product-219B759F</t>
        </is>
      </c>
      <c r="N61" s="231" t="n">
        <v>1</v>
      </c>
      <c r="O61" s="236">
        <f>IFERROR(ROUND(计划落实!O61/计划!O61,5),0)</f>
        <v/>
      </c>
      <c r="P61" s="237">
        <f>IFERROR(ROUND(计划落实!P61/计划!P61,5),0)</f>
        <v/>
      </c>
      <c r="Q61" s="237">
        <f>IFERROR(ROUND(计划落实!Q61/计划!Q61,5),0)</f>
        <v/>
      </c>
      <c r="R61" s="237">
        <f>IFERROR(ROUND(计划落实!R61/计划!R61,5),0)</f>
        <v/>
      </c>
      <c r="S61" s="237">
        <f>IFERROR(ROUND(计划落实!S61/计划!S61,5),0)</f>
        <v/>
      </c>
      <c r="T61" s="237">
        <f>IFERROR(ROUND(计划落实!T61/计划!T61,5),0)</f>
        <v/>
      </c>
      <c r="U61" s="237">
        <f>IFERROR(ROUND(计划落实!U61/计划!U61,5),0)</f>
        <v/>
      </c>
      <c r="V61" s="237">
        <f>IFERROR(ROUND(计划落实!V61/计划!V61,5),0)</f>
        <v/>
      </c>
      <c r="W61" s="237">
        <f>IFERROR(ROUND(计划落实!W61/计划!W61,5),0)</f>
        <v/>
      </c>
      <c r="X61" s="237">
        <f>IFERROR(ROUND(计划落实!X61/计划!X61,5),0)</f>
        <v/>
      </c>
      <c r="Y61" s="237">
        <f>IFERROR(ROUND(计划落实!Y61/计划!Y61,5),0)</f>
        <v/>
      </c>
      <c r="Z61" s="237">
        <f>IFERROR(ROUND(计划落实!Z61/计划!Z61,5),0)</f>
        <v/>
      </c>
      <c r="AA61" s="237">
        <f>IFERROR(ROUND(计划落实!AA61/计划!AA61,5),0)</f>
        <v/>
      </c>
      <c r="AB61" s="237">
        <f>IFERROR(ROUND(计划落实!AB61/计划!AB61,5),0)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5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239">
        <f>IFERROR(ROUND(计划落实!O62/计划!O62,5),0)</f>
        <v/>
      </c>
      <c r="P62" s="239">
        <f>IFERROR(ROUND(计划落实!P62/计划!P62,5),0)</f>
        <v/>
      </c>
      <c r="Q62" s="239">
        <f>IFERROR(ROUND(计划落实!Q62/计划!Q62,5),0)</f>
        <v/>
      </c>
      <c r="R62" s="239">
        <f>IFERROR(ROUND(计划落实!R62/计划!R62,5),0)</f>
        <v/>
      </c>
      <c r="S62" s="239">
        <f>IFERROR(ROUND(计划落实!S62/计划!S62,5),0)</f>
        <v/>
      </c>
      <c r="T62" s="239">
        <f>IFERROR(ROUND(计划落实!T62/计划!T62,5),0)</f>
        <v/>
      </c>
      <c r="U62" s="239">
        <f>IFERROR(ROUND(计划落实!U62/计划!U62,5),0)</f>
        <v/>
      </c>
      <c r="V62" s="239">
        <f>IFERROR(ROUND(计划落实!V62/计划!V62,5),0)</f>
        <v/>
      </c>
      <c r="W62" s="239">
        <f>IFERROR(ROUND(计划落实!W62/计划!W62,5),0)</f>
        <v/>
      </c>
      <c r="X62" s="239">
        <f>IFERROR(ROUND(计划落实!X62/计划!X62,5),0)</f>
        <v/>
      </c>
      <c r="Y62" s="239">
        <f>IFERROR(ROUND(计划落实!Y62/计划!Y62,5),0)</f>
        <v/>
      </c>
      <c r="Z62" s="239">
        <f>IFERROR(ROUND(计划落实!Z62/计划!Z62,5),0)</f>
        <v/>
      </c>
      <c r="AA62" s="239">
        <f>IFERROR(ROUND(计划落实!AA62/计划!AA62,5),0)</f>
        <v/>
      </c>
      <c r="AB62" s="239">
        <f>IFERROR(ROUND(计划落实!AB62/计划!AB62,5),0)</f>
        <v/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31" t="inlineStr">
        <is>
          <t>SKU-BBC3DCE6</t>
        </is>
      </c>
      <c r="C63" s="231" t="inlineStr">
        <is>
          <t>是</t>
        </is>
      </c>
      <c r="D63" s="231" t="n">
        <v>8</v>
      </c>
      <c r="E63" s="231" t="inlineStr">
        <is>
          <t>是</t>
        </is>
      </c>
      <c r="F63" s="231" t="inlineStr"/>
      <c r="G63" s="231" t="inlineStr"/>
      <c r="H63" s="231" t="inlineStr"/>
      <c r="I63" s="231" t="inlineStr">
        <is>
          <t>是</t>
        </is>
      </c>
      <c r="J63" s="27" t="inlineStr"/>
      <c r="K63" s="27" t="inlineStr"/>
      <c r="L63" s="231" t="n">
        <v>100</v>
      </c>
      <c r="M63" s="19" t="inlineStr">
        <is>
          <t>Product-3237B6F2</t>
        </is>
      </c>
      <c r="N63" s="231" t="n">
        <v>1</v>
      </c>
      <c r="O63" s="236">
        <f>IFERROR(ROUND(计划落实!O63/计划!O63,5),0)</f>
        <v/>
      </c>
      <c r="P63" s="237">
        <f>IFERROR(ROUND(计划落实!P63/计划!P63,5),0)</f>
        <v/>
      </c>
      <c r="Q63" s="237">
        <f>IFERROR(ROUND(计划落实!Q63/计划!Q63,5),0)</f>
        <v/>
      </c>
      <c r="R63" s="237">
        <f>IFERROR(ROUND(计划落实!R63/计划!R63,5),0)</f>
        <v/>
      </c>
      <c r="S63" s="237">
        <f>IFERROR(ROUND(计划落实!S63/计划!S63,5),0)</f>
        <v/>
      </c>
      <c r="T63" s="237">
        <f>IFERROR(ROUND(计划落实!T63/计划!T63,5),0)</f>
        <v/>
      </c>
      <c r="U63" s="237">
        <f>IFERROR(ROUND(计划落实!U63/计划!U63,5),0)</f>
        <v/>
      </c>
      <c r="V63" s="237">
        <f>IFERROR(ROUND(计划落实!V63/计划!V63,5),0)</f>
        <v/>
      </c>
      <c r="W63" s="237">
        <f>IFERROR(ROUND(计划落实!W63/计划!W63,5),0)</f>
        <v/>
      </c>
      <c r="X63" s="237">
        <f>IFERROR(ROUND(计划落实!X63/计划!X63,5),0)</f>
        <v/>
      </c>
      <c r="Y63" s="237">
        <f>IFERROR(ROUND(计划落实!Y63/计划!Y63,5),0)</f>
        <v/>
      </c>
      <c r="Z63" s="237">
        <f>IFERROR(ROUND(计划落实!Z63/计划!Z63,5),0)</f>
        <v/>
      </c>
      <c r="AA63" s="237">
        <f>IFERROR(ROUND(计划落实!AA63/计划!AA63,5),0)</f>
        <v/>
      </c>
      <c r="AB63" s="237">
        <f>IFERROR(ROUND(计划落实!AB63/计划!AB63,5),0)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4" t="n"/>
      <c r="B64" s="231" t="inlineStr">
        <is>
          <t>SKU-B505F1AF</t>
        </is>
      </c>
      <c r="C64" s="231" t="inlineStr">
        <is>
          <t>是</t>
        </is>
      </c>
      <c r="D64" s="231" t="n">
        <v>10</v>
      </c>
      <c r="E64" s="231" t="inlineStr"/>
      <c r="F64" s="231" t="inlineStr">
        <is>
          <t>是</t>
        </is>
      </c>
      <c r="G64" s="231" t="inlineStr"/>
      <c r="H64" s="231" t="inlineStr"/>
      <c r="I64" s="231" t="inlineStr">
        <is>
          <t>是</t>
        </is>
      </c>
      <c r="J64" s="27" t="inlineStr"/>
      <c r="K64" s="27" t="inlineStr"/>
      <c r="L64" s="231" t="n">
        <v>100</v>
      </c>
      <c r="M64" s="19" t="inlineStr">
        <is>
          <t>Product-3EEAD3B7</t>
        </is>
      </c>
      <c r="N64" s="231" t="n">
        <v>1</v>
      </c>
      <c r="O64" s="236">
        <f>IFERROR(ROUND(计划落实!O64/计划!O64,5),0)</f>
        <v/>
      </c>
      <c r="P64" s="237">
        <f>IFERROR(ROUND(计划落实!P64/计划!P64,5),0)</f>
        <v/>
      </c>
      <c r="Q64" s="237">
        <f>IFERROR(ROUND(计划落实!Q64/计划!Q64,5),0)</f>
        <v/>
      </c>
      <c r="R64" s="237">
        <f>IFERROR(ROUND(计划落实!R64/计划!R64,5),0)</f>
        <v/>
      </c>
      <c r="S64" s="237">
        <f>IFERROR(ROUND(计划落实!S64/计划!S64,5),0)</f>
        <v/>
      </c>
      <c r="T64" s="237">
        <f>IFERROR(ROUND(计划落实!T64/计划!T64,5),0)</f>
        <v/>
      </c>
      <c r="U64" s="237">
        <f>IFERROR(ROUND(计划落实!U64/计划!U64,5),0)</f>
        <v/>
      </c>
      <c r="V64" s="237">
        <f>IFERROR(ROUND(计划落实!V64/计划!V64,5),0)</f>
        <v/>
      </c>
      <c r="W64" s="237">
        <f>IFERROR(ROUND(计划落实!W64/计划!W64,5),0)</f>
        <v/>
      </c>
      <c r="X64" s="237">
        <f>IFERROR(ROUND(计划落实!X64/计划!X64,5),0)</f>
        <v/>
      </c>
      <c r="Y64" s="237">
        <f>IFERROR(ROUND(计划落实!Y64/计划!Y64,5),0)</f>
        <v/>
      </c>
      <c r="Z64" s="237">
        <f>IFERROR(ROUND(计划落实!Z64/计划!Z64,5),0)</f>
        <v/>
      </c>
      <c r="AA64" s="237">
        <f>IFERROR(ROUND(计划落实!AA64/计划!AA64,5),0)</f>
        <v/>
      </c>
      <c r="AB64" s="237">
        <f>IFERROR(ROUND(计划落实!AB64/计划!AB64,5),0)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5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239">
        <f>IFERROR(ROUND(计划落实!O65/计划!O65,5),0)</f>
        <v/>
      </c>
      <c r="P65" s="239">
        <f>IFERROR(ROUND(计划落实!P65/计划!P65,5),0)</f>
        <v/>
      </c>
      <c r="Q65" s="239">
        <f>IFERROR(ROUND(计划落实!Q65/计划!Q65,5),0)</f>
        <v/>
      </c>
      <c r="R65" s="239">
        <f>IFERROR(ROUND(计划落实!R65/计划!R65,5),0)</f>
        <v/>
      </c>
      <c r="S65" s="239">
        <f>IFERROR(ROUND(计划落实!S65/计划!S65,5),0)</f>
        <v/>
      </c>
      <c r="T65" s="239">
        <f>IFERROR(ROUND(计划落实!T65/计划!T65,5),0)</f>
        <v/>
      </c>
      <c r="U65" s="239">
        <f>IFERROR(ROUND(计划落实!U65/计划!U65,5),0)</f>
        <v/>
      </c>
      <c r="V65" s="239">
        <f>IFERROR(ROUND(计划落实!V65/计划!V65,5),0)</f>
        <v/>
      </c>
      <c r="W65" s="239">
        <f>IFERROR(ROUND(计划落实!W65/计划!W65,5),0)</f>
        <v/>
      </c>
      <c r="X65" s="239">
        <f>IFERROR(ROUND(计划落实!X65/计划!X65,5),0)</f>
        <v/>
      </c>
      <c r="Y65" s="239">
        <f>IFERROR(ROUND(计划落实!Y65/计划!Y65,5),0)</f>
        <v/>
      </c>
      <c r="Z65" s="239">
        <f>IFERROR(ROUND(计划落实!Z65/计划!Z65,5),0)</f>
        <v/>
      </c>
      <c r="AA65" s="239">
        <f>IFERROR(ROUND(计划落实!AA65/计划!AA65,5),0)</f>
        <v/>
      </c>
      <c r="AB65" s="239">
        <f>IFERROR(ROUND(计划落实!AB65/计划!AB65,5),0)</f>
        <v/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31" t="inlineStr">
        <is>
          <t>SKU-ADBD66B8</t>
        </is>
      </c>
      <c r="C66" s="231" t="inlineStr">
        <is>
          <t>是</t>
        </is>
      </c>
      <c r="D66" s="231" t="n">
        <v>6</v>
      </c>
      <c r="E66" s="231" t="inlineStr"/>
      <c r="F66" s="231" t="inlineStr"/>
      <c r="G66" s="231" t="inlineStr"/>
      <c r="H66" s="231" t="inlineStr"/>
      <c r="I66" s="231" t="inlineStr"/>
      <c r="J66" s="27" t="inlineStr"/>
      <c r="K66" s="27" t="inlineStr"/>
      <c r="L66" s="231" t="n">
        <v>100</v>
      </c>
      <c r="M66" s="46" t="inlineStr">
        <is>
          <t>Product-3232333E</t>
        </is>
      </c>
      <c r="N66" s="55" t="n">
        <v>3</v>
      </c>
      <c r="O66" s="236">
        <f>IFERROR(ROUND(计划落实!O66/计划!O66,5),0)</f>
        <v/>
      </c>
      <c r="P66" s="237">
        <f>IFERROR(ROUND(计划落实!P66/计划!P66,5),0)</f>
        <v/>
      </c>
      <c r="Q66" s="237">
        <f>IFERROR(ROUND(计划落实!Q66/计划!Q66,5),0)</f>
        <v/>
      </c>
      <c r="R66" s="237">
        <f>IFERROR(ROUND(计划落实!R66/计划!R66,5),0)</f>
        <v/>
      </c>
      <c r="S66" s="237">
        <f>IFERROR(ROUND(计划落实!S66/计划!S66,5),0)</f>
        <v/>
      </c>
      <c r="T66" s="237">
        <f>IFERROR(ROUND(计划落实!T66/计划!T66,5),0)</f>
        <v/>
      </c>
      <c r="U66" s="237">
        <f>IFERROR(ROUND(计划落实!U66/计划!U66,5),0)</f>
        <v/>
      </c>
      <c r="V66" s="237">
        <f>IFERROR(ROUND(计划落实!V66/计划!V66,5),0)</f>
        <v/>
      </c>
      <c r="W66" s="237">
        <f>IFERROR(ROUND(计划落实!W66/计划!W66,5),0)</f>
        <v/>
      </c>
      <c r="X66" s="237">
        <f>IFERROR(ROUND(计划落实!X66/计划!X66,5),0)</f>
        <v/>
      </c>
      <c r="Y66" s="237">
        <f>IFERROR(ROUND(计划落实!Y66/计划!Y66,5),0)</f>
        <v/>
      </c>
      <c r="Z66" s="237">
        <f>IFERROR(ROUND(计划落实!Z66/计划!Z66,5),0)</f>
        <v/>
      </c>
      <c r="AA66" s="237">
        <f>IFERROR(ROUND(计划落实!AA66/计划!AA66,5),0)</f>
        <v/>
      </c>
      <c r="AB66" s="237">
        <f>IFERROR(ROUND(计划落实!AB66/计划!AB66,5),0)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4" t="n"/>
      <c r="B67" s="231" t="inlineStr">
        <is>
          <t>SKU-77309807</t>
        </is>
      </c>
      <c r="C67" s="231" t="inlineStr">
        <is>
          <t>是</t>
        </is>
      </c>
      <c r="D67" s="231" t="n">
        <v>8</v>
      </c>
      <c r="E67" s="231" t="inlineStr"/>
      <c r="F67" s="231" t="inlineStr"/>
      <c r="G67" s="231" t="inlineStr"/>
      <c r="H67" s="231" t="inlineStr"/>
      <c r="I67" s="231" t="inlineStr"/>
      <c r="J67" s="27" t="inlineStr">
        <is>
          <t>共</t>
        </is>
      </c>
      <c r="K67" s="27" t="inlineStr"/>
      <c r="L67" s="231" t="n">
        <v>100</v>
      </c>
      <c r="M67" s="19" t="inlineStr">
        <is>
          <t>Product-569CC6FE</t>
        </is>
      </c>
      <c r="N67" s="231" t="n">
        <v>2</v>
      </c>
      <c r="O67" s="236">
        <f>IFERROR(ROUND(计划落实!O67/计划!O67,5),0)</f>
        <v/>
      </c>
      <c r="P67" s="237">
        <f>IFERROR(ROUND(计划落实!P67/计划!P67,5),0)</f>
        <v/>
      </c>
      <c r="Q67" s="237">
        <f>IFERROR(ROUND(计划落实!Q67/计划!Q67,5),0)</f>
        <v/>
      </c>
      <c r="R67" s="237">
        <f>IFERROR(ROUND(计划落实!R67/计划!R67,5),0)</f>
        <v/>
      </c>
      <c r="S67" s="237">
        <f>IFERROR(ROUND(计划落实!S67/计划!S67,5),0)</f>
        <v/>
      </c>
      <c r="T67" s="237">
        <f>IFERROR(ROUND(计划落实!T67/计划!T67,5),0)</f>
        <v/>
      </c>
      <c r="U67" s="237">
        <f>IFERROR(ROUND(计划落实!U67/计划!U67,5),0)</f>
        <v/>
      </c>
      <c r="V67" s="237">
        <f>IFERROR(ROUND(计划落实!V67/计划!V67,5),0)</f>
        <v/>
      </c>
      <c r="W67" s="237">
        <f>IFERROR(ROUND(计划落实!W67/计划!W67,5),0)</f>
        <v/>
      </c>
      <c r="X67" s="237">
        <f>IFERROR(ROUND(计划落实!X67/计划!X67,5),0)</f>
        <v/>
      </c>
      <c r="Y67" s="237">
        <f>IFERROR(ROUND(计划落实!Y67/计划!Y67,5),0)</f>
        <v/>
      </c>
      <c r="Z67" s="237">
        <f>IFERROR(ROUND(计划落实!Z67/计划!Z67,5),0)</f>
        <v/>
      </c>
      <c r="AA67" s="237">
        <f>IFERROR(ROUND(计划落实!AA67/计划!AA67,5),0)</f>
        <v/>
      </c>
      <c r="AB67" s="237">
        <f>IFERROR(ROUND(计划落实!AB67/计划!AB67,5),0)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4" t="n"/>
      <c r="B68" s="231" t="inlineStr">
        <is>
          <t>SKU-20CF6943</t>
        </is>
      </c>
      <c r="C68" s="231" t="inlineStr">
        <is>
          <t>是</t>
        </is>
      </c>
      <c r="D68" s="231" t="n">
        <v>8</v>
      </c>
      <c r="E68" s="231" t="inlineStr"/>
      <c r="F68" s="231" t="inlineStr"/>
      <c r="G68" s="231" t="inlineStr"/>
      <c r="H68" s="231" t="inlineStr">
        <is>
          <t>是</t>
        </is>
      </c>
      <c r="I68" s="231" t="inlineStr">
        <is>
          <t>是</t>
        </is>
      </c>
      <c r="J68" s="27" t="inlineStr"/>
      <c r="K68" s="27" t="inlineStr"/>
      <c r="L68" s="231" t="n">
        <v>100</v>
      </c>
      <c r="M68" s="19" t="inlineStr">
        <is>
          <t>Product-D195C7CE</t>
        </is>
      </c>
      <c r="N68" s="231" t="n">
        <v>3</v>
      </c>
      <c r="O68" s="236">
        <f>IFERROR(ROUND(计划落实!O68/计划!O68,5),0)</f>
        <v/>
      </c>
      <c r="P68" s="237">
        <f>IFERROR(ROUND(计划落实!P68/计划!P68,5),0)</f>
        <v/>
      </c>
      <c r="Q68" s="237">
        <f>IFERROR(ROUND(计划落实!Q68/计划!Q68,5),0)</f>
        <v/>
      </c>
      <c r="R68" s="237">
        <f>IFERROR(ROUND(计划落实!R68/计划!R68,5),0)</f>
        <v/>
      </c>
      <c r="S68" s="237">
        <f>IFERROR(ROUND(计划落实!S68/计划!S68,5),0)</f>
        <v/>
      </c>
      <c r="T68" s="237">
        <f>IFERROR(ROUND(计划落实!T68/计划!T68,5),0)</f>
        <v/>
      </c>
      <c r="U68" s="237">
        <f>IFERROR(ROUND(计划落实!U68/计划!U68,5),0)</f>
        <v/>
      </c>
      <c r="V68" s="237">
        <f>IFERROR(ROUND(计划落实!V68/计划!V68,5),0)</f>
        <v/>
      </c>
      <c r="W68" s="237">
        <f>IFERROR(ROUND(计划落实!W68/计划!W68,5),0)</f>
        <v/>
      </c>
      <c r="X68" s="237">
        <f>IFERROR(ROUND(计划落实!X68/计划!X68,5),0)</f>
        <v/>
      </c>
      <c r="Y68" s="237">
        <f>IFERROR(ROUND(计划落实!Y68/计划!Y68,5),0)</f>
        <v/>
      </c>
      <c r="Z68" s="237">
        <f>IFERROR(ROUND(计划落实!Z68/计划!Z68,5),0)</f>
        <v/>
      </c>
      <c r="AA68" s="237">
        <f>IFERROR(ROUND(计划落实!AA68/计划!AA68,5),0)</f>
        <v/>
      </c>
      <c r="AB68" s="237">
        <f>IFERROR(ROUND(计划落实!AB68/计划!AB68,5),0)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4" t="n"/>
      <c r="B69" s="231" t="inlineStr">
        <is>
          <t>SKU-64A5E460</t>
        </is>
      </c>
      <c r="C69" s="231" t="inlineStr">
        <is>
          <t>是</t>
        </is>
      </c>
      <c r="D69" s="231" t="n">
        <v>8</v>
      </c>
      <c r="E69" s="231" t="inlineStr"/>
      <c r="F69" s="231" t="inlineStr">
        <is>
          <t>是</t>
        </is>
      </c>
      <c r="G69" s="231" t="inlineStr"/>
      <c r="H69" s="231" t="inlineStr"/>
      <c r="I69" s="231" t="inlineStr">
        <is>
          <t>是</t>
        </is>
      </c>
      <c r="J69" s="27" t="inlineStr"/>
      <c r="K69" s="27" t="inlineStr"/>
      <c r="L69" s="231" t="n">
        <v>100</v>
      </c>
      <c r="M69" s="19" t="inlineStr">
        <is>
          <t>Product-6C74D635</t>
        </is>
      </c>
      <c r="N69" s="231" t="n">
        <v>1</v>
      </c>
      <c r="O69" s="236">
        <f>IFERROR(ROUND(计划落实!O69/计划!O69,5),0)</f>
        <v/>
      </c>
      <c r="P69" s="237">
        <f>IFERROR(ROUND(计划落实!P69/计划!P69,5),0)</f>
        <v/>
      </c>
      <c r="Q69" s="237">
        <f>IFERROR(ROUND(计划落实!Q69/计划!Q69,5),0)</f>
        <v/>
      </c>
      <c r="R69" s="237">
        <f>IFERROR(ROUND(计划落实!R69/计划!R69,5),0)</f>
        <v/>
      </c>
      <c r="S69" s="237">
        <f>IFERROR(ROUND(计划落实!S69/计划!S69,5),0)</f>
        <v/>
      </c>
      <c r="T69" s="237">
        <f>IFERROR(ROUND(计划落实!T69/计划!T69,5),0)</f>
        <v/>
      </c>
      <c r="U69" s="237">
        <f>IFERROR(ROUND(计划落实!U69/计划!U69,5),0)</f>
        <v/>
      </c>
      <c r="V69" s="237">
        <f>IFERROR(ROUND(计划落实!V69/计划!V69,5),0)</f>
        <v/>
      </c>
      <c r="W69" s="237">
        <f>IFERROR(ROUND(计划落实!W69/计划!W69,5),0)</f>
        <v/>
      </c>
      <c r="X69" s="237">
        <f>IFERROR(ROUND(计划落实!X69/计划!X69,5),0)</f>
        <v/>
      </c>
      <c r="Y69" s="237">
        <f>IFERROR(ROUND(计划落实!Y69/计划!Y69,5),0)</f>
        <v/>
      </c>
      <c r="Z69" s="237">
        <f>IFERROR(ROUND(计划落实!Z69/计划!Z69,5),0)</f>
        <v/>
      </c>
      <c r="AA69" s="237">
        <f>IFERROR(ROUND(计划落实!AA69/计划!AA69,5),0)</f>
        <v/>
      </c>
      <c r="AB69" s="237">
        <f>IFERROR(ROUND(计划落实!AB69/计划!AB69,5),0)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5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239">
        <f>IFERROR(ROUND(计划落实!O70/计划!O70,5),0)</f>
        <v/>
      </c>
      <c r="P70" s="239">
        <f>IFERROR(ROUND(计划落实!P70/计划!P70,5),0)</f>
        <v/>
      </c>
      <c r="Q70" s="239">
        <f>IFERROR(ROUND(计划落实!Q70/计划!Q70,5),0)</f>
        <v/>
      </c>
      <c r="R70" s="239">
        <f>IFERROR(ROUND(计划落实!R70/计划!R70,5),0)</f>
        <v/>
      </c>
      <c r="S70" s="239">
        <f>IFERROR(ROUND(计划落实!S70/计划!S70,5),0)</f>
        <v/>
      </c>
      <c r="T70" s="239">
        <f>IFERROR(ROUND(计划落实!T70/计划!T70,5),0)</f>
        <v/>
      </c>
      <c r="U70" s="239">
        <f>IFERROR(ROUND(计划落实!U70/计划!U70,5),0)</f>
        <v/>
      </c>
      <c r="V70" s="239">
        <f>IFERROR(ROUND(计划落实!V70/计划!V70,5),0)</f>
        <v/>
      </c>
      <c r="W70" s="239">
        <f>IFERROR(ROUND(计划落实!W70/计划!W70,5),0)</f>
        <v/>
      </c>
      <c r="X70" s="239">
        <f>IFERROR(ROUND(计划落实!X70/计划!X70,5),0)</f>
        <v/>
      </c>
      <c r="Y70" s="239">
        <f>IFERROR(ROUND(计划落实!Y70/计划!Y70,5),0)</f>
        <v/>
      </c>
      <c r="Z70" s="239">
        <f>IFERROR(ROUND(计划落实!Z70/计划!Z70,5),0)</f>
        <v/>
      </c>
      <c r="AA70" s="239">
        <f>IFERROR(ROUND(计划落实!AA70/计划!AA70,5),0)</f>
        <v/>
      </c>
      <c r="AB70" s="239">
        <f>IFERROR(ROUND(计划落实!AB70/计划!AB70,5),0)</f>
        <v/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31" t="inlineStr">
        <is>
          <t>SKU-D485CCCA</t>
        </is>
      </c>
      <c r="C71" s="231" t="inlineStr"/>
      <c r="D71" s="231" t="n">
        <v>10</v>
      </c>
      <c r="E71" s="231" t="inlineStr"/>
      <c r="F71" s="231" t="inlineStr">
        <is>
          <t>是</t>
        </is>
      </c>
      <c r="G71" s="231" t="inlineStr"/>
      <c r="H71" s="231" t="inlineStr"/>
      <c r="I71" s="231" t="inlineStr">
        <is>
          <t>是</t>
        </is>
      </c>
      <c r="J71" s="27" t="inlineStr"/>
      <c r="K71" s="27" t="inlineStr"/>
      <c r="L71" s="231" t="n">
        <v>100</v>
      </c>
      <c r="M71" s="19" t="inlineStr">
        <is>
          <t>Product-05507059</t>
        </is>
      </c>
      <c r="N71" s="231" t="n">
        <v>3</v>
      </c>
      <c r="O71" s="236">
        <f>IFERROR(ROUND(计划落实!O71/计划!O71,5),0)</f>
        <v/>
      </c>
      <c r="P71" s="237">
        <f>IFERROR(ROUND(计划落实!P71/计划!P71,5),0)</f>
        <v/>
      </c>
      <c r="Q71" s="237">
        <f>IFERROR(ROUND(计划落实!Q71/计划!Q71,5),0)</f>
        <v/>
      </c>
      <c r="R71" s="237">
        <f>IFERROR(ROUND(计划落实!R71/计划!R71,5),0)</f>
        <v/>
      </c>
      <c r="S71" s="237">
        <f>IFERROR(ROUND(计划落实!S71/计划!S71,5),0)</f>
        <v/>
      </c>
      <c r="T71" s="237">
        <f>IFERROR(ROUND(计划落实!T71/计划!T71,5),0)</f>
        <v/>
      </c>
      <c r="U71" s="237">
        <f>IFERROR(ROUND(计划落实!U71/计划!U71,5),0)</f>
        <v/>
      </c>
      <c r="V71" s="237">
        <f>IFERROR(ROUND(计划落实!V71/计划!V71,5),0)</f>
        <v/>
      </c>
      <c r="W71" s="237">
        <f>IFERROR(ROUND(计划落实!W71/计划!W71,5),0)</f>
        <v/>
      </c>
      <c r="X71" s="237">
        <f>IFERROR(ROUND(计划落实!X71/计划!X71,5),0)</f>
        <v/>
      </c>
      <c r="Y71" s="237">
        <f>IFERROR(ROUND(计划落实!Y71/计划!Y71,5),0)</f>
        <v/>
      </c>
      <c r="Z71" s="237">
        <f>IFERROR(ROUND(计划落实!Z71/计划!Z71,5),0)</f>
        <v/>
      </c>
      <c r="AA71" s="237">
        <f>IFERROR(ROUND(计划落实!AA71/计划!AA71,5),0)</f>
        <v/>
      </c>
      <c r="AB71" s="237">
        <f>IFERROR(ROUND(计划落实!AB71/计划!AB71,5),0)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4" t="n"/>
      <c r="B72" s="231" t="inlineStr">
        <is>
          <t>SKU-66238053</t>
        </is>
      </c>
      <c r="C72" s="231" t="inlineStr"/>
      <c r="D72" s="231" t="n">
        <v>8</v>
      </c>
      <c r="E72" s="231" t="inlineStr">
        <is>
          <t>是</t>
        </is>
      </c>
      <c r="F72" s="231" t="inlineStr"/>
      <c r="G72" s="231" t="inlineStr"/>
      <c r="H72" s="231" t="inlineStr"/>
      <c r="I72" s="231" t="inlineStr">
        <is>
          <t>是</t>
        </is>
      </c>
      <c r="J72" s="27" t="inlineStr"/>
      <c r="K72" s="27" t="inlineStr"/>
      <c r="L72" s="231" t="n">
        <v>100</v>
      </c>
      <c r="M72" s="43" t="inlineStr">
        <is>
          <t>Product-B4F67B70</t>
        </is>
      </c>
      <c r="N72" s="231" t="n">
        <v>2</v>
      </c>
      <c r="O72" s="236">
        <f>IFERROR(ROUND(计划落实!O72/计划!O72,5),0)</f>
        <v/>
      </c>
      <c r="P72" s="237">
        <f>IFERROR(ROUND(计划落实!P72/计划!P72,5),0)</f>
        <v/>
      </c>
      <c r="Q72" s="237">
        <f>IFERROR(ROUND(计划落实!Q72/计划!Q72,5),0)</f>
        <v/>
      </c>
      <c r="R72" s="237">
        <f>IFERROR(ROUND(计划落实!R72/计划!R72,5),0)</f>
        <v/>
      </c>
      <c r="S72" s="237">
        <f>IFERROR(ROUND(计划落实!S72/计划!S72,5),0)</f>
        <v/>
      </c>
      <c r="T72" s="237">
        <f>IFERROR(ROUND(计划落实!T72/计划!T72,5),0)</f>
        <v/>
      </c>
      <c r="U72" s="237">
        <f>IFERROR(ROUND(计划落实!U72/计划!U72,5),0)</f>
        <v/>
      </c>
      <c r="V72" s="237">
        <f>IFERROR(ROUND(计划落实!V72/计划!V72,5),0)</f>
        <v/>
      </c>
      <c r="W72" s="237">
        <f>IFERROR(ROUND(计划落实!W72/计划!W72,5),0)</f>
        <v/>
      </c>
      <c r="X72" s="237">
        <f>IFERROR(ROUND(计划落实!X72/计划!X72,5),0)</f>
        <v/>
      </c>
      <c r="Y72" s="237">
        <f>IFERROR(ROUND(计划落实!Y72/计划!Y72,5),0)</f>
        <v/>
      </c>
      <c r="Z72" s="237">
        <f>IFERROR(ROUND(计划落实!Z72/计划!Z72,5),0)</f>
        <v/>
      </c>
      <c r="AA72" s="237">
        <f>IFERROR(ROUND(计划落实!AA72/计划!AA72,5),0)</f>
        <v/>
      </c>
      <c r="AB72" s="237">
        <f>IFERROR(ROUND(计划落实!AB72/计划!AB72,5),0)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4" t="n"/>
      <c r="B73" s="231" t="inlineStr">
        <is>
          <t>SKU-AEC03642</t>
        </is>
      </c>
      <c r="C73" s="231" t="inlineStr"/>
      <c r="D73" s="231" t="n">
        <v>8</v>
      </c>
      <c r="E73" s="231" t="inlineStr"/>
      <c r="F73" s="231" t="inlineStr">
        <is>
          <t>是</t>
        </is>
      </c>
      <c r="G73" s="231" t="inlineStr"/>
      <c r="H73" s="231" t="inlineStr"/>
      <c r="I73" s="231" t="inlineStr">
        <is>
          <t>是</t>
        </is>
      </c>
      <c r="J73" s="27" t="inlineStr"/>
      <c r="K73" s="27" t="inlineStr"/>
      <c r="L73" s="231" t="n">
        <v>100</v>
      </c>
      <c r="M73" s="45" t="inlineStr">
        <is>
          <t>Product-5A4A091A</t>
        </is>
      </c>
      <c r="N73" s="231" t="n">
        <v>1</v>
      </c>
      <c r="O73" s="236">
        <f>IFERROR(ROUND(计划落实!O73/计划!O73,5),0)</f>
        <v/>
      </c>
      <c r="P73" s="237">
        <f>IFERROR(ROUND(计划落实!P73/计划!P73,5),0)</f>
        <v/>
      </c>
      <c r="Q73" s="237">
        <f>IFERROR(ROUND(计划落实!Q73/计划!Q73,5),0)</f>
        <v/>
      </c>
      <c r="R73" s="237">
        <f>IFERROR(ROUND(计划落实!R73/计划!R73,5),0)</f>
        <v/>
      </c>
      <c r="S73" s="237">
        <f>IFERROR(ROUND(计划落实!S73/计划!S73,5),0)</f>
        <v/>
      </c>
      <c r="T73" s="237">
        <f>IFERROR(ROUND(计划落实!T73/计划!T73,5),0)</f>
        <v/>
      </c>
      <c r="U73" s="237">
        <f>IFERROR(ROUND(计划落实!U73/计划!U73,5),0)</f>
        <v/>
      </c>
      <c r="V73" s="237">
        <f>IFERROR(ROUND(计划落实!V73/计划!V73,5),0)</f>
        <v/>
      </c>
      <c r="W73" s="237">
        <f>IFERROR(ROUND(计划落实!W73/计划!W73,5),0)</f>
        <v/>
      </c>
      <c r="X73" s="237">
        <f>IFERROR(ROUND(计划落实!X73/计划!X73,5),0)</f>
        <v/>
      </c>
      <c r="Y73" s="237">
        <f>IFERROR(ROUND(计划落实!Y73/计划!Y73,5),0)</f>
        <v/>
      </c>
      <c r="Z73" s="237">
        <f>IFERROR(ROUND(计划落实!Z73/计划!Z73,5),0)</f>
        <v/>
      </c>
      <c r="AA73" s="237">
        <f>IFERROR(ROUND(计划落实!AA73/计划!AA73,5),0)</f>
        <v/>
      </c>
      <c r="AB73" s="237">
        <f>IFERROR(ROUND(计划落实!AB73/计划!AB73,5),0)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5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239">
        <f>IFERROR(ROUND(计划落实!O74/计划!O74,5),0)</f>
        <v/>
      </c>
      <c r="P74" s="239">
        <f>IFERROR(ROUND(计划落实!P74/计划!P74,5),0)</f>
        <v/>
      </c>
      <c r="Q74" s="239">
        <f>IFERROR(ROUND(计划落实!Q74/计划!Q74,5),0)</f>
        <v/>
      </c>
      <c r="R74" s="239">
        <f>IFERROR(ROUND(计划落实!R74/计划!R74,5),0)</f>
        <v/>
      </c>
      <c r="S74" s="239">
        <f>IFERROR(ROUND(计划落实!S74/计划!S74,5),0)</f>
        <v/>
      </c>
      <c r="T74" s="239">
        <f>IFERROR(ROUND(计划落实!T74/计划!T74,5),0)</f>
        <v/>
      </c>
      <c r="U74" s="239">
        <f>IFERROR(ROUND(计划落实!U74/计划!U74,5),0)</f>
        <v/>
      </c>
      <c r="V74" s="239">
        <f>IFERROR(ROUND(计划落实!V74/计划!V74,5),0)</f>
        <v/>
      </c>
      <c r="W74" s="239">
        <f>IFERROR(ROUND(计划落实!W74/计划!W74,5),0)</f>
        <v/>
      </c>
      <c r="X74" s="239">
        <f>IFERROR(ROUND(计划落实!X74/计划!X74,5),0)</f>
        <v/>
      </c>
      <c r="Y74" s="239">
        <f>IFERROR(ROUND(计划落实!Y74/计划!Y74,5),0)</f>
        <v/>
      </c>
      <c r="Z74" s="239">
        <f>IFERROR(ROUND(计划落实!Z74/计划!Z74,5),0)</f>
        <v/>
      </c>
      <c r="AA74" s="239">
        <f>IFERROR(ROUND(计划落实!AA74/计划!AA74,5),0)</f>
        <v/>
      </c>
      <c r="AB74" s="239">
        <f>IFERROR(ROUND(计划落实!AB74/计划!AB74,5),0)</f>
        <v/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31" t="inlineStr">
        <is>
          <t>SKU-6FADBEBD</t>
        </is>
      </c>
      <c r="C75" s="231" t="inlineStr">
        <is>
          <t>是</t>
        </is>
      </c>
      <c r="D75" s="231" t="n">
        <v>5</v>
      </c>
      <c r="E75" s="231" t="inlineStr">
        <is>
          <t>是</t>
        </is>
      </c>
      <c r="F75" s="231" t="inlineStr"/>
      <c r="G75" s="231" t="inlineStr"/>
      <c r="H75" s="231" t="inlineStr"/>
      <c r="I75" s="231" t="inlineStr">
        <is>
          <t>是</t>
        </is>
      </c>
      <c r="J75" s="27" t="inlineStr">
        <is>
          <t>共</t>
        </is>
      </c>
      <c r="K75" s="27" t="inlineStr"/>
      <c r="L75" s="231" t="n">
        <v>100</v>
      </c>
      <c r="M75" s="19" t="inlineStr">
        <is>
          <t>Product-224E6368</t>
        </is>
      </c>
      <c r="N75" s="231" t="n">
        <v>1</v>
      </c>
      <c r="O75" s="236">
        <f>IFERROR(ROUND(计划落实!O75/计划!O75,5),0)</f>
        <v/>
      </c>
      <c r="P75" s="237">
        <f>IFERROR(ROUND(计划落实!P75/计划!P75,5),0)</f>
        <v/>
      </c>
      <c r="Q75" s="237">
        <f>IFERROR(ROUND(计划落实!Q75/计划!Q75,5),0)</f>
        <v/>
      </c>
      <c r="R75" s="237">
        <f>IFERROR(ROUND(计划落实!R75/计划!R75,5),0)</f>
        <v/>
      </c>
      <c r="S75" s="237">
        <f>IFERROR(ROUND(计划落实!S75/计划!S75,5),0)</f>
        <v/>
      </c>
      <c r="T75" s="237">
        <f>IFERROR(ROUND(计划落实!T75/计划!T75,5),0)</f>
        <v/>
      </c>
      <c r="U75" s="237">
        <f>IFERROR(ROUND(计划落实!U75/计划!U75,5),0)</f>
        <v/>
      </c>
      <c r="V75" s="237">
        <f>IFERROR(ROUND(计划落实!V75/计划!V75,5),0)</f>
        <v/>
      </c>
      <c r="W75" s="237">
        <f>IFERROR(ROUND(计划落实!W75/计划!W75,5),0)</f>
        <v/>
      </c>
      <c r="X75" s="237">
        <f>IFERROR(ROUND(计划落实!X75/计划!X75,5),0)</f>
        <v/>
      </c>
      <c r="Y75" s="237">
        <f>IFERROR(ROUND(计划落实!Y75/计划!Y75,5),0)</f>
        <v/>
      </c>
      <c r="Z75" s="237">
        <f>IFERROR(ROUND(计划落实!Z75/计划!Z75,5),0)</f>
        <v/>
      </c>
      <c r="AA75" s="237">
        <f>IFERROR(ROUND(计划落实!AA75/计划!AA75,5),0)</f>
        <v/>
      </c>
      <c r="AB75" s="237">
        <f>IFERROR(ROUND(计划落实!AB75/计划!AB75,5),0)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4" t="n"/>
      <c r="B76" s="231" t="inlineStr">
        <is>
          <t>SKU-6772DEBE</t>
        </is>
      </c>
      <c r="C76" s="231" t="inlineStr">
        <is>
          <t>是</t>
        </is>
      </c>
      <c r="D76" s="231" t="n">
        <v>6</v>
      </c>
      <c r="E76" s="231" t="inlineStr"/>
      <c r="F76" s="231" t="inlineStr">
        <is>
          <t>是</t>
        </is>
      </c>
      <c r="G76" s="231" t="inlineStr"/>
      <c r="H76" s="231" t="inlineStr"/>
      <c r="I76" s="231" t="inlineStr">
        <is>
          <t>是</t>
        </is>
      </c>
      <c r="J76" s="27" t="inlineStr"/>
      <c r="K76" s="27" t="inlineStr"/>
      <c r="L76" s="231" t="n">
        <v>100</v>
      </c>
      <c r="M76" s="19" t="inlineStr">
        <is>
          <t>Product-82693D22</t>
        </is>
      </c>
      <c r="N76" s="231" t="n">
        <v>1</v>
      </c>
      <c r="O76" s="236">
        <f>IFERROR(ROUND(计划落实!O76/计划!O76,5),0)</f>
        <v/>
      </c>
      <c r="P76" s="237">
        <f>IFERROR(ROUND(计划落实!P76/计划!P76,5),0)</f>
        <v/>
      </c>
      <c r="Q76" s="237">
        <f>IFERROR(ROUND(计划落实!Q76/计划!Q76,5),0)</f>
        <v/>
      </c>
      <c r="R76" s="237">
        <f>IFERROR(ROUND(计划落实!R76/计划!R76,5),0)</f>
        <v/>
      </c>
      <c r="S76" s="237">
        <f>IFERROR(ROUND(计划落实!S76/计划!S76,5),0)</f>
        <v/>
      </c>
      <c r="T76" s="237">
        <f>IFERROR(ROUND(计划落实!T76/计划!T76,5),0)</f>
        <v/>
      </c>
      <c r="U76" s="237">
        <f>IFERROR(ROUND(计划落实!U76/计划!U76,5),0)</f>
        <v/>
      </c>
      <c r="V76" s="237">
        <f>IFERROR(ROUND(计划落实!V76/计划!V76,5),0)</f>
        <v/>
      </c>
      <c r="W76" s="237">
        <f>IFERROR(ROUND(计划落实!W76/计划!W76,5),0)</f>
        <v/>
      </c>
      <c r="X76" s="237">
        <f>IFERROR(ROUND(计划落实!X76/计划!X76,5),0)</f>
        <v/>
      </c>
      <c r="Y76" s="237">
        <f>IFERROR(ROUND(计划落实!Y76/计划!Y76,5),0)</f>
        <v/>
      </c>
      <c r="Z76" s="237">
        <f>IFERROR(ROUND(计划落实!Z76/计划!Z76,5),0)</f>
        <v/>
      </c>
      <c r="AA76" s="237">
        <f>IFERROR(ROUND(计划落实!AA76/计划!AA76,5),0)</f>
        <v/>
      </c>
      <c r="AB76" s="237">
        <f>IFERROR(ROUND(计划落实!AB76/计划!AB76,5),0)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4" t="n"/>
      <c r="B77" s="231" t="inlineStr">
        <is>
          <t>SKU-3B2628FE</t>
        </is>
      </c>
      <c r="C77" s="231" t="inlineStr">
        <is>
          <t>是</t>
        </is>
      </c>
      <c r="D77" s="231" t="n">
        <v>8</v>
      </c>
      <c r="E77" s="231" t="inlineStr"/>
      <c r="F77" s="231" t="inlineStr">
        <is>
          <t>是</t>
        </is>
      </c>
      <c r="G77" s="231" t="inlineStr"/>
      <c r="H77" s="231" t="inlineStr"/>
      <c r="I77" s="231" t="inlineStr">
        <is>
          <t>是</t>
        </is>
      </c>
      <c r="J77" s="27" t="inlineStr"/>
      <c r="K77" s="27" t="inlineStr"/>
      <c r="L77" s="231" t="n">
        <v>100</v>
      </c>
      <c r="M77" s="44" t="inlineStr">
        <is>
          <t>Product-F68D7468</t>
        </is>
      </c>
      <c r="N77" s="231" t="n">
        <v>1</v>
      </c>
      <c r="O77" s="236">
        <f>IFERROR(ROUND(计划落实!O77/计划!O77,5),0)</f>
        <v/>
      </c>
      <c r="P77" s="237">
        <f>IFERROR(ROUND(计划落实!P77/计划!P77,5),0)</f>
        <v/>
      </c>
      <c r="Q77" s="237">
        <f>IFERROR(ROUND(计划落实!Q77/计划!Q77,5),0)</f>
        <v/>
      </c>
      <c r="R77" s="237">
        <f>IFERROR(ROUND(计划落实!R77/计划!R77,5),0)</f>
        <v/>
      </c>
      <c r="S77" s="237">
        <f>IFERROR(ROUND(计划落实!S77/计划!S77,5),0)</f>
        <v/>
      </c>
      <c r="T77" s="237">
        <f>IFERROR(ROUND(计划落实!T77/计划!T77,5),0)</f>
        <v/>
      </c>
      <c r="U77" s="237">
        <f>IFERROR(ROUND(计划落实!U77/计划!U77,5),0)</f>
        <v/>
      </c>
      <c r="V77" s="237">
        <f>IFERROR(ROUND(计划落实!V77/计划!V77,5),0)</f>
        <v/>
      </c>
      <c r="W77" s="237">
        <f>IFERROR(ROUND(计划落实!W77/计划!W77,5),0)</f>
        <v/>
      </c>
      <c r="X77" s="237">
        <f>IFERROR(ROUND(计划落实!X77/计划!X77,5),0)</f>
        <v/>
      </c>
      <c r="Y77" s="237">
        <f>IFERROR(ROUND(计划落实!Y77/计划!Y77,5),0)</f>
        <v/>
      </c>
      <c r="Z77" s="237">
        <f>IFERROR(ROUND(计划落实!Z77/计划!Z77,5),0)</f>
        <v/>
      </c>
      <c r="AA77" s="237">
        <f>IFERROR(ROUND(计划落实!AA77/计划!AA77,5),0)</f>
        <v/>
      </c>
      <c r="AB77" s="237">
        <f>IFERROR(ROUND(计划落实!AB77/计划!AB77,5),0)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4" t="n"/>
      <c r="B78" s="231" t="inlineStr">
        <is>
          <t>SKU-01CFC7C8</t>
        </is>
      </c>
      <c r="C78" s="231" t="inlineStr">
        <is>
          <t>是</t>
        </is>
      </c>
      <c r="D78" s="231" t="n">
        <v>3</v>
      </c>
      <c r="E78" s="231" t="inlineStr">
        <is>
          <t>是</t>
        </is>
      </c>
      <c r="F78" s="231" t="inlineStr"/>
      <c r="G78" s="231" t="inlineStr"/>
      <c r="H78" s="231" t="inlineStr"/>
      <c r="I78" s="231" t="inlineStr">
        <is>
          <t>是</t>
        </is>
      </c>
      <c r="J78" s="27" t="inlineStr"/>
      <c r="K78" s="27" t="inlineStr"/>
      <c r="L78" s="231" t="n">
        <v>100</v>
      </c>
      <c r="M78" s="19" t="inlineStr">
        <is>
          <t>Product-1385CA82</t>
        </is>
      </c>
      <c r="N78" s="231" t="n">
        <v>1</v>
      </c>
      <c r="O78" s="236">
        <f>IFERROR(ROUND(计划落实!O78/计划!O78,5),0)</f>
        <v/>
      </c>
      <c r="P78" s="237">
        <f>IFERROR(ROUND(计划落实!P78/计划!P78,5),0)</f>
        <v/>
      </c>
      <c r="Q78" s="237">
        <f>IFERROR(ROUND(计划落实!Q78/计划!Q78,5),0)</f>
        <v/>
      </c>
      <c r="R78" s="237">
        <f>IFERROR(ROUND(计划落实!R78/计划!R78,5),0)</f>
        <v/>
      </c>
      <c r="S78" s="237">
        <f>IFERROR(ROUND(计划落实!S78/计划!S78,5),0)</f>
        <v/>
      </c>
      <c r="T78" s="237">
        <f>IFERROR(ROUND(计划落实!T78/计划!T78,5),0)</f>
        <v/>
      </c>
      <c r="U78" s="237">
        <f>IFERROR(ROUND(计划落实!U78/计划!U78,5),0)</f>
        <v/>
      </c>
      <c r="V78" s="237">
        <f>IFERROR(ROUND(计划落实!V78/计划!V78,5),0)</f>
        <v/>
      </c>
      <c r="W78" s="237">
        <f>IFERROR(ROUND(计划落实!W78/计划!W78,5),0)</f>
        <v/>
      </c>
      <c r="X78" s="237">
        <f>IFERROR(ROUND(计划落实!X78/计划!X78,5),0)</f>
        <v/>
      </c>
      <c r="Y78" s="237">
        <f>IFERROR(ROUND(计划落实!Y78/计划!Y78,5),0)</f>
        <v/>
      </c>
      <c r="Z78" s="237">
        <f>IFERROR(ROUND(计划落实!Z78/计划!Z78,5),0)</f>
        <v/>
      </c>
      <c r="AA78" s="237">
        <f>IFERROR(ROUND(计划落实!AA78/计划!AA78,5),0)</f>
        <v/>
      </c>
      <c r="AB78" s="237">
        <f>IFERROR(ROUND(计划落实!AB78/计划!AB78,5),0)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4" t="n"/>
      <c r="B79" s="231" t="inlineStr">
        <is>
          <t>SKU-3BC6D3D6</t>
        </is>
      </c>
      <c r="C79" s="231" t="inlineStr">
        <is>
          <t>是</t>
        </is>
      </c>
      <c r="D79" s="231" t="n">
        <v>10</v>
      </c>
      <c r="E79" s="231" t="inlineStr"/>
      <c r="F79" s="231" t="inlineStr"/>
      <c r="G79" s="231" t="inlineStr"/>
      <c r="H79" s="231" t="inlineStr"/>
      <c r="I79" s="231" t="inlineStr"/>
      <c r="J79" s="27" t="inlineStr"/>
      <c r="K79" s="27" t="inlineStr"/>
      <c r="L79" s="231" t="n">
        <v>100</v>
      </c>
      <c r="M79" s="19" t="inlineStr">
        <is>
          <t>Product-7FD02DE1</t>
        </is>
      </c>
      <c r="N79" s="231" t="n">
        <v>2</v>
      </c>
      <c r="O79" s="236">
        <f>IFERROR(ROUND(计划落实!O79/计划!O79,5),0)</f>
        <v/>
      </c>
      <c r="P79" s="237">
        <f>IFERROR(ROUND(计划落实!P79/计划!P79,5),0)</f>
        <v/>
      </c>
      <c r="Q79" s="237">
        <f>IFERROR(ROUND(计划落实!Q79/计划!Q79,5),0)</f>
        <v/>
      </c>
      <c r="R79" s="237">
        <f>IFERROR(ROUND(计划落实!R79/计划!R79,5),0)</f>
        <v/>
      </c>
      <c r="S79" s="237">
        <f>IFERROR(ROUND(计划落实!S79/计划!S79,5),0)</f>
        <v/>
      </c>
      <c r="T79" s="237">
        <f>IFERROR(ROUND(计划落实!T79/计划!T79,5),0)</f>
        <v/>
      </c>
      <c r="U79" s="237">
        <f>IFERROR(ROUND(计划落实!U79/计划!U79,5),0)</f>
        <v/>
      </c>
      <c r="V79" s="237">
        <f>IFERROR(ROUND(计划落实!V79/计划!V79,5),0)</f>
        <v/>
      </c>
      <c r="W79" s="237">
        <f>IFERROR(ROUND(计划落实!W79/计划!W79,5),0)</f>
        <v/>
      </c>
      <c r="X79" s="237">
        <f>IFERROR(ROUND(计划落实!X79/计划!X79,5),0)</f>
        <v/>
      </c>
      <c r="Y79" s="237">
        <f>IFERROR(ROUND(计划落实!Y79/计划!Y79,5),0)</f>
        <v/>
      </c>
      <c r="Z79" s="237">
        <f>IFERROR(ROUND(计划落实!Z79/计划!Z79,5),0)</f>
        <v/>
      </c>
      <c r="AA79" s="237">
        <f>IFERROR(ROUND(计划落实!AA79/计划!AA79,5),0)</f>
        <v/>
      </c>
      <c r="AB79" s="237">
        <f>IFERROR(ROUND(计划落实!AB79/计划!AB79,5),0)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5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239">
        <f>IFERROR(ROUND(计划落实!O80/计划!O80,5),0)</f>
        <v/>
      </c>
      <c r="P80" s="239">
        <f>IFERROR(ROUND(计划落实!P80/计划!P80,5),0)</f>
        <v/>
      </c>
      <c r="Q80" s="239">
        <f>IFERROR(ROUND(计划落实!Q80/计划!Q80,5),0)</f>
        <v/>
      </c>
      <c r="R80" s="239">
        <f>IFERROR(ROUND(计划落实!R80/计划!R80,5),0)</f>
        <v/>
      </c>
      <c r="S80" s="239">
        <f>IFERROR(ROUND(计划落实!S80/计划!S80,5),0)</f>
        <v/>
      </c>
      <c r="T80" s="239">
        <f>IFERROR(ROUND(计划落实!T80/计划!T80,5),0)</f>
        <v/>
      </c>
      <c r="U80" s="239">
        <f>IFERROR(ROUND(计划落实!U80/计划!U80,5),0)</f>
        <v/>
      </c>
      <c r="V80" s="239">
        <f>IFERROR(ROUND(计划落实!V80/计划!V80,5),0)</f>
        <v/>
      </c>
      <c r="W80" s="239">
        <f>IFERROR(ROUND(计划落实!W80/计划!W80,5),0)</f>
        <v/>
      </c>
      <c r="X80" s="239">
        <f>IFERROR(ROUND(计划落实!X80/计划!X80,5),0)</f>
        <v/>
      </c>
      <c r="Y80" s="239">
        <f>IFERROR(ROUND(计划落实!Y80/计划!Y80,5),0)</f>
        <v/>
      </c>
      <c r="Z80" s="239">
        <f>IFERROR(ROUND(计划落实!Z80/计划!Z80,5),0)</f>
        <v/>
      </c>
      <c r="AA80" s="239">
        <f>IFERROR(ROUND(计划落实!AA80/计划!AA80,5),0)</f>
        <v/>
      </c>
      <c r="AB80" s="239">
        <f>IFERROR(ROUND(计划落实!AB80/计划!AB80,5),0)</f>
        <v/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31" t="inlineStr">
        <is>
          <t>SKU-2379F692</t>
        </is>
      </c>
      <c r="C81" s="231" t="inlineStr"/>
      <c r="D81" s="231" t="n">
        <v>8</v>
      </c>
      <c r="E81" s="231" t="inlineStr">
        <is>
          <t>是</t>
        </is>
      </c>
      <c r="F81" s="231" t="inlineStr"/>
      <c r="G81" s="231" t="inlineStr"/>
      <c r="H81" s="231" t="inlineStr">
        <is>
          <t>是</t>
        </is>
      </c>
      <c r="I81" s="231" t="inlineStr">
        <is>
          <t>是</t>
        </is>
      </c>
      <c r="J81" s="27" t="inlineStr"/>
      <c r="K81" s="27" t="inlineStr"/>
      <c r="L81" s="231" t="n">
        <v>100</v>
      </c>
      <c r="M81" s="19" t="inlineStr">
        <is>
          <t>Product-1E77ED33</t>
        </is>
      </c>
      <c r="N81" s="231" t="n">
        <v>1</v>
      </c>
      <c r="O81" s="236">
        <f>IFERROR(ROUND(计划落实!O81/计划!O81,5),0)</f>
        <v/>
      </c>
      <c r="P81" s="237">
        <f>IFERROR(ROUND(计划落实!P81/计划!P81,5),0)</f>
        <v/>
      </c>
      <c r="Q81" s="237">
        <f>IFERROR(ROUND(计划落实!Q81/计划!Q81,5),0)</f>
        <v/>
      </c>
      <c r="R81" s="237">
        <f>IFERROR(ROUND(计划落实!R81/计划!R81,5),0)</f>
        <v/>
      </c>
      <c r="S81" s="237">
        <f>IFERROR(ROUND(计划落实!S81/计划!S81,5),0)</f>
        <v/>
      </c>
      <c r="T81" s="237">
        <f>IFERROR(ROUND(计划落实!T81/计划!T81,5),0)</f>
        <v/>
      </c>
      <c r="U81" s="237">
        <f>IFERROR(ROUND(计划落实!U81/计划!U81,5),0)</f>
        <v/>
      </c>
      <c r="V81" s="237">
        <f>IFERROR(ROUND(计划落实!V81/计划!V81,5),0)</f>
        <v/>
      </c>
      <c r="W81" s="237">
        <f>IFERROR(ROUND(计划落实!W81/计划!W81,5),0)</f>
        <v/>
      </c>
      <c r="X81" s="237">
        <f>IFERROR(ROUND(计划落实!X81/计划!X81,5),0)</f>
        <v/>
      </c>
      <c r="Y81" s="237">
        <f>IFERROR(ROUND(计划落实!Y81/计划!Y81,5),0)</f>
        <v/>
      </c>
      <c r="Z81" s="237">
        <f>IFERROR(ROUND(计划落实!Z81/计划!Z81,5),0)</f>
        <v/>
      </c>
      <c r="AA81" s="237">
        <f>IFERROR(ROUND(计划落实!AA81/计划!AA81,5),0)</f>
        <v/>
      </c>
      <c r="AB81" s="237">
        <f>IFERROR(ROUND(计划落实!AB81/计划!AB81,5),0)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4" t="n"/>
      <c r="B82" s="231" t="inlineStr">
        <is>
          <t>SKU-F2B0F984</t>
        </is>
      </c>
      <c r="C82" s="231" t="inlineStr"/>
      <c r="D82" s="231" t="n">
        <v>10</v>
      </c>
      <c r="E82" s="231" t="inlineStr"/>
      <c r="F82" s="231" t="inlineStr"/>
      <c r="G82" s="231" t="inlineStr"/>
      <c r="H82" s="231" t="inlineStr"/>
      <c r="I82" s="231" t="inlineStr"/>
      <c r="J82" s="27" t="inlineStr"/>
      <c r="K82" s="27" t="inlineStr"/>
      <c r="L82" s="231" t="n">
        <v>100</v>
      </c>
      <c r="M82" s="19" t="inlineStr">
        <is>
          <t>Product-BB38CDED</t>
        </is>
      </c>
      <c r="N82" s="231" t="n">
        <v>1</v>
      </c>
      <c r="O82" s="236">
        <f>IFERROR(ROUND(计划落实!O82/计划!O82,5),0)</f>
        <v/>
      </c>
      <c r="P82" s="237">
        <f>IFERROR(ROUND(计划落实!P82/计划!P82,5),0)</f>
        <v/>
      </c>
      <c r="Q82" s="237">
        <f>IFERROR(ROUND(计划落实!Q82/计划!Q82,5),0)</f>
        <v/>
      </c>
      <c r="R82" s="237">
        <f>IFERROR(ROUND(计划落实!R82/计划!R82,5),0)</f>
        <v/>
      </c>
      <c r="S82" s="237">
        <f>IFERROR(ROUND(计划落实!S82/计划!S82,5),0)</f>
        <v/>
      </c>
      <c r="T82" s="237">
        <f>IFERROR(ROUND(计划落实!T82/计划!T82,5),0)</f>
        <v/>
      </c>
      <c r="U82" s="237">
        <f>IFERROR(ROUND(计划落实!U82/计划!U82,5),0)</f>
        <v/>
      </c>
      <c r="V82" s="237">
        <f>IFERROR(ROUND(计划落实!V82/计划!V82,5),0)</f>
        <v/>
      </c>
      <c r="W82" s="237">
        <f>IFERROR(ROUND(计划落实!W82/计划!W82,5),0)</f>
        <v/>
      </c>
      <c r="X82" s="237">
        <f>IFERROR(ROUND(计划落实!X82/计划!X82,5),0)</f>
        <v/>
      </c>
      <c r="Y82" s="237">
        <f>IFERROR(ROUND(计划落实!Y82/计划!Y82,5),0)</f>
        <v/>
      </c>
      <c r="Z82" s="237">
        <f>IFERROR(ROUND(计划落实!Z82/计划!Z82,5),0)</f>
        <v/>
      </c>
      <c r="AA82" s="237">
        <f>IFERROR(ROUND(计划落实!AA82/计划!AA82,5),0)</f>
        <v/>
      </c>
      <c r="AB82" s="237">
        <f>IFERROR(ROUND(计划落实!AB82/计划!AB82,5),0)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5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239">
        <f>IFERROR(ROUND(计划落实!O83/计划!O83,5),0)</f>
        <v/>
      </c>
      <c r="P83" s="239">
        <f>IFERROR(ROUND(计划落实!P83/计划!P83,5),0)</f>
        <v/>
      </c>
      <c r="Q83" s="239">
        <f>IFERROR(ROUND(计划落实!Q83/计划!Q83,5),0)</f>
        <v/>
      </c>
      <c r="R83" s="239">
        <f>IFERROR(ROUND(计划落实!R83/计划!R83,5),0)</f>
        <v/>
      </c>
      <c r="S83" s="239">
        <f>IFERROR(ROUND(计划落实!S83/计划!S83,5),0)</f>
        <v/>
      </c>
      <c r="T83" s="239">
        <f>IFERROR(ROUND(计划落实!T83/计划!T83,5),0)</f>
        <v/>
      </c>
      <c r="U83" s="239">
        <f>IFERROR(ROUND(计划落实!U83/计划!U83,5),0)</f>
        <v/>
      </c>
      <c r="V83" s="239">
        <f>IFERROR(ROUND(计划落实!V83/计划!V83,5),0)</f>
        <v/>
      </c>
      <c r="W83" s="239">
        <f>IFERROR(ROUND(计划落实!W83/计划!W83,5),0)</f>
        <v/>
      </c>
      <c r="X83" s="239">
        <f>IFERROR(ROUND(计划落实!X83/计划!X83,5),0)</f>
        <v/>
      </c>
      <c r="Y83" s="239">
        <f>IFERROR(ROUND(计划落实!Y83/计划!Y83,5),0)</f>
        <v/>
      </c>
      <c r="Z83" s="239">
        <f>IFERROR(ROUND(计划落实!Z83/计划!Z83,5),0)</f>
        <v/>
      </c>
      <c r="AA83" s="239">
        <f>IFERROR(ROUND(计划落实!AA83/计划!AA83,5),0)</f>
        <v/>
      </c>
      <c r="AB83" s="239">
        <f>IFERROR(ROUND(计划落实!AB83/计划!AB83,5),0)</f>
        <v/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239">
        <f>IFERROR(ROUND(计划落实!O84/计划!O84,5),0)</f>
        <v/>
      </c>
      <c r="P84" s="239">
        <f>IFERROR(ROUND(计划落实!P84/计划!P84,5),0)</f>
        <v/>
      </c>
      <c r="Q84" s="239">
        <f>IFERROR(ROUND(计划落实!Q84/计划!Q84,5),0)</f>
        <v/>
      </c>
      <c r="R84" s="239">
        <f>IFERROR(ROUND(计划落实!R84/计划!R84,5),0)</f>
        <v/>
      </c>
      <c r="S84" s="239">
        <f>IFERROR(ROUND(计划落实!S84/计划!S84,5),0)</f>
        <v/>
      </c>
      <c r="T84" s="239">
        <f>IFERROR(ROUND(计划落实!T84/计划!T84,5),0)</f>
        <v/>
      </c>
      <c r="U84" s="239">
        <f>IFERROR(ROUND(计划落实!U84/计划!U84,5),0)</f>
        <v/>
      </c>
      <c r="V84" s="239">
        <f>IFERROR(ROUND(计划落实!V84/计划!V84,5),0)</f>
        <v/>
      </c>
      <c r="W84" s="239">
        <f>IFERROR(ROUND(计划落实!W84/计划!W84,5),0)</f>
        <v/>
      </c>
      <c r="X84" s="239">
        <f>IFERROR(ROUND(计划落实!X84/计划!X84,5),0)</f>
        <v/>
      </c>
      <c r="Y84" s="239">
        <f>IFERROR(ROUND(计划落实!Y84/计划!Y84,5),0)</f>
        <v/>
      </c>
      <c r="Z84" s="239">
        <f>IFERROR(ROUND(计划落实!Z84/计划!Z84,5),0)</f>
        <v/>
      </c>
      <c r="AA84" s="239">
        <f>IFERROR(ROUND(计划落实!AA84/计划!AA84,5),0)</f>
        <v/>
      </c>
      <c r="AB84" s="239">
        <f>IFERROR(ROUND(计划落实!AB84/计划!AB84,5),0)</f>
        <v/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31" t="inlineStr">
        <is>
          <t>SKU-8A01A251</t>
        </is>
      </c>
      <c r="C85" s="231" t="inlineStr">
        <is>
          <t>是</t>
        </is>
      </c>
      <c r="D85" s="231" t="n">
        <v>11</v>
      </c>
      <c r="E85" s="231" t="inlineStr"/>
      <c r="F85" s="231" t="inlineStr"/>
      <c r="G85" s="231" t="inlineStr"/>
      <c r="H85" s="231" t="inlineStr"/>
      <c r="I85" s="231" t="inlineStr"/>
      <c r="J85" s="27" t="inlineStr"/>
      <c r="K85" s="27" t="inlineStr"/>
      <c r="L85" s="231" t="n">
        <v>100</v>
      </c>
      <c r="M85" s="33" t="inlineStr">
        <is>
          <t>Product-E520A49A</t>
        </is>
      </c>
      <c r="N85" s="231" t="n">
        <v>2</v>
      </c>
      <c r="O85" s="236">
        <f>IFERROR(ROUND(计划落实!O85/计划!O85,5),0)</f>
        <v/>
      </c>
      <c r="P85" s="237">
        <f>IFERROR(ROUND(计划落实!P85/计划!P85,5),0)</f>
        <v/>
      </c>
      <c r="Q85" s="237">
        <f>IFERROR(ROUND(计划落实!Q85/计划!Q85,5),0)</f>
        <v/>
      </c>
      <c r="R85" s="237">
        <f>IFERROR(ROUND(计划落实!R85/计划!R85,5),0)</f>
        <v/>
      </c>
      <c r="S85" s="237">
        <f>IFERROR(ROUND(计划落实!S85/计划!S85,5),0)</f>
        <v/>
      </c>
      <c r="T85" s="237">
        <f>IFERROR(ROUND(计划落实!T85/计划!T85,5),0)</f>
        <v/>
      </c>
      <c r="U85" s="237">
        <f>IFERROR(ROUND(计划落实!U85/计划!U85,5),0)</f>
        <v/>
      </c>
      <c r="V85" s="237">
        <f>IFERROR(ROUND(计划落实!V85/计划!V85,5),0)</f>
        <v/>
      </c>
      <c r="W85" s="237">
        <f>IFERROR(ROUND(计划落实!W85/计划!W85,5),0)</f>
        <v/>
      </c>
      <c r="X85" s="237">
        <f>IFERROR(ROUND(计划落实!X85/计划!X85,5),0)</f>
        <v/>
      </c>
      <c r="Y85" s="237">
        <f>IFERROR(ROUND(计划落实!Y85/计划!Y85,5),0)</f>
        <v/>
      </c>
      <c r="Z85" s="237">
        <f>IFERROR(ROUND(计划落实!Z85/计划!Z85,5),0)</f>
        <v/>
      </c>
      <c r="AA85" s="237">
        <f>IFERROR(ROUND(计划落实!AA85/计划!AA85,5),0)</f>
        <v/>
      </c>
      <c r="AB85" s="237">
        <f>IFERROR(ROUND(计划落实!AB85/计划!AB85,5),0)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4" t="n"/>
      <c r="B86" s="231" t="inlineStr">
        <is>
          <t>SKU-F12BD851</t>
        </is>
      </c>
      <c r="C86" s="231" t="inlineStr">
        <is>
          <t>是</t>
        </is>
      </c>
      <c r="D86" s="231" t="n">
        <v>11</v>
      </c>
      <c r="E86" s="231" t="inlineStr"/>
      <c r="F86" s="231" t="inlineStr"/>
      <c r="G86" s="231" t="inlineStr"/>
      <c r="H86" s="231" t="inlineStr"/>
      <c r="I86" s="231" t="inlineStr"/>
      <c r="J86" s="27" t="inlineStr">
        <is>
          <t>共</t>
        </is>
      </c>
      <c r="K86" s="27" t="inlineStr"/>
      <c r="L86" s="231" t="n">
        <v>100</v>
      </c>
      <c r="M86" s="19" t="inlineStr">
        <is>
          <t>Product-C8CC2E46</t>
        </is>
      </c>
      <c r="N86" s="231" t="n">
        <v>2</v>
      </c>
      <c r="O86" s="236">
        <f>IFERROR(ROUND(计划落实!O86/计划!O86,5),0)</f>
        <v/>
      </c>
      <c r="P86" s="237">
        <f>IFERROR(ROUND(计划落实!P86/计划!P86,5),0)</f>
        <v/>
      </c>
      <c r="Q86" s="237">
        <f>IFERROR(ROUND(计划落实!Q86/计划!Q86,5),0)</f>
        <v/>
      </c>
      <c r="R86" s="237">
        <f>IFERROR(ROUND(计划落实!R86/计划!R86,5),0)</f>
        <v/>
      </c>
      <c r="S86" s="237">
        <f>IFERROR(ROUND(计划落实!S86/计划!S86,5),0)</f>
        <v/>
      </c>
      <c r="T86" s="237">
        <f>IFERROR(ROUND(计划落实!T86/计划!T86,5),0)</f>
        <v/>
      </c>
      <c r="U86" s="237">
        <f>IFERROR(ROUND(计划落实!U86/计划!U86,5),0)</f>
        <v/>
      </c>
      <c r="V86" s="237">
        <f>IFERROR(ROUND(计划落实!V86/计划!V86,5),0)</f>
        <v/>
      </c>
      <c r="W86" s="237">
        <f>IFERROR(ROUND(计划落实!W86/计划!W86,5),0)</f>
        <v/>
      </c>
      <c r="X86" s="237">
        <f>IFERROR(ROUND(计划落实!X86/计划!X86,5),0)</f>
        <v/>
      </c>
      <c r="Y86" s="237">
        <f>IFERROR(ROUND(计划落实!Y86/计划!Y86,5),0)</f>
        <v/>
      </c>
      <c r="Z86" s="237">
        <f>IFERROR(ROUND(计划落实!Z86/计划!Z86,5),0)</f>
        <v/>
      </c>
      <c r="AA86" s="237">
        <f>IFERROR(ROUND(计划落实!AA86/计划!AA86,5),0)</f>
        <v/>
      </c>
      <c r="AB86" s="237">
        <f>IFERROR(ROUND(计划落实!AB86/计划!AB86,5),0)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4" t="n"/>
      <c r="B87" s="231" t="inlineStr">
        <is>
          <t>SKU-FBC6A90A</t>
        </is>
      </c>
      <c r="C87" s="231" t="inlineStr">
        <is>
          <t>是</t>
        </is>
      </c>
      <c r="D87" s="231" t="n">
        <v>11</v>
      </c>
      <c r="E87" s="231" t="inlineStr"/>
      <c r="F87" s="231" t="inlineStr"/>
      <c r="G87" s="231" t="inlineStr"/>
      <c r="H87" s="231" t="inlineStr"/>
      <c r="I87" s="231" t="inlineStr"/>
      <c r="J87" s="27" t="inlineStr"/>
      <c r="K87" s="27" t="inlineStr"/>
      <c r="L87" s="231" t="n">
        <v>100</v>
      </c>
      <c r="M87" s="44" t="inlineStr">
        <is>
          <t>Product-6215959E</t>
        </is>
      </c>
      <c r="N87" s="231" t="n">
        <v>1</v>
      </c>
      <c r="O87" s="236">
        <f>IFERROR(ROUND(计划落实!O87/计划!O87,5),0)</f>
        <v/>
      </c>
      <c r="P87" s="237">
        <f>IFERROR(ROUND(计划落实!P87/计划!P87,5),0)</f>
        <v/>
      </c>
      <c r="Q87" s="237">
        <f>IFERROR(ROUND(计划落实!Q87/计划!Q87,5),0)</f>
        <v/>
      </c>
      <c r="R87" s="237">
        <f>IFERROR(ROUND(计划落实!R87/计划!R87,5),0)</f>
        <v/>
      </c>
      <c r="S87" s="237">
        <f>IFERROR(ROUND(计划落实!S87/计划!S87,5),0)</f>
        <v/>
      </c>
      <c r="T87" s="237">
        <f>IFERROR(ROUND(计划落实!T87/计划!T87,5),0)</f>
        <v/>
      </c>
      <c r="U87" s="237">
        <f>IFERROR(ROUND(计划落实!U87/计划!U87,5),0)</f>
        <v/>
      </c>
      <c r="V87" s="237">
        <f>IFERROR(ROUND(计划落实!V87/计划!V87,5),0)</f>
        <v/>
      </c>
      <c r="W87" s="237">
        <f>IFERROR(ROUND(计划落实!W87/计划!W87,5),0)</f>
        <v/>
      </c>
      <c r="X87" s="237">
        <f>IFERROR(ROUND(计划落实!X87/计划!X87,5),0)</f>
        <v/>
      </c>
      <c r="Y87" s="237">
        <f>IFERROR(ROUND(计划落实!Y87/计划!Y87,5),0)</f>
        <v/>
      </c>
      <c r="Z87" s="237">
        <f>IFERROR(ROUND(计划落实!Z87/计划!Z87,5),0)</f>
        <v/>
      </c>
      <c r="AA87" s="237">
        <f>IFERROR(ROUND(计划落实!AA87/计划!AA87,5),0)</f>
        <v/>
      </c>
      <c r="AB87" s="237">
        <f>IFERROR(ROUND(计划落实!AB87/计划!AB87,5),0)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4" t="n"/>
      <c r="B88" s="231" t="inlineStr">
        <is>
          <t>SKU-8D50A17D</t>
        </is>
      </c>
      <c r="C88" s="231" t="inlineStr">
        <is>
          <t>是</t>
        </is>
      </c>
      <c r="D88" s="231" t="n">
        <v>5</v>
      </c>
      <c r="E88" s="231" t="inlineStr">
        <is>
          <t>是</t>
        </is>
      </c>
      <c r="F88" s="231" t="inlineStr"/>
      <c r="G88" s="231" t="inlineStr"/>
      <c r="H88" s="231" t="inlineStr"/>
      <c r="I88" s="231" t="inlineStr">
        <is>
          <t>是</t>
        </is>
      </c>
      <c r="J88" s="27" t="inlineStr">
        <is>
          <t>共</t>
        </is>
      </c>
      <c r="K88" s="27" t="inlineStr"/>
      <c r="L88" s="231" t="n">
        <v>100</v>
      </c>
      <c r="M88" s="19" t="inlineStr">
        <is>
          <t>Product-33956506</t>
        </is>
      </c>
      <c r="N88" s="231" t="n">
        <v>1</v>
      </c>
      <c r="O88" s="236">
        <f>IFERROR(ROUND(计划落实!O88/计划!O88,5),0)</f>
        <v/>
      </c>
      <c r="P88" s="237">
        <f>IFERROR(ROUND(计划落实!P88/计划!P88,5),0)</f>
        <v/>
      </c>
      <c r="Q88" s="237">
        <f>IFERROR(ROUND(计划落实!Q88/计划!Q88,5),0)</f>
        <v/>
      </c>
      <c r="R88" s="237">
        <f>IFERROR(ROUND(计划落实!R88/计划!R88,5),0)</f>
        <v/>
      </c>
      <c r="S88" s="237">
        <f>IFERROR(ROUND(计划落实!S88/计划!S88,5),0)</f>
        <v/>
      </c>
      <c r="T88" s="237">
        <f>IFERROR(ROUND(计划落实!T88/计划!T88,5),0)</f>
        <v/>
      </c>
      <c r="U88" s="237">
        <f>IFERROR(ROUND(计划落实!U88/计划!U88,5),0)</f>
        <v/>
      </c>
      <c r="V88" s="237">
        <f>IFERROR(ROUND(计划落实!V88/计划!V88,5),0)</f>
        <v/>
      </c>
      <c r="W88" s="237">
        <f>IFERROR(ROUND(计划落实!W88/计划!W88,5),0)</f>
        <v/>
      </c>
      <c r="X88" s="237">
        <f>IFERROR(ROUND(计划落实!X88/计划!X88,5),0)</f>
        <v/>
      </c>
      <c r="Y88" s="237">
        <f>IFERROR(ROUND(计划落实!Y88/计划!Y88,5),0)</f>
        <v/>
      </c>
      <c r="Z88" s="237">
        <f>IFERROR(ROUND(计划落实!Z88/计划!Z88,5),0)</f>
        <v/>
      </c>
      <c r="AA88" s="237">
        <f>IFERROR(ROUND(计划落实!AA88/计划!AA88,5),0)</f>
        <v/>
      </c>
      <c r="AB88" s="237">
        <f>IFERROR(ROUND(计划落实!AB88/计划!AB88,5),0)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4" t="n"/>
      <c r="B89" s="231" t="inlineStr">
        <is>
          <t>SKU-685DD3D2</t>
        </is>
      </c>
      <c r="C89" s="231" t="inlineStr">
        <is>
          <t>是</t>
        </is>
      </c>
      <c r="D89" s="231" t="n">
        <v>6</v>
      </c>
      <c r="E89" s="231" t="inlineStr">
        <is>
          <t>是</t>
        </is>
      </c>
      <c r="F89" s="231" t="inlineStr"/>
      <c r="G89" s="231" t="inlineStr"/>
      <c r="H89" s="231" t="inlineStr"/>
      <c r="I89" s="231" t="inlineStr">
        <is>
          <t>是</t>
        </is>
      </c>
      <c r="J89" s="27" t="inlineStr">
        <is>
          <t>共</t>
        </is>
      </c>
      <c r="K89" s="27" t="inlineStr"/>
      <c r="L89" s="231" t="n">
        <v>100</v>
      </c>
      <c r="M89" s="19" t="inlineStr">
        <is>
          <t>Product-F61FD83C</t>
        </is>
      </c>
      <c r="N89" s="231" t="n">
        <v>1</v>
      </c>
      <c r="O89" s="236">
        <f>IFERROR(ROUND(计划落实!O89/计划!O89,5),0)</f>
        <v/>
      </c>
      <c r="P89" s="237">
        <f>IFERROR(ROUND(计划落实!P89/计划!P89,5),0)</f>
        <v/>
      </c>
      <c r="Q89" s="237">
        <f>IFERROR(ROUND(计划落实!Q89/计划!Q89,5),0)</f>
        <v/>
      </c>
      <c r="R89" s="237">
        <f>IFERROR(ROUND(计划落实!R89/计划!R89,5),0)</f>
        <v/>
      </c>
      <c r="S89" s="237">
        <f>IFERROR(ROUND(计划落实!S89/计划!S89,5),0)</f>
        <v/>
      </c>
      <c r="T89" s="237">
        <f>IFERROR(ROUND(计划落实!T89/计划!T89,5),0)</f>
        <v/>
      </c>
      <c r="U89" s="237">
        <f>IFERROR(ROUND(计划落实!U89/计划!U89,5),0)</f>
        <v/>
      </c>
      <c r="V89" s="237">
        <f>IFERROR(ROUND(计划落实!V89/计划!V89,5),0)</f>
        <v/>
      </c>
      <c r="W89" s="237">
        <f>IFERROR(ROUND(计划落实!W89/计划!W89,5),0)</f>
        <v/>
      </c>
      <c r="X89" s="237">
        <f>IFERROR(ROUND(计划落实!X89/计划!X89,5),0)</f>
        <v/>
      </c>
      <c r="Y89" s="237">
        <f>IFERROR(ROUND(计划落实!Y89/计划!Y89,5),0)</f>
        <v/>
      </c>
      <c r="Z89" s="237">
        <f>IFERROR(ROUND(计划落实!Z89/计划!Z89,5),0)</f>
        <v/>
      </c>
      <c r="AA89" s="237">
        <f>IFERROR(ROUND(计划落实!AA89/计划!AA89,5),0)</f>
        <v/>
      </c>
      <c r="AB89" s="237">
        <f>IFERROR(ROUND(计划落实!AB89/计划!AB89,5),0)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4" t="n"/>
      <c r="B90" s="231" t="inlineStr">
        <is>
          <t>SKU-55E23DA5</t>
        </is>
      </c>
      <c r="C90" s="231" t="inlineStr">
        <is>
          <t>是</t>
        </is>
      </c>
      <c r="D90" s="231" t="n">
        <v>8</v>
      </c>
      <c r="E90" s="231" t="inlineStr">
        <is>
          <t>是</t>
        </is>
      </c>
      <c r="F90" s="231" t="inlineStr"/>
      <c r="G90" s="231" t="inlineStr"/>
      <c r="H90" s="231" t="inlineStr"/>
      <c r="I90" s="231" t="inlineStr">
        <is>
          <t>是</t>
        </is>
      </c>
      <c r="J90" s="27" t="inlineStr">
        <is>
          <t>共</t>
        </is>
      </c>
      <c r="K90" s="27" t="inlineStr"/>
      <c r="L90" s="231" t="n">
        <v>100</v>
      </c>
      <c r="M90" s="19" t="inlineStr">
        <is>
          <t>Product-7D170E46</t>
        </is>
      </c>
      <c r="N90" s="231" t="n">
        <v>2</v>
      </c>
      <c r="O90" s="236">
        <f>IFERROR(ROUND(计划落实!O90/计划!O90,5),0)</f>
        <v/>
      </c>
      <c r="P90" s="237">
        <f>IFERROR(ROUND(计划落实!P90/计划!P90,5),0)</f>
        <v/>
      </c>
      <c r="Q90" s="237">
        <f>IFERROR(ROUND(计划落实!Q90/计划!Q90,5),0)</f>
        <v/>
      </c>
      <c r="R90" s="237">
        <f>IFERROR(ROUND(计划落实!R90/计划!R90,5),0)</f>
        <v/>
      </c>
      <c r="S90" s="237">
        <f>IFERROR(ROUND(计划落实!S90/计划!S90,5),0)</f>
        <v/>
      </c>
      <c r="T90" s="237">
        <f>IFERROR(ROUND(计划落实!T90/计划!T90,5),0)</f>
        <v/>
      </c>
      <c r="U90" s="237">
        <f>IFERROR(ROUND(计划落实!U90/计划!U90,5),0)</f>
        <v/>
      </c>
      <c r="V90" s="237">
        <f>IFERROR(ROUND(计划落实!V90/计划!V90,5),0)</f>
        <v/>
      </c>
      <c r="W90" s="237">
        <f>IFERROR(ROUND(计划落实!W90/计划!W90,5),0)</f>
        <v/>
      </c>
      <c r="X90" s="237">
        <f>IFERROR(ROUND(计划落实!X90/计划!X90,5),0)</f>
        <v/>
      </c>
      <c r="Y90" s="237">
        <f>IFERROR(ROUND(计划落实!Y90/计划!Y90,5),0)</f>
        <v/>
      </c>
      <c r="Z90" s="237">
        <f>IFERROR(ROUND(计划落实!Z90/计划!Z90,5),0)</f>
        <v/>
      </c>
      <c r="AA90" s="237">
        <f>IFERROR(ROUND(计划落实!AA90/计划!AA90,5),0)</f>
        <v/>
      </c>
      <c r="AB90" s="237">
        <f>IFERROR(ROUND(计划落实!AB90/计划!AB90,5),0)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4" t="n"/>
      <c r="B91" s="231" t="inlineStr">
        <is>
          <t>SKU-07310B8A</t>
        </is>
      </c>
      <c r="C91" s="231" t="inlineStr">
        <is>
          <t>是</t>
        </is>
      </c>
      <c r="D91" s="231" t="n">
        <v>5</v>
      </c>
      <c r="E91" s="231" t="inlineStr">
        <is>
          <t>是</t>
        </is>
      </c>
      <c r="F91" s="231" t="inlineStr"/>
      <c r="G91" s="231" t="inlineStr"/>
      <c r="H91" s="231" t="inlineStr"/>
      <c r="I91" s="231" t="inlineStr">
        <is>
          <t>是</t>
        </is>
      </c>
      <c r="J91" s="27" t="inlineStr">
        <is>
          <t>共</t>
        </is>
      </c>
      <c r="K91" s="27" t="inlineStr"/>
      <c r="L91" s="231" t="n">
        <v>100</v>
      </c>
      <c r="M91" s="19" t="inlineStr">
        <is>
          <t>Product-9FF55A7C</t>
        </is>
      </c>
      <c r="N91" s="231" t="n">
        <v>1</v>
      </c>
      <c r="O91" s="236">
        <f>IFERROR(ROUND(计划落实!O91/计划!O91,5),0)</f>
        <v/>
      </c>
      <c r="P91" s="237">
        <f>IFERROR(ROUND(计划落实!P91/计划!P91,5),0)</f>
        <v/>
      </c>
      <c r="Q91" s="237">
        <f>IFERROR(ROUND(计划落实!Q91/计划!Q91,5),0)</f>
        <v/>
      </c>
      <c r="R91" s="237">
        <f>IFERROR(ROUND(计划落实!R91/计划!R91,5),0)</f>
        <v/>
      </c>
      <c r="S91" s="237">
        <f>IFERROR(ROUND(计划落实!S91/计划!S91,5),0)</f>
        <v/>
      </c>
      <c r="T91" s="237">
        <f>IFERROR(ROUND(计划落实!T91/计划!T91,5),0)</f>
        <v/>
      </c>
      <c r="U91" s="237">
        <f>IFERROR(ROUND(计划落实!U91/计划!U91,5),0)</f>
        <v/>
      </c>
      <c r="V91" s="237">
        <f>IFERROR(ROUND(计划落实!V91/计划!V91,5),0)</f>
        <v/>
      </c>
      <c r="W91" s="237">
        <f>IFERROR(ROUND(计划落实!W91/计划!W91,5),0)</f>
        <v/>
      </c>
      <c r="X91" s="237">
        <f>IFERROR(ROUND(计划落实!X91/计划!X91,5),0)</f>
        <v/>
      </c>
      <c r="Y91" s="237">
        <f>IFERROR(ROUND(计划落实!Y91/计划!Y91,5),0)</f>
        <v/>
      </c>
      <c r="Z91" s="237">
        <f>IFERROR(ROUND(计划落实!Z91/计划!Z91,5),0)</f>
        <v/>
      </c>
      <c r="AA91" s="237">
        <f>IFERROR(ROUND(计划落实!AA91/计划!AA91,5),0)</f>
        <v/>
      </c>
      <c r="AB91" s="237">
        <f>IFERROR(ROUND(计划落实!AB91/计划!AB91,5),0)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4" t="n"/>
      <c r="B92" s="231" t="inlineStr">
        <is>
          <t>SKU-8EBE1AD6</t>
        </is>
      </c>
      <c r="C92" s="231" t="inlineStr">
        <is>
          <t>是</t>
        </is>
      </c>
      <c r="D92" s="231" t="n">
        <v>6</v>
      </c>
      <c r="E92" s="231" t="inlineStr">
        <is>
          <t>是</t>
        </is>
      </c>
      <c r="F92" s="231" t="inlineStr"/>
      <c r="G92" s="231" t="inlineStr"/>
      <c r="H92" s="231" t="inlineStr"/>
      <c r="I92" s="231" t="inlineStr">
        <is>
          <t>是</t>
        </is>
      </c>
      <c r="J92" s="27" t="inlineStr"/>
      <c r="K92" s="27" t="inlineStr"/>
      <c r="L92" s="231" t="n">
        <v>100</v>
      </c>
      <c r="M92" s="19" t="inlineStr">
        <is>
          <t>Product-9A6C9779</t>
        </is>
      </c>
      <c r="N92" s="231" t="n">
        <v>1</v>
      </c>
      <c r="O92" s="236">
        <f>IFERROR(ROUND(计划落实!O92/计划!O92,5),0)</f>
        <v/>
      </c>
      <c r="P92" s="237">
        <f>IFERROR(ROUND(计划落实!P92/计划!P92,5),0)</f>
        <v/>
      </c>
      <c r="Q92" s="237">
        <f>IFERROR(ROUND(计划落实!Q92/计划!Q92,5),0)</f>
        <v/>
      </c>
      <c r="R92" s="237">
        <f>IFERROR(ROUND(计划落实!R92/计划!R92,5),0)</f>
        <v/>
      </c>
      <c r="S92" s="237">
        <f>IFERROR(ROUND(计划落实!S92/计划!S92,5),0)</f>
        <v/>
      </c>
      <c r="T92" s="237">
        <f>IFERROR(ROUND(计划落实!T92/计划!T92,5),0)</f>
        <v/>
      </c>
      <c r="U92" s="237">
        <f>IFERROR(ROUND(计划落实!U92/计划!U92,5),0)</f>
        <v/>
      </c>
      <c r="V92" s="237">
        <f>IFERROR(ROUND(计划落实!V92/计划!V92,5),0)</f>
        <v/>
      </c>
      <c r="W92" s="237">
        <f>IFERROR(ROUND(计划落实!W92/计划!W92,5),0)</f>
        <v/>
      </c>
      <c r="X92" s="237">
        <f>IFERROR(ROUND(计划落实!X92/计划!X92,5),0)</f>
        <v/>
      </c>
      <c r="Y92" s="237">
        <f>IFERROR(ROUND(计划落实!Y92/计划!Y92,5),0)</f>
        <v/>
      </c>
      <c r="Z92" s="237">
        <f>IFERROR(ROUND(计划落实!Z92/计划!Z92,5),0)</f>
        <v/>
      </c>
      <c r="AA92" s="237">
        <f>IFERROR(ROUND(计划落实!AA92/计划!AA92,5),0)</f>
        <v/>
      </c>
      <c r="AB92" s="237">
        <f>IFERROR(ROUND(计划落实!AB92/计划!AB92,5),0)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4" t="n"/>
      <c r="B93" s="231" t="inlineStr">
        <is>
          <t>SKU-06D5C6B5</t>
        </is>
      </c>
      <c r="C93" s="231" t="inlineStr">
        <is>
          <t>是</t>
        </is>
      </c>
      <c r="D93" s="231" t="n">
        <v>11</v>
      </c>
      <c r="E93" s="231" t="inlineStr"/>
      <c r="F93" s="231" t="inlineStr"/>
      <c r="G93" s="231" t="inlineStr"/>
      <c r="H93" s="231" t="inlineStr"/>
      <c r="I93" s="231" t="inlineStr"/>
      <c r="J93" s="27" t="inlineStr">
        <is>
          <t>共</t>
        </is>
      </c>
      <c r="K93" s="27" t="inlineStr"/>
      <c r="L93" s="231" t="n">
        <v>100</v>
      </c>
      <c r="M93" s="19" t="inlineStr">
        <is>
          <t>Product-79046E1F</t>
        </is>
      </c>
      <c r="N93" s="231" t="n">
        <v>1</v>
      </c>
      <c r="O93" s="236">
        <f>IFERROR(ROUND(计划落实!O93/计划!O93,5),0)</f>
        <v/>
      </c>
      <c r="P93" s="237">
        <f>IFERROR(ROUND(计划落实!P93/计划!P93,5),0)</f>
        <v/>
      </c>
      <c r="Q93" s="237">
        <f>IFERROR(ROUND(计划落实!Q93/计划!Q93,5),0)</f>
        <v/>
      </c>
      <c r="R93" s="237">
        <f>IFERROR(ROUND(计划落实!R93/计划!R93,5),0)</f>
        <v/>
      </c>
      <c r="S93" s="237">
        <f>IFERROR(ROUND(计划落实!S93/计划!S93,5),0)</f>
        <v/>
      </c>
      <c r="T93" s="237">
        <f>IFERROR(ROUND(计划落实!T93/计划!T93,5),0)</f>
        <v/>
      </c>
      <c r="U93" s="237">
        <f>IFERROR(ROUND(计划落实!U93/计划!U93,5),0)</f>
        <v/>
      </c>
      <c r="V93" s="237">
        <f>IFERROR(ROUND(计划落实!V93/计划!V93,5),0)</f>
        <v/>
      </c>
      <c r="W93" s="237">
        <f>IFERROR(ROUND(计划落实!W93/计划!W93,5),0)</f>
        <v/>
      </c>
      <c r="X93" s="237">
        <f>IFERROR(ROUND(计划落实!X93/计划!X93,5),0)</f>
        <v/>
      </c>
      <c r="Y93" s="237">
        <f>IFERROR(ROUND(计划落实!Y93/计划!Y93,5),0)</f>
        <v/>
      </c>
      <c r="Z93" s="237">
        <f>IFERROR(ROUND(计划落实!Z93/计划!Z93,5),0)</f>
        <v/>
      </c>
      <c r="AA93" s="237">
        <f>IFERROR(ROUND(计划落实!AA93/计划!AA93,5),0)</f>
        <v/>
      </c>
      <c r="AB93" s="237">
        <f>IFERROR(ROUND(计划落实!AB93/计划!AB93,5),0)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4" t="n"/>
      <c r="B94" s="231" t="inlineStr">
        <is>
          <t>SKU-0472D802</t>
        </is>
      </c>
      <c r="C94" s="231" t="inlineStr">
        <is>
          <t>是</t>
        </is>
      </c>
      <c r="D94" s="231" t="n">
        <v>6</v>
      </c>
      <c r="E94" s="231" t="inlineStr">
        <is>
          <t>是</t>
        </is>
      </c>
      <c r="F94" s="231" t="inlineStr"/>
      <c r="G94" s="231" t="inlineStr"/>
      <c r="H94" s="231" t="inlineStr"/>
      <c r="I94" s="231" t="inlineStr">
        <is>
          <t>是</t>
        </is>
      </c>
      <c r="J94" s="27" t="inlineStr"/>
      <c r="K94" s="27" t="inlineStr"/>
      <c r="L94" s="231" t="n">
        <v>100</v>
      </c>
      <c r="M94" s="19" t="inlineStr">
        <is>
          <t>Product-0EE8F563</t>
        </is>
      </c>
      <c r="N94" s="231" t="n">
        <v>1</v>
      </c>
      <c r="O94" s="236">
        <f>IFERROR(ROUND(计划落实!O94/计划!O94,5),0)</f>
        <v/>
      </c>
      <c r="P94" s="237">
        <f>IFERROR(ROUND(计划落实!P94/计划!P94,5),0)</f>
        <v/>
      </c>
      <c r="Q94" s="237">
        <f>IFERROR(ROUND(计划落实!Q94/计划!Q94,5),0)</f>
        <v/>
      </c>
      <c r="R94" s="237">
        <f>IFERROR(ROUND(计划落实!R94/计划!R94,5),0)</f>
        <v/>
      </c>
      <c r="S94" s="237">
        <f>IFERROR(ROUND(计划落实!S94/计划!S94,5),0)</f>
        <v/>
      </c>
      <c r="T94" s="237">
        <f>IFERROR(ROUND(计划落实!T94/计划!T94,5),0)</f>
        <v/>
      </c>
      <c r="U94" s="237">
        <f>IFERROR(ROUND(计划落实!U94/计划!U94,5),0)</f>
        <v/>
      </c>
      <c r="V94" s="237">
        <f>IFERROR(ROUND(计划落实!V94/计划!V94,5),0)</f>
        <v/>
      </c>
      <c r="W94" s="237">
        <f>IFERROR(ROUND(计划落实!W94/计划!W94,5),0)</f>
        <v/>
      </c>
      <c r="X94" s="237">
        <f>IFERROR(ROUND(计划落实!X94/计划!X94,5),0)</f>
        <v/>
      </c>
      <c r="Y94" s="237">
        <f>IFERROR(ROUND(计划落实!Y94/计划!Y94,5),0)</f>
        <v/>
      </c>
      <c r="Z94" s="237">
        <f>IFERROR(ROUND(计划落实!Z94/计划!Z94,5),0)</f>
        <v/>
      </c>
      <c r="AA94" s="237">
        <f>IFERROR(ROUND(计划落实!AA94/计划!AA94,5),0)</f>
        <v/>
      </c>
      <c r="AB94" s="237">
        <f>IFERROR(ROUND(计划落实!AB94/计划!AB94,5),0)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4" t="n"/>
      <c r="B95" s="231" t="inlineStr">
        <is>
          <t>SKU-8992A5AF</t>
        </is>
      </c>
      <c r="C95" s="231" t="inlineStr">
        <is>
          <t>是</t>
        </is>
      </c>
      <c r="D95" s="231" t="n">
        <v>10</v>
      </c>
      <c r="E95" s="231" t="inlineStr"/>
      <c r="F95" s="231" t="inlineStr"/>
      <c r="G95" s="231" t="inlineStr"/>
      <c r="H95" s="231" t="inlineStr"/>
      <c r="I95" s="231" t="inlineStr"/>
      <c r="J95" s="27" t="inlineStr"/>
      <c r="K95" s="27" t="inlineStr"/>
      <c r="L95" s="231" t="n">
        <v>100</v>
      </c>
      <c r="M95" s="19" t="inlineStr">
        <is>
          <t>Product-15073DAA</t>
        </is>
      </c>
      <c r="N95" s="231" t="n">
        <v>1</v>
      </c>
      <c r="O95" s="236">
        <f>IFERROR(ROUND(计划落实!O95/计划!O95,5),0)</f>
        <v/>
      </c>
      <c r="P95" s="237">
        <f>IFERROR(ROUND(计划落实!P95/计划!P95,5),0)</f>
        <v/>
      </c>
      <c r="Q95" s="237">
        <f>IFERROR(ROUND(计划落实!Q95/计划!Q95,5),0)</f>
        <v/>
      </c>
      <c r="R95" s="237">
        <f>IFERROR(ROUND(计划落实!R95/计划!R95,5),0)</f>
        <v/>
      </c>
      <c r="S95" s="237">
        <f>IFERROR(ROUND(计划落实!S95/计划!S95,5),0)</f>
        <v/>
      </c>
      <c r="T95" s="237">
        <f>IFERROR(ROUND(计划落实!T95/计划!T95,5),0)</f>
        <v/>
      </c>
      <c r="U95" s="237">
        <f>IFERROR(ROUND(计划落实!U95/计划!U95,5),0)</f>
        <v/>
      </c>
      <c r="V95" s="237">
        <f>IFERROR(ROUND(计划落实!V95/计划!V95,5),0)</f>
        <v/>
      </c>
      <c r="W95" s="237">
        <f>IFERROR(ROUND(计划落实!W95/计划!W95,5),0)</f>
        <v/>
      </c>
      <c r="X95" s="237">
        <f>IFERROR(ROUND(计划落实!X95/计划!X95,5),0)</f>
        <v/>
      </c>
      <c r="Y95" s="237">
        <f>IFERROR(ROUND(计划落实!Y95/计划!Y95,5),0)</f>
        <v/>
      </c>
      <c r="Z95" s="237">
        <f>IFERROR(ROUND(计划落实!Z95/计划!Z95,5),0)</f>
        <v/>
      </c>
      <c r="AA95" s="237">
        <f>IFERROR(ROUND(计划落实!AA95/计划!AA95,5),0)</f>
        <v/>
      </c>
      <c r="AB95" s="237">
        <f>IFERROR(ROUND(计划落实!AB95/计划!AB95,5),0)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4" t="n"/>
      <c r="B96" s="231" t="inlineStr">
        <is>
          <t>SKU-9DFEFE7F</t>
        </is>
      </c>
      <c r="C96" s="231" t="inlineStr">
        <is>
          <t>是</t>
        </is>
      </c>
      <c r="D96" s="231" t="n">
        <v>6</v>
      </c>
      <c r="E96" s="231" t="inlineStr">
        <is>
          <t>是</t>
        </is>
      </c>
      <c r="F96" s="231" t="inlineStr"/>
      <c r="G96" s="231" t="inlineStr"/>
      <c r="H96" s="231" t="inlineStr">
        <is>
          <t>是</t>
        </is>
      </c>
      <c r="I96" s="231" t="inlineStr">
        <is>
          <t>是</t>
        </is>
      </c>
      <c r="J96" s="27" t="inlineStr"/>
      <c r="K96" s="27" t="inlineStr"/>
      <c r="L96" s="231" t="n">
        <v>100</v>
      </c>
      <c r="M96" s="19" t="inlineStr">
        <is>
          <t>Product-14B419F6</t>
        </is>
      </c>
      <c r="N96" s="231" t="n">
        <v>1</v>
      </c>
      <c r="O96" s="236">
        <f>IFERROR(ROUND(计划落实!O96/计划!O96,5),0)</f>
        <v/>
      </c>
      <c r="P96" s="237">
        <f>IFERROR(ROUND(计划落实!P96/计划!P96,5),0)</f>
        <v/>
      </c>
      <c r="Q96" s="237">
        <f>IFERROR(ROUND(计划落实!Q96/计划!Q96,5),0)</f>
        <v/>
      </c>
      <c r="R96" s="237">
        <f>IFERROR(ROUND(计划落实!R96/计划!R96,5),0)</f>
        <v/>
      </c>
      <c r="S96" s="237">
        <f>IFERROR(ROUND(计划落实!S96/计划!S96,5),0)</f>
        <v/>
      </c>
      <c r="T96" s="237">
        <f>IFERROR(ROUND(计划落实!T96/计划!T96,5),0)</f>
        <v/>
      </c>
      <c r="U96" s="237">
        <f>IFERROR(ROUND(计划落实!U96/计划!U96,5),0)</f>
        <v/>
      </c>
      <c r="V96" s="237">
        <f>IFERROR(ROUND(计划落实!V96/计划!V96,5),0)</f>
        <v/>
      </c>
      <c r="W96" s="237">
        <f>IFERROR(ROUND(计划落实!W96/计划!W96,5),0)</f>
        <v/>
      </c>
      <c r="X96" s="237">
        <f>IFERROR(ROUND(计划落实!X96/计划!X96,5),0)</f>
        <v/>
      </c>
      <c r="Y96" s="237">
        <f>IFERROR(ROUND(计划落实!Y96/计划!Y96,5),0)</f>
        <v/>
      </c>
      <c r="Z96" s="237">
        <f>IFERROR(ROUND(计划落实!Z96/计划!Z96,5),0)</f>
        <v/>
      </c>
      <c r="AA96" s="237">
        <f>IFERROR(ROUND(计划落实!AA96/计划!AA96,5),0)</f>
        <v/>
      </c>
      <c r="AB96" s="237">
        <f>IFERROR(ROUND(计划落实!AB96/计划!AB96,5),0)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4" t="n"/>
      <c r="B97" s="231" t="inlineStr">
        <is>
          <t>SKU-707B6E8A</t>
        </is>
      </c>
      <c r="C97" s="231" t="inlineStr">
        <is>
          <t>是</t>
        </is>
      </c>
      <c r="D97" s="231" t="n">
        <v>3</v>
      </c>
      <c r="E97" s="231" t="inlineStr">
        <is>
          <t>是</t>
        </is>
      </c>
      <c r="F97" s="231" t="inlineStr"/>
      <c r="G97" s="231" t="inlineStr"/>
      <c r="H97" s="231" t="inlineStr"/>
      <c r="I97" s="231" t="inlineStr">
        <is>
          <t>是</t>
        </is>
      </c>
      <c r="J97" s="27" t="inlineStr"/>
      <c r="K97" s="27" t="inlineStr"/>
      <c r="L97" s="231" t="n">
        <v>100</v>
      </c>
      <c r="M97" s="19" t="inlineStr">
        <is>
          <t>Product-069A5966</t>
        </is>
      </c>
      <c r="N97" s="231" t="n">
        <v>1</v>
      </c>
      <c r="O97" s="236">
        <f>IFERROR(ROUND(计划落实!O97/计划!O97,5),0)</f>
        <v/>
      </c>
      <c r="P97" s="237">
        <f>IFERROR(ROUND(计划落实!P97/计划!P97,5),0)</f>
        <v/>
      </c>
      <c r="Q97" s="237">
        <f>IFERROR(ROUND(计划落实!Q97/计划!Q97,5),0)</f>
        <v/>
      </c>
      <c r="R97" s="237">
        <f>IFERROR(ROUND(计划落实!R97/计划!R97,5),0)</f>
        <v/>
      </c>
      <c r="S97" s="237">
        <f>IFERROR(ROUND(计划落实!S97/计划!S97,5),0)</f>
        <v/>
      </c>
      <c r="T97" s="237">
        <f>IFERROR(ROUND(计划落实!T97/计划!T97,5),0)</f>
        <v/>
      </c>
      <c r="U97" s="237">
        <f>IFERROR(ROUND(计划落实!U97/计划!U97,5),0)</f>
        <v/>
      </c>
      <c r="V97" s="237">
        <f>IFERROR(ROUND(计划落实!V97/计划!V97,5),0)</f>
        <v/>
      </c>
      <c r="W97" s="237">
        <f>IFERROR(ROUND(计划落实!W97/计划!W97,5),0)</f>
        <v/>
      </c>
      <c r="X97" s="237">
        <f>IFERROR(ROUND(计划落实!X97/计划!X97,5),0)</f>
        <v/>
      </c>
      <c r="Y97" s="237">
        <f>IFERROR(ROUND(计划落实!Y97/计划!Y97,5),0)</f>
        <v/>
      </c>
      <c r="Z97" s="237">
        <f>IFERROR(ROUND(计划落实!Z97/计划!Z97,5),0)</f>
        <v/>
      </c>
      <c r="AA97" s="237">
        <f>IFERROR(ROUND(计划落实!AA97/计划!AA97,5),0)</f>
        <v/>
      </c>
      <c r="AB97" s="237">
        <f>IFERROR(ROUND(计划落实!AB97/计划!AB97,5),0)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4" t="n"/>
      <c r="B98" s="231" t="inlineStr">
        <is>
          <t>SKU-5969B13C</t>
        </is>
      </c>
      <c r="C98" s="231" t="inlineStr">
        <is>
          <t>是</t>
        </is>
      </c>
      <c r="D98" s="231" t="n">
        <v>11</v>
      </c>
      <c r="E98" s="231" t="inlineStr"/>
      <c r="F98" s="231" t="inlineStr"/>
      <c r="G98" s="231" t="inlineStr"/>
      <c r="H98" s="231" t="inlineStr"/>
      <c r="I98" s="231" t="inlineStr"/>
      <c r="J98" s="27" t="inlineStr">
        <is>
          <t>共</t>
        </is>
      </c>
      <c r="K98" s="27" t="inlineStr"/>
      <c r="L98" s="231" t="n">
        <v>100</v>
      </c>
      <c r="M98" s="19" t="inlineStr">
        <is>
          <t>Product-D41D58A6</t>
        </is>
      </c>
      <c r="N98" s="231" t="n">
        <v>1</v>
      </c>
      <c r="O98" s="236">
        <f>IFERROR(ROUND(计划落实!O98/计划!O98,5),0)</f>
        <v/>
      </c>
      <c r="P98" s="237">
        <f>IFERROR(ROUND(计划落实!P98/计划!P98,5),0)</f>
        <v/>
      </c>
      <c r="Q98" s="237">
        <f>IFERROR(ROUND(计划落实!Q98/计划!Q98,5),0)</f>
        <v/>
      </c>
      <c r="R98" s="237">
        <f>IFERROR(ROUND(计划落实!R98/计划!R98,5),0)</f>
        <v/>
      </c>
      <c r="S98" s="237">
        <f>IFERROR(ROUND(计划落实!S98/计划!S98,5),0)</f>
        <v/>
      </c>
      <c r="T98" s="237">
        <f>IFERROR(ROUND(计划落实!T98/计划!T98,5),0)</f>
        <v/>
      </c>
      <c r="U98" s="237">
        <f>IFERROR(ROUND(计划落实!U98/计划!U98,5),0)</f>
        <v/>
      </c>
      <c r="V98" s="237">
        <f>IFERROR(ROUND(计划落实!V98/计划!V98,5),0)</f>
        <v/>
      </c>
      <c r="W98" s="237">
        <f>IFERROR(ROUND(计划落实!W98/计划!W98,5),0)</f>
        <v/>
      </c>
      <c r="X98" s="237">
        <f>IFERROR(ROUND(计划落实!X98/计划!X98,5),0)</f>
        <v/>
      </c>
      <c r="Y98" s="237">
        <f>IFERROR(ROUND(计划落实!Y98/计划!Y98,5),0)</f>
        <v/>
      </c>
      <c r="Z98" s="237">
        <f>IFERROR(ROUND(计划落实!Z98/计划!Z98,5),0)</f>
        <v/>
      </c>
      <c r="AA98" s="237">
        <f>IFERROR(ROUND(计划落实!AA98/计划!AA98,5),0)</f>
        <v/>
      </c>
      <c r="AB98" s="237">
        <f>IFERROR(ROUND(计划落实!AB98/计划!AB98,5),0)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4" t="n"/>
      <c r="B99" s="231" t="inlineStr">
        <is>
          <t>SKU-54FF462C</t>
        </is>
      </c>
      <c r="C99" s="231" t="inlineStr">
        <is>
          <t>是</t>
        </is>
      </c>
      <c r="D99" s="231" t="n">
        <v>11</v>
      </c>
      <c r="E99" s="231" t="inlineStr"/>
      <c r="F99" s="231" t="inlineStr"/>
      <c r="G99" s="231" t="inlineStr"/>
      <c r="H99" s="231" t="inlineStr"/>
      <c r="I99" s="231" t="inlineStr"/>
      <c r="J99" s="27" t="inlineStr">
        <is>
          <t>共</t>
        </is>
      </c>
      <c r="K99" s="27" t="inlineStr"/>
      <c r="L99" s="231" t="n">
        <v>100</v>
      </c>
      <c r="M99" s="19" t="inlineStr">
        <is>
          <t>Product-61A907C6</t>
        </is>
      </c>
      <c r="N99" s="231" t="n">
        <v>1</v>
      </c>
      <c r="O99" s="236">
        <f>IFERROR(ROUND(计划落实!O99/计划!O99,5),0)</f>
        <v/>
      </c>
      <c r="P99" s="237">
        <f>IFERROR(ROUND(计划落实!P99/计划!P99,5),0)</f>
        <v/>
      </c>
      <c r="Q99" s="237">
        <f>IFERROR(ROUND(计划落实!Q99/计划!Q99,5),0)</f>
        <v/>
      </c>
      <c r="R99" s="237">
        <f>IFERROR(ROUND(计划落实!R99/计划!R99,5),0)</f>
        <v/>
      </c>
      <c r="S99" s="237">
        <f>IFERROR(ROUND(计划落实!S99/计划!S99,5),0)</f>
        <v/>
      </c>
      <c r="T99" s="237">
        <f>IFERROR(ROUND(计划落实!T99/计划!T99,5),0)</f>
        <v/>
      </c>
      <c r="U99" s="237">
        <f>IFERROR(ROUND(计划落实!U99/计划!U99,5),0)</f>
        <v/>
      </c>
      <c r="V99" s="237">
        <f>IFERROR(ROUND(计划落实!V99/计划!V99,5),0)</f>
        <v/>
      </c>
      <c r="W99" s="237">
        <f>IFERROR(ROUND(计划落实!W99/计划!W99,5),0)</f>
        <v/>
      </c>
      <c r="X99" s="237">
        <f>IFERROR(ROUND(计划落实!X99/计划!X99,5),0)</f>
        <v/>
      </c>
      <c r="Y99" s="237">
        <f>IFERROR(ROUND(计划落实!Y99/计划!Y99,5),0)</f>
        <v/>
      </c>
      <c r="Z99" s="237">
        <f>IFERROR(ROUND(计划落实!Z99/计划!Z99,5),0)</f>
        <v/>
      </c>
      <c r="AA99" s="237">
        <f>IFERROR(ROUND(计划落实!AA99/计划!AA99,5),0)</f>
        <v/>
      </c>
      <c r="AB99" s="237">
        <f>IFERROR(ROUND(计划落实!AB99/计划!AB99,5),0)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4" t="n"/>
      <c r="B100" s="231" t="inlineStr">
        <is>
          <t>SKU-124FFA8F</t>
        </is>
      </c>
      <c r="C100" s="231" t="inlineStr">
        <is>
          <t>是</t>
        </is>
      </c>
      <c r="D100" s="231" t="n">
        <v>8</v>
      </c>
      <c r="E100" s="231" t="inlineStr"/>
      <c r="F100" s="231" t="inlineStr">
        <is>
          <t>是</t>
        </is>
      </c>
      <c r="G100" s="231" t="inlineStr"/>
      <c r="H100" s="231" t="inlineStr"/>
      <c r="I100" s="231" t="inlineStr">
        <is>
          <t>是</t>
        </is>
      </c>
      <c r="J100" s="27" t="inlineStr"/>
      <c r="K100" s="27" t="inlineStr"/>
      <c r="L100" s="231" t="n">
        <v>100</v>
      </c>
      <c r="M100" s="33" t="inlineStr">
        <is>
          <t>Product-D911580D</t>
        </is>
      </c>
      <c r="N100" s="231" t="n">
        <v>1</v>
      </c>
      <c r="O100" s="236">
        <f>IFERROR(ROUND(计划落实!O100/计划!O100,5),0)</f>
        <v/>
      </c>
      <c r="P100" s="237">
        <f>IFERROR(ROUND(计划落实!P100/计划!P100,5),0)</f>
        <v/>
      </c>
      <c r="Q100" s="237">
        <f>IFERROR(ROUND(计划落实!Q100/计划!Q100,5),0)</f>
        <v/>
      </c>
      <c r="R100" s="237">
        <f>IFERROR(ROUND(计划落实!R100/计划!R100,5),0)</f>
        <v/>
      </c>
      <c r="S100" s="237">
        <f>IFERROR(ROUND(计划落实!S100/计划!S100,5),0)</f>
        <v/>
      </c>
      <c r="T100" s="237">
        <f>IFERROR(ROUND(计划落实!T100/计划!T100,5),0)</f>
        <v/>
      </c>
      <c r="U100" s="237">
        <f>IFERROR(ROUND(计划落实!U100/计划!U100,5),0)</f>
        <v/>
      </c>
      <c r="V100" s="237">
        <f>IFERROR(ROUND(计划落实!V100/计划!V100,5),0)</f>
        <v/>
      </c>
      <c r="W100" s="237">
        <f>IFERROR(ROUND(计划落实!W100/计划!W100,5),0)</f>
        <v/>
      </c>
      <c r="X100" s="237">
        <f>IFERROR(ROUND(计划落实!X100/计划!X100,5),0)</f>
        <v/>
      </c>
      <c r="Y100" s="237">
        <f>IFERROR(ROUND(计划落实!Y100/计划!Y100,5),0)</f>
        <v/>
      </c>
      <c r="Z100" s="237">
        <f>IFERROR(ROUND(计划落实!Z100/计划!Z100,5),0)</f>
        <v/>
      </c>
      <c r="AA100" s="237">
        <f>IFERROR(ROUND(计划落实!AA100/计划!AA100,5),0)</f>
        <v/>
      </c>
      <c r="AB100" s="237">
        <f>IFERROR(ROUND(计划落实!AB100/计划!AB100,5),0)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4" t="n"/>
      <c r="B101" s="231" t="inlineStr">
        <is>
          <t>SKU-AA4E2A39</t>
        </is>
      </c>
      <c r="C101" s="231" t="inlineStr">
        <is>
          <t>是</t>
        </is>
      </c>
      <c r="D101" s="231" t="n">
        <v>10</v>
      </c>
      <c r="E101" s="231" t="inlineStr"/>
      <c r="F101" s="231" t="inlineStr">
        <is>
          <t>是</t>
        </is>
      </c>
      <c r="G101" s="231" t="inlineStr"/>
      <c r="H101" s="231" t="inlineStr"/>
      <c r="I101" s="231" t="inlineStr">
        <is>
          <t>是</t>
        </is>
      </c>
      <c r="J101" s="27" t="inlineStr"/>
      <c r="K101" s="27" t="inlineStr"/>
      <c r="L101" s="231" t="n">
        <v>100</v>
      </c>
      <c r="M101" s="33" t="inlineStr">
        <is>
          <t>Product-702B5290</t>
        </is>
      </c>
      <c r="N101" s="231" t="n">
        <v>1</v>
      </c>
      <c r="O101" s="236">
        <f>IFERROR(ROUND(计划落实!O101/计划!O101,5),0)</f>
        <v/>
      </c>
      <c r="P101" s="237">
        <f>IFERROR(ROUND(计划落实!P101/计划!P101,5),0)</f>
        <v/>
      </c>
      <c r="Q101" s="237">
        <f>IFERROR(ROUND(计划落实!Q101/计划!Q101,5),0)</f>
        <v/>
      </c>
      <c r="R101" s="237">
        <f>IFERROR(ROUND(计划落实!R101/计划!R101,5),0)</f>
        <v/>
      </c>
      <c r="S101" s="237">
        <f>IFERROR(ROUND(计划落实!S101/计划!S101,5),0)</f>
        <v/>
      </c>
      <c r="T101" s="237">
        <f>IFERROR(ROUND(计划落实!T101/计划!T101,5),0)</f>
        <v/>
      </c>
      <c r="U101" s="237">
        <f>IFERROR(ROUND(计划落实!U101/计划!U101,5),0)</f>
        <v/>
      </c>
      <c r="V101" s="237">
        <f>IFERROR(ROUND(计划落实!V101/计划!V101,5),0)</f>
        <v/>
      </c>
      <c r="W101" s="237">
        <f>IFERROR(ROUND(计划落实!W101/计划!W101,5),0)</f>
        <v/>
      </c>
      <c r="X101" s="237">
        <f>IFERROR(ROUND(计划落实!X101/计划!X101,5),0)</f>
        <v/>
      </c>
      <c r="Y101" s="237">
        <f>IFERROR(ROUND(计划落实!Y101/计划!Y101,5),0)</f>
        <v/>
      </c>
      <c r="Z101" s="237">
        <f>IFERROR(ROUND(计划落实!Z101/计划!Z101,5),0)</f>
        <v/>
      </c>
      <c r="AA101" s="237">
        <f>IFERROR(ROUND(计划落实!AA101/计划!AA101,5),0)</f>
        <v/>
      </c>
      <c r="AB101" s="237">
        <f>IFERROR(ROUND(计划落实!AB101/计划!AB101,5),0)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4" t="n"/>
      <c r="B102" s="231" t="inlineStr">
        <is>
          <t>SKU-913263BA</t>
        </is>
      </c>
      <c r="C102" s="231" t="inlineStr">
        <is>
          <t>是</t>
        </is>
      </c>
      <c r="D102" s="231" t="n">
        <v>10</v>
      </c>
      <c r="E102" s="231" t="inlineStr"/>
      <c r="F102" s="231" t="inlineStr">
        <is>
          <t>是</t>
        </is>
      </c>
      <c r="G102" s="231" t="inlineStr"/>
      <c r="H102" s="231" t="inlineStr"/>
      <c r="I102" s="231" t="inlineStr">
        <is>
          <t>是</t>
        </is>
      </c>
      <c r="J102" s="27" t="inlineStr"/>
      <c r="K102" s="27" t="inlineStr"/>
      <c r="L102" s="231" t="n">
        <v>100</v>
      </c>
      <c r="M102" s="19" t="inlineStr">
        <is>
          <t>Product-702B5290</t>
        </is>
      </c>
      <c r="N102" s="231" t="n">
        <v>1</v>
      </c>
      <c r="O102" s="236">
        <f>IFERROR(ROUND(计划落实!O102/计划!O102,5),0)</f>
        <v/>
      </c>
      <c r="P102" s="237">
        <f>IFERROR(ROUND(计划落实!P102/计划!P102,5),0)</f>
        <v/>
      </c>
      <c r="Q102" s="237">
        <f>IFERROR(ROUND(计划落实!Q102/计划!Q102,5),0)</f>
        <v/>
      </c>
      <c r="R102" s="237">
        <f>IFERROR(ROUND(计划落实!R102/计划!R102,5),0)</f>
        <v/>
      </c>
      <c r="S102" s="237">
        <f>IFERROR(ROUND(计划落实!S102/计划!S102,5),0)</f>
        <v/>
      </c>
      <c r="T102" s="237">
        <f>IFERROR(ROUND(计划落实!T102/计划!T102,5),0)</f>
        <v/>
      </c>
      <c r="U102" s="237">
        <f>IFERROR(ROUND(计划落实!U102/计划!U102,5),0)</f>
        <v/>
      </c>
      <c r="V102" s="237">
        <f>IFERROR(ROUND(计划落实!V102/计划!V102,5),0)</f>
        <v/>
      </c>
      <c r="W102" s="237">
        <f>IFERROR(ROUND(计划落实!W102/计划!W102,5),0)</f>
        <v/>
      </c>
      <c r="X102" s="237">
        <f>IFERROR(ROUND(计划落实!X102/计划!X102,5),0)</f>
        <v/>
      </c>
      <c r="Y102" s="237">
        <f>IFERROR(ROUND(计划落实!Y102/计划!Y102,5),0)</f>
        <v/>
      </c>
      <c r="Z102" s="237">
        <f>IFERROR(ROUND(计划落实!Z102/计划!Z102,5),0)</f>
        <v/>
      </c>
      <c r="AA102" s="237">
        <f>IFERROR(ROUND(计划落实!AA102/计划!AA102,5),0)</f>
        <v/>
      </c>
      <c r="AB102" s="237">
        <f>IFERROR(ROUND(计划落实!AB102/计划!AB102,5),0)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5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239">
        <f>IFERROR(ROUND(计划落实!O103/计划!O103,5),0)</f>
        <v/>
      </c>
      <c r="P103" s="239">
        <f>IFERROR(ROUND(计划落实!P103/计划!P103,5),0)</f>
        <v/>
      </c>
      <c r="Q103" s="239">
        <f>IFERROR(ROUND(计划落实!Q103/计划!Q103,5),0)</f>
        <v/>
      </c>
      <c r="R103" s="239">
        <f>IFERROR(ROUND(计划落实!R103/计划!R103,5),0)</f>
        <v/>
      </c>
      <c r="S103" s="239">
        <f>IFERROR(ROUND(计划落实!S103/计划!S103,5),0)</f>
        <v/>
      </c>
      <c r="T103" s="239">
        <f>IFERROR(ROUND(计划落实!T103/计划!T103,5),0)</f>
        <v/>
      </c>
      <c r="U103" s="239">
        <f>IFERROR(ROUND(计划落实!U103/计划!U103,5),0)</f>
        <v/>
      </c>
      <c r="V103" s="239">
        <f>IFERROR(ROUND(计划落实!V103/计划!V103,5),0)</f>
        <v/>
      </c>
      <c r="W103" s="239">
        <f>IFERROR(ROUND(计划落实!W103/计划!W103,5),0)</f>
        <v/>
      </c>
      <c r="X103" s="239">
        <f>IFERROR(ROUND(计划落实!X103/计划!X103,5),0)</f>
        <v/>
      </c>
      <c r="Y103" s="239">
        <f>IFERROR(ROUND(计划落实!Y103/计划!Y103,5),0)</f>
        <v/>
      </c>
      <c r="Z103" s="239">
        <f>IFERROR(ROUND(计划落实!Z103/计划!Z103,5),0)</f>
        <v/>
      </c>
      <c r="AA103" s="239">
        <f>IFERROR(ROUND(计划落实!AA103/计划!AA103,5),0)</f>
        <v/>
      </c>
      <c r="AB103" s="239">
        <f>IFERROR(ROUND(计划落实!AB103/计划!AB103,5),0)</f>
        <v/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31" t="inlineStr">
        <is>
          <t>SKU-C3332279</t>
        </is>
      </c>
      <c r="C104" s="231" t="inlineStr">
        <is>
          <t>是</t>
        </is>
      </c>
      <c r="D104" s="231" t="n">
        <v>11</v>
      </c>
      <c r="E104" s="231" t="inlineStr"/>
      <c r="F104" s="231" t="inlineStr"/>
      <c r="G104" s="231" t="inlineStr"/>
      <c r="H104" s="231" t="inlineStr"/>
      <c r="I104" s="231" t="inlineStr"/>
      <c r="J104" s="27" t="inlineStr">
        <is>
          <t>共</t>
        </is>
      </c>
      <c r="K104" s="27" t="inlineStr"/>
      <c r="L104" s="231" t="n">
        <v>100</v>
      </c>
      <c r="M104" s="19" t="inlineStr">
        <is>
          <t>Product-DBF6F56C</t>
        </is>
      </c>
      <c r="N104" s="231" t="n">
        <v>2</v>
      </c>
      <c r="O104" s="236">
        <f>IFERROR(ROUND(计划落实!O104/计划!O104,5),0)</f>
        <v/>
      </c>
      <c r="P104" s="237">
        <f>IFERROR(ROUND(计划落实!P104/计划!P104,5),0)</f>
        <v/>
      </c>
      <c r="Q104" s="237">
        <f>IFERROR(ROUND(计划落实!Q104/计划!Q104,5),0)</f>
        <v/>
      </c>
      <c r="R104" s="237">
        <f>IFERROR(ROUND(计划落实!R104/计划!R104,5),0)</f>
        <v/>
      </c>
      <c r="S104" s="237">
        <f>IFERROR(ROUND(计划落实!S104/计划!S104,5),0)</f>
        <v/>
      </c>
      <c r="T104" s="237">
        <f>IFERROR(ROUND(计划落实!T104/计划!T104,5),0)</f>
        <v/>
      </c>
      <c r="U104" s="237">
        <f>IFERROR(ROUND(计划落实!U104/计划!U104,5),0)</f>
        <v/>
      </c>
      <c r="V104" s="237">
        <f>IFERROR(ROUND(计划落实!V104/计划!V104,5),0)</f>
        <v/>
      </c>
      <c r="W104" s="237">
        <f>IFERROR(ROUND(计划落实!W104/计划!W104,5),0)</f>
        <v/>
      </c>
      <c r="X104" s="237">
        <f>IFERROR(ROUND(计划落实!X104/计划!X104,5),0)</f>
        <v/>
      </c>
      <c r="Y104" s="237">
        <f>IFERROR(ROUND(计划落实!Y104/计划!Y104,5),0)</f>
        <v/>
      </c>
      <c r="Z104" s="237">
        <f>IFERROR(ROUND(计划落实!Z104/计划!Z104,5),0)</f>
        <v/>
      </c>
      <c r="AA104" s="237">
        <f>IFERROR(ROUND(计划落实!AA104/计划!AA104,5),0)</f>
        <v/>
      </c>
      <c r="AB104" s="237">
        <f>IFERROR(ROUND(计划落实!AB104/计划!AB104,5),0)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4" t="n"/>
      <c r="B105" s="231" t="inlineStr">
        <is>
          <t>SKU-98BD550F</t>
        </is>
      </c>
      <c r="C105" s="231" t="inlineStr">
        <is>
          <t>是</t>
        </is>
      </c>
      <c r="D105" s="231" t="n">
        <v>11</v>
      </c>
      <c r="E105" s="231" t="inlineStr"/>
      <c r="F105" s="231" t="inlineStr"/>
      <c r="G105" s="231" t="inlineStr"/>
      <c r="H105" s="231" t="inlineStr"/>
      <c r="I105" s="231" t="inlineStr"/>
      <c r="J105" s="27" t="inlineStr">
        <is>
          <t>共</t>
        </is>
      </c>
      <c r="K105" s="27" t="inlineStr"/>
      <c r="L105" s="231" t="n">
        <v>100</v>
      </c>
      <c r="M105" s="19" t="inlineStr">
        <is>
          <t>Product-63C67A59</t>
        </is>
      </c>
      <c r="N105" s="231" t="n">
        <v>1</v>
      </c>
      <c r="O105" s="236">
        <f>IFERROR(ROUND(计划落实!O105/计划!O105,5),0)</f>
        <v/>
      </c>
      <c r="P105" s="237">
        <f>IFERROR(ROUND(计划落实!P105/计划!P105,5),0)</f>
        <v/>
      </c>
      <c r="Q105" s="237">
        <f>IFERROR(ROUND(计划落实!Q105/计划!Q105,5),0)</f>
        <v/>
      </c>
      <c r="R105" s="237">
        <f>IFERROR(ROUND(计划落实!R105/计划!R105,5),0)</f>
        <v/>
      </c>
      <c r="S105" s="237">
        <f>IFERROR(ROUND(计划落实!S105/计划!S105,5),0)</f>
        <v/>
      </c>
      <c r="T105" s="237">
        <f>IFERROR(ROUND(计划落实!T105/计划!T105,5),0)</f>
        <v/>
      </c>
      <c r="U105" s="237">
        <f>IFERROR(ROUND(计划落实!U105/计划!U105,5),0)</f>
        <v/>
      </c>
      <c r="V105" s="237">
        <f>IFERROR(ROUND(计划落实!V105/计划!V105,5),0)</f>
        <v/>
      </c>
      <c r="W105" s="237">
        <f>IFERROR(ROUND(计划落实!W105/计划!W105,5),0)</f>
        <v/>
      </c>
      <c r="X105" s="237">
        <f>IFERROR(ROUND(计划落实!X105/计划!X105,5),0)</f>
        <v/>
      </c>
      <c r="Y105" s="237">
        <f>IFERROR(ROUND(计划落实!Y105/计划!Y105,5),0)</f>
        <v/>
      </c>
      <c r="Z105" s="237">
        <f>IFERROR(ROUND(计划落实!Z105/计划!Z105,5),0)</f>
        <v/>
      </c>
      <c r="AA105" s="237">
        <f>IFERROR(ROUND(计划落实!AA105/计划!AA105,5),0)</f>
        <v/>
      </c>
      <c r="AB105" s="237">
        <f>IFERROR(ROUND(计划落实!AB105/计划!AB105,5),0)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4" t="n"/>
      <c r="B106" s="231" t="inlineStr">
        <is>
          <t>SKU-9165C4CC</t>
        </is>
      </c>
      <c r="C106" s="231" t="inlineStr">
        <is>
          <t>是</t>
        </is>
      </c>
      <c r="D106" s="231" t="n">
        <v>11</v>
      </c>
      <c r="E106" s="231" t="inlineStr"/>
      <c r="F106" s="231" t="inlineStr"/>
      <c r="G106" s="231" t="inlineStr"/>
      <c r="H106" s="231" t="inlineStr"/>
      <c r="I106" s="231" t="inlineStr"/>
      <c r="J106" s="27" t="inlineStr"/>
      <c r="K106" s="27" t="inlineStr"/>
      <c r="L106" s="231" t="n">
        <v>100</v>
      </c>
      <c r="M106" s="44" t="inlineStr">
        <is>
          <t>Product-4EAD9177</t>
        </is>
      </c>
      <c r="N106" s="231" t="n">
        <v>2</v>
      </c>
      <c r="O106" s="236">
        <f>IFERROR(ROUND(计划落实!O106/计划!O106,5),0)</f>
        <v/>
      </c>
      <c r="P106" s="237">
        <f>IFERROR(ROUND(计划落实!P106/计划!P106,5),0)</f>
        <v/>
      </c>
      <c r="Q106" s="237">
        <f>IFERROR(ROUND(计划落实!Q106/计划!Q106,5),0)</f>
        <v/>
      </c>
      <c r="R106" s="237">
        <f>IFERROR(ROUND(计划落实!R106/计划!R106,5),0)</f>
        <v/>
      </c>
      <c r="S106" s="237">
        <f>IFERROR(ROUND(计划落实!S106/计划!S106,5),0)</f>
        <v/>
      </c>
      <c r="T106" s="237">
        <f>IFERROR(ROUND(计划落实!T106/计划!T106,5),0)</f>
        <v/>
      </c>
      <c r="U106" s="237">
        <f>IFERROR(ROUND(计划落实!U106/计划!U106,5),0)</f>
        <v/>
      </c>
      <c r="V106" s="237">
        <f>IFERROR(ROUND(计划落实!V106/计划!V106,5),0)</f>
        <v/>
      </c>
      <c r="W106" s="237">
        <f>IFERROR(ROUND(计划落实!W106/计划!W106,5),0)</f>
        <v/>
      </c>
      <c r="X106" s="237">
        <f>IFERROR(ROUND(计划落实!X106/计划!X106,5),0)</f>
        <v/>
      </c>
      <c r="Y106" s="237">
        <f>IFERROR(ROUND(计划落实!Y106/计划!Y106,5),0)</f>
        <v/>
      </c>
      <c r="Z106" s="237">
        <f>IFERROR(ROUND(计划落实!Z106/计划!Z106,5),0)</f>
        <v/>
      </c>
      <c r="AA106" s="237">
        <f>IFERROR(ROUND(计划落实!AA106/计划!AA106,5),0)</f>
        <v/>
      </c>
      <c r="AB106" s="237">
        <f>IFERROR(ROUND(计划落实!AB106/计划!AB106,5),0)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4" t="n"/>
      <c r="B107" s="231" t="inlineStr">
        <is>
          <t>SKU-7B3379FF</t>
        </is>
      </c>
      <c r="C107" s="231" t="inlineStr">
        <is>
          <t>是</t>
        </is>
      </c>
      <c r="D107" s="231" t="n">
        <v>8</v>
      </c>
      <c r="E107" s="231" t="inlineStr"/>
      <c r="F107" s="231" t="inlineStr"/>
      <c r="G107" s="231" t="inlineStr"/>
      <c r="H107" s="231" t="inlineStr"/>
      <c r="I107" s="231" t="inlineStr"/>
      <c r="J107" s="27" t="inlineStr"/>
      <c r="K107" s="27" t="inlineStr"/>
      <c r="L107" s="231" t="n">
        <v>100</v>
      </c>
      <c r="M107" s="19" t="inlineStr">
        <is>
          <t>Product-B1B25B5B</t>
        </is>
      </c>
      <c r="N107" s="231" t="n">
        <v>1</v>
      </c>
      <c r="O107" s="236">
        <f>IFERROR(ROUND(计划落实!O107/计划!O107,5),0)</f>
        <v/>
      </c>
      <c r="P107" s="237">
        <f>IFERROR(ROUND(计划落实!P107/计划!P107,5),0)</f>
        <v/>
      </c>
      <c r="Q107" s="237">
        <f>IFERROR(ROUND(计划落实!Q107/计划!Q107,5),0)</f>
        <v/>
      </c>
      <c r="R107" s="237">
        <f>IFERROR(ROUND(计划落实!R107/计划!R107,5),0)</f>
        <v/>
      </c>
      <c r="S107" s="237">
        <f>IFERROR(ROUND(计划落实!S107/计划!S107,5),0)</f>
        <v/>
      </c>
      <c r="T107" s="237">
        <f>IFERROR(ROUND(计划落实!T107/计划!T107,5),0)</f>
        <v/>
      </c>
      <c r="U107" s="237">
        <f>IFERROR(ROUND(计划落实!U107/计划!U107,5),0)</f>
        <v/>
      </c>
      <c r="V107" s="237">
        <f>IFERROR(ROUND(计划落实!V107/计划!V107,5),0)</f>
        <v/>
      </c>
      <c r="W107" s="237">
        <f>IFERROR(ROUND(计划落实!W107/计划!W107,5),0)</f>
        <v/>
      </c>
      <c r="X107" s="237">
        <f>IFERROR(ROUND(计划落实!X107/计划!X107,5),0)</f>
        <v/>
      </c>
      <c r="Y107" s="237">
        <f>IFERROR(ROUND(计划落实!Y107/计划!Y107,5),0)</f>
        <v/>
      </c>
      <c r="Z107" s="237">
        <f>IFERROR(ROUND(计划落实!Z107/计划!Z107,5),0)</f>
        <v/>
      </c>
      <c r="AA107" s="237">
        <f>IFERROR(ROUND(计划落实!AA107/计划!AA107,5),0)</f>
        <v/>
      </c>
      <c r="AB107" s="237">
        <f>IFERROR(ROUND(计划落实!AB107/计划!AB107,5),0)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4" t="n"/>
      <c r="B108" s="231" t="inlineStr">
        <is>
          <t>SKU-32F1EBAD</t>
        </is>
      </c>
      <c r="C108" s="231" t="inlineStr">
        <is>
          <t>是</t>
        </is>
      </c>
      <c r="D108" s="231" t="n">
        <v>11</v>
      </c>
      <c r="E108" s="231" t="inlineStr"/>
      <c r="F108" s="231" t="inlineStr"/>
      <c r="G108" s="231" t="inlineStr"/>
      <c r="H108" s="231" t="inlineStr"/>
      <c r="I108" s="231" t="inlineStr"/>
      <c r="J108" s="27" t="inlineStr">
        <is>
          <t>共</t>
        </is>
      </c>
      <c r="K108" s="27" t="inlineStr"/>
      <c r="L108" s="231" t="n">
        <v>100</v>
      </c>
      <c r="M108" s="19" t="inlineStr">
        <is>
          <t>Product-1D056F53</t>
        </is>
      </c>
      <c r="N108" s="231" t="n">
        <v>1</v>
      </c>
      <c r="O108" s="236">
        <f>IFERROR(ROUND(计划落实!O108/计划!O108,5),0)</f>
        <v/>
      </c>
      <c r="P108" s="237">
        <f>IFERROR(ROUND(计划落实!P108/计划!P108,5),0)</f>
        <v/>
      </c>
      <c r="Q108" s="237">
        <f>IFERROR(ROUND(计划落实!Q108/计划!Q108,5),0)</f>
        <v/>
      </c>
      <c r="R108" s="237">
        <f>IFERROR(ROUND(计划落实!R108/计划!R108,5),0)</f>
        <v/>
      </c>
      <c r="S108" s="237">
        <f>IFERROR(ROUND(计划落实!S108/计划!S108,5),0)</f>
        <v/>
      </c>
      <c r="T108" s="237">
        <f>IFERROR(ROUND(计划落实!T108/计划!T108,5),0)</f>
        <v/>
      </c>
      <c r="U108" s="237">
        <f>IFERROR(ROUND(计划落实!U108/计划!U108,5),0)</f>
        <v/>
      </c>
      <c r="V108" s="237">
        <f>IFERROR(ROUND(计划落实!V108/计划!V108,5),0)</f>
        <v/>
      </c>
      <c r="W108" s="237">
        <f>IFERROR(ROUND(计划落实!W108/计划!W108,5),0)</f>
        <v/>
      </c>
      <c r="X108" s="237">
        <f>IFERROR(ROUND(计划落实!X108/计划!X108,5),0)</f>
        <v/>
      </c>
      <c r="Y108" s="237">
        <f>IFERROR(ROUND(计划落实!Y108/计划!Y108,5),0)</f>
        <v/>
      </c>
      <c r="Z108" s="237">
        <f>IFERROR(ROUND(计划落实!Z108/计划!Z108,5),0)</f>
        <v/>
      </c>
      <c r="AA108" s="237">
        <f>IFERROR(ROUND(计划落实!AA108/计划!AA108,5),0)</f>
        <v/>
      </c>
      <c r="AB108" s="237">
        <f>IFERROR(ROUND(计划落实!AB108/计划!AB108,5),0)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4" t="n"/>
      <c r="B109" s="231" t="inlineStr">
        <is>
          <t>SKU-94863575</t>
        </is>
      </c>
      <c r="C109" s="231" t="inlineStr">
        <is>
          <t>是</t>
        </is>
      </c>
      <c r="D109" s="231" t="n">
        <v>11</v>
      </c>
      <c r="E109" s="231" t="inlineStr"/>
      <c r="F109" s="231" t="inlineStr"/>
      <c r="G109" s="231" t="inlineStr"/>
      <c r="H109" s="231" t="inlineStr"/>
      <c r="I109" s="231" t="inlineStr"/>
      <c r="J109" s="27" t="inlineStr"/>
      <c r="K109" s="27" t="inlineStr"/>
      <c r="L109" s="231" t="n">
        <v>100</v>
      </c>
      <c r="M109" s="19" t="inlineStr">
        <is>
          <t>Product-ED96D303</t>
        </is>
      </c>
      <c r="N109" s="231" t="n">
        <v>1</v>
      </c>
      <c r="O109" s="236">
        <f>IFERROR(ROUND(计划落实!O109/计划!O109,5),0)</f>
        <v/>
      </c>
      <c r="P109" s="237">
        <f>IFERROR(ROUND(计划落实!P109/计划!P109,5),0)</f>
        <v/>
      </c>
      <c r="Q109" s="237">
        <f>IFERROR(ROUND(计划落实!Q109/计划!Q109,5),0)</f>
        <v/>
      </c>
      <c r="R109" s="237">
        <f>IFERROR(ROUND(计划落实!R109/计划!R109,5),0)</f>
        <v/>
      </c>
      <c r="S109" s="237">
        <f>IFERROR(ROUND(计划落实!S109/计划!S109,5),0)</f>
        <v/>
      </c>
      <c r="T109" s="237">
        <f>IFERROR(ROUND(计划落实!T109/计划!T109,5),0)</f>
        <v/>
      </c>
      <c r="U109" s="237">
        <f>IFERROR(ROUND(计划落实!U109/计划!U109,5),0)</f>
        <v/>
      </c>
      <c r="V109" s="237">
        <f>IFERROR(ROUND(计划落实!V109/计划!V109,5),0)</f>
        <v/>
      </c>
      <c r="W109" s="237">
        <f>IFERROR(ROUND(计划落实!W109/计划!W109,5),0)</f>
        <v/>
      </c>
      <c r="X109" s="237">
        <f>IFERROR(ROUND(计划落实!X109/计划!X109,5),0)</f>
        <v/>
      </c>
      <c r="Y109" s="237">
        <f>IFERROR(ROUND(计划落实!Y109/计划!Y109,5),0)</f>
        <v/>
      </c>
      <c r="Z109" s="237">
        <f>IFERROR(ROUND(计划落实!Z109/计划!Z109,5),0)</f>
        <v/>
      </c>
      <c r="AA109" s="237">
        <f>IFERROR(ROUND(计划落实!AA109/计划!AA109,5),0)</f>
        <v/>
      </c>
      <c r="AB109" s="237">
        <f>IFERROR(ROUND(计划落实!AB109/计划!AB109,5),0)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4" t="n"/>
      <c r="B110" s="231" t="inlineStr">
        <is>
          <t>SKU-2FCA7D22</t>
        </is>
      </c>
      <c r="C110" s="231" t="inlineStr">
        <is>
          <t>是</t>
        </is>
      </c>
      <c r="D110" s="231" t="n">
        <v>11</v>
      </c>
      <c r="E110" s="231" t="inlineStr"/>
      <c r="F110" s="231" t="inlineStr"/>
      <c r="G110" s="231" t="inlineStr"/>
      <c r="H110" s="231" t="inlineStr"/>
      <c r="I110" s="231" t="inlineStr"/>
      <c r="J110" s="27" t="inlineStr"/>
      <c r="K110" s="27" t="inlineStr"/>
      <c r="L110" s="231" t="n">
        <v>100</v>
      </c>
      <c r="M110" s="19" t="inlineStr">
        <is>
          <t>Product-7CFF1ED9</t>
        </is>
      </c>
      <c r="N110" s="231" t="n">
        <v>1</v>
      </c>
      <c r="O110" s="236">
        <f>IFERROR(ROUND(计划落实!O110/计划!O110,5),0)</f>
        <v/>
      </c>
      <c r="P110" s="237">
        <f>IFERROR(ROUND(计划落实!P110/计划!P110,5),0)</f>
        <v/>
      </c>
      <c r="Q110" s="237">
        <f>IFERROR(ROUND(计划落实!Q110/计划!Q110,5),0)</f>
        <v/>
      </c>
      <c r="R110" s="237">
        <f>IFERROR(ROUND(计划落实!R110/计划!R110,5),0)</f>
        <v/>
      </c>
      <c r="S110" s="237">
        <f>IFERROR(ROUND(计划落实!S110/计划!S110,5),0)</f>
        <v/>
      </c>
      <c r="T110" s="237">
        <f>IFERROR(ROUND(计划落实!T110/计划!T110,5),0)</f>
        <v/>
      </c>
      <c r="U110" s="237">
        <f>IFERROR(ROUND(计划落实!U110/计划!U110,5),0)</f>
        <v/>
      </c>
      <c r="V110" s="237">
        <f>IFERROR(ROUND(计划落实!V110/计划!V110,5),0)</f>
        <v/>
      </c>
      <c r="W110" s="237">
        <f>IFERROR(ROUND(计划落实!W110/计划!W110,5),0)</f>
        <v/>
      </c>
      <c r="X110" s="237">
        <f>IFERROR(ROUND(计划落实!X110/计划!X110,5),0)</f>
        <v/>
      </c>
      <c r="Y110" s="237">
        <f>IFERROR(ROUND(计划落实!Y110/计划!Y110,5),0)</f>
        <v/>
      </c>
      <c r="Z110" s="237">
        <f>IFERROR(ROUND(计划落实!Z110/计划!Z110,5),0)</f>
        <v/>
      </c>
      <c r="AA110" s="237">
        <f>IFERROR(ROUND(计划落实!AA110/计划!AA110,5),0)</f>
        <v/>
      </c>
      <c r="AB110" s="237">
        <f>IFERROR(ROUND(计划落实!AB110/计划!AB110,5),0)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4" t="n"/>
      <c r="B111" s="231" t="inlineStr">
        <is>
          <t>SKU-2B469B0C</t>
        </is>
      </c>
      <c r="C111" s="231" t="inlineStr">
        <is>
          <t>是</t>
        </is>
      </c>
      <c r="D111" s="231" t="n">
        <v>5</v>
      </c>
      <c r="E111" s="231" t="inlineStr">
        <is>
          <t>是</t>
        </is>
      </c>
      <c r="F111" s="231" t="inlineStr"/>
      <c r="G111" s="231" t="inlineStr"/>
      <c r="H111" s="231" t="inlineStr"/>
      <c r="I111" s="231" t="inlineStr">
        <is>
          <t>是</t>
        </is>
      </c>
      <c r="J111" s="27" t="inlineStr">
        <is>
          <t>共</t>
        </is>
      </c>
      <c r="K111" s="27" t="inlineStr"/>
      <c r="L111" s="231" t="n">
        <v>100</v>
      </c>
      <c r="M111" s="19" t="inlineStr">
        <is>
          <t>Product-782A1545</t>
        </is>
      </c>
      <c r="N111" s="231" t="n">
        <v>1</v>
      </c>
      <c r="O111" s="236">
        <f>IFERROR(ROUND(计划落实!O111/计划!O111,5),0)</f>
        <v/>
      </c>
      <c r="P111" s="237">
        <f>IFERROR(ROUND(计划落实!P111/计划!P111,5),0)</f>
        <v/>
      </c>
      <c r="Q111" s="237">
        <f>IFERROR(ROUND(计划落实!Q111/计划!Q111,5),0)</f>
        <v/>
      </c>
      <c r="R111" s="237">
        <f>IFERROR(ROUND(计划落实!R111/计划!R111,5),0)</f>
        <v/>
      </c>
      <c r="S111" s="237">
        <f>IFERROR(ROUND(计划落实!S111/计划!S111,5),0)</f>
        <v/>
      </c>
      <c r="T111" s="237">
        <f>IFERROR(ROUND(计划落实!T111/计划!T111,5),0)</f>
        <v/>
      </c>
      <c r="U111" s="237">
        <f>IFERROR(ROUND(计划落实!U111/计划!U111,5),0)</f>
        <v/>
      </c>
      <c r="V111" s="237">
        <f>IFERROR(ROUND(计划落实!V111/计划!V111,5),0)</f>
        <v/>
      </c>
      <c r="W111" s="237">
        <f>IFERROR(ROUND(计划落实!W111/计划!W111,5),0)</f>
        <v/>
      </c>
      <c r="X111" s="237">
        <f>IFERROR(ROUND(计划落实!X111/计划!X111,5),0)</f>
        <v/>
      </c>
      <c r="Y111" s="237">
        <f>IFERROR(ROUND(计划落实!Y111/计划!Y111,5),0)</f>
        <v/>
      </c>
      <c r="Z111" s="237">
        <f>IFERROR(ROUND(计划落实!Z111/计划!Z111,5),0)</f>
        <v/>
      </c>
      <c r="AA111" s="237">
        <f>IFERROR(ROUND(计划落实!AA111/计划!AA111,5),0)</f>
        <v/>
      </c>
      <c r="AB111" s="237">
        <f>IFERROR(ROUND(计划落实!AB111/计划!AB111,5),0)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4" t="n"/>
      <c r="B112" s="231" t="inlineStr">
        <is>
          <t>SKU-D352A232</t>
        </is>
      </c>
      <c r="C112" s="231" t="inlineStr">
        <is>
          <t>是</t>
        </is>
      </c>
      <c r="D112" s="231" t="n">
        <v>10</v>
      </c>
      <c r="E112" s="231" t="inlineStr"/>
      <c r="F112" s="231" t="inlineStr"/>
      <c r="G112" s="231" t="inlineStr">
        <is>
          <t>是</t>
        </is>
      </c>
      <c r="H112" s="231" t="inlineStr"/>
      <c r="I112" s="231" t="inlineStr">
        <is>
          <t>是</t>
        </is>
      </c>
      <c r="J112" s="27" t="inlineStr"/>
      <c r="K112" s="27" t="inlineStr"/>
      <c r="L112" s="231" t="n">
        <v>100</v>
      </c>
      <c r="M112" s="33" t="inlineStr">
        <is>
          <t>Product-6DB46461</t>
        </is>
      </c>
      <c r="N112" s="231" t="n">
        <v>1</v>
      </c>
      <c r="O112" s="236">
        <f>IFERROR(ROUND(计划落实!O112/计划!O112,5),0)</f>
        <v/>
      </c>
      <c r="P112" s="237">
        <f>IFERROR(ROUND(计划落实!P112/计划!P112,5),0)</f>
        <v/>
      </c>
      <c r="Q112" s="237">
        <f>IFERROR(ROUND(计划落实!Q112/计划!Q112,5),0)</f>
        <v/>
      </c>
      <c r="R112" s="237">
        <f>IFERROR(ROUND(计划落实!R112/计划!R112,5),0)</f>
        <v/>
      </c>
      <c r="S112" s="237">
        <f>IFERROR(ROUND(计划落实!S112/计划!S112,5),0)</f>
        <v/>
      </c>
      <c r="T112" s="237">
        <f>IFERROR(ROUND(计划落实!T112/计划!T112,5),0)</f>
        <v/>
      </c>
      <c r="U112" s="237">
        <f>IFERROR(ROUND(计划落实!U112/计划!U112,5),0)</f>
        <v/>
      </c>
      <c r="V112" s="237">
        <f>IFERROR(ROUND(计划落实!V112/计划!V112,5),0)</f>
        <v/>
      </c>
      <c r="W112" s="237">
        <f>IFERROR(ROUND(计划落实!W112/计划!W112,5),0)</f>
        <v/>
      </c>
      <c r="X112" s="237">
        <f>IFERROR(ROUND(计划落实!X112/计划!X112,5),0)</f>
        <v/>
      </c>
      <c r="Y112" s="237">
        <f>IFERROR(ROUND(计划落实!Y112/计划!Y112,5),0)</f>
        <v/>
      </c>
      <c r="Z112" s="237">
        <f>IFERROR(ROUND(计划落实!Z112/计划!Z112,5),0)</f>
        <v/>
      </c>
      <c r="AA112" s="237">
        <f>IFERROR(ROUND(计划落实!AA112/计划!AA112,5),0)</f>
        <v/>
      </c>
      <c r="AB112" s="237">
        <f>IFERROR(ROUND(计划落实!AB112/计划!AB112,5),0)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4" t="n"/>
      <c r="B113" s="231" t="inlineStr">
        <is>
          <t>SKU-497F1297</t>
        </is>
      </c>
      <c r="C113" s="231" t="inlineStr">
        <is>
          <t>是</t>
        </is>
      </c>
      <c r="D113" s="231" t="n">
        <v>10</v>
      </c>
      <c r="E113" s="231" t="inlineStr"/>
      <c r="F113" s="231" t="inlineStr">
        <is>
          <t>是</t>
        </is>
      </c>
      <c r="G113" s="231" t="inlineStr"/>
      <c r="H113" s="231" t="inlineStr"/>
      <c r="I113" s="231" t="inlineStr">
        <is>
          <t>是</t>
        </is>
      </c>
      <c r="J113" s="27" t="inlineStr"/>
      <c r="K113" s="27" t="inlineStr"/>
      <c r="L113" s="231" t="n">
        <v>100</v>
      </c>
      <c r="M113" s="19" t="inlineStr">
        <is>
          <t>Product-FC06EE76</t>
        </is>
      </c>
      <c r="N113" s="231" t="n">
        <v>1</v>
      </c>
      <c r="O113" s="236">
        <f>IFERROR(ROUND(计划落实!O113/计划!O113,5),0)</f>
        <v/>
      </c>
      <c r="P113" s="237">
        <f>IFERROR(ROUND(计划落实!P113/计划!P113,5),0)</f>
        <v/>
      </c>
      <c r="Q113" s="237">
        <f>IFERROR(ROUND(计划落实!Q113/计划!Q113,5),0)</f>
        <v/>
      </c>
      <c r="R113" s="237">
        <f>IFERROR(ROUND(计划落实!R113/计划!R113,5),0)</f>
        <v/>
      </c>
      <c r="S113" s="237">
        <f>IFERROR(ROUND(计划落实!S113/计划!S113,5),0)</f>
        <v/>
      </c>
      <c r="T113" s="237">
        <f>IFERROR(ROUND(计划落实!T113/计划!T113,5),0)</f>
        <v/>
      </c>
      <c r="U113" s="237">
        <f>IFERROR(ROUND(计划落实!U113/计划!U113,5),0)</f>
        <v/>
      </c>
      <c r="V113" s="237">
        <f>IFERROR(ROUND(计划落实!V113/计划!V113,5),0)</f>
        <v/>
      </c>
      <c r="W113" s="237">
        <f>IFERROR(ROUND(计划落实!W113/计划!W113,5),0)</f>
        <v/>
      </c>
      <c r="X113" s="237">
        <f>IFERROR(ROUND(计划落实!X113/计划!X113,5),0)</f>
        <v/>
      </c>
      <c r="Y113" s="237">
        <f>IFERROR(ROUND(计划落实!Y113/计划!Y113,5),0)</f>
        <v/>
      </c>
      <c r="Z113" s="237">
        <f>IFERROR(ROUND(计划落实!Z113/计划!Z113,5),0)</f>
        <v/>
      </c>
      <c r="AA113" s="237">
        <f>IFERROR(ROUND(计划落实!AA113/计划!AA113,5),0)</f>
        <v/>
      </c>
      <c r="AB113" s="237">
        <f>IFERROR(ROUND(计划落实!AB113/计划!AB113,5),0)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4" t="n"/>
      <c r="B114" s="231" t="inlineStr">
        <is>
          <t>SKU-E6463606</t>
        </is>
      </c>
      <c r="C114" s="231" t="inlineStr">
        <is>
          <t>是</t>
        </is>
      </c>
      <c r="D114" s="231" t="n">
        <v>9</v>
      </c>
      <c r="E114" s="231" t="inlineStr"/>
      <c r="F114" s="231" t="inlineStr">
        <is>
          <t>是</t>
        </is>
      </c>
      <c r="G114" s="231" t="inlineStr"/>
      <c r="H114" s="231" t="inlineStr"/>
      <c r="I114" s="231" t="inlineStr">
        <is>
          <t>是</t>
        </is>
      </c>
      <c r="J114" s="27" t="inlineStr"/>
      <c r="K114" s="27" t="inlineStr"/>
      <c r="L114" s="231" t="n">
        <v>100</v>
      </c>
      <c r="M114" s="44" t="inlineStr">
        <is>
          <t>Product-348068FF</t>
        </is>
      </c>
      <c r="N114" s="231" t="n">
        <v>1</v>
      </c>
      <c r="O114" s="236">
        <f>IFERROR(ROUND(计划落实!O114/计划!O114,5),0)</f>
        <v/>
      </c>
      <c r="P114" s="237">
        <f>IFERROR(ROUND(计划落实!P114/计划!P114,5),0)</f>
        <v/>
      </c>
      <c r="Q114" s="237">
        <f>IFERROR(ROUND(计划落实!Q114/计划!Q114,5),0)</f>
        <v/>
      </c>
      <c r="R114" s="237">
        <f>IFERROR(ROUND(计划落实!R114/计划!R114,5),0)</f>
        <v/>
      </c>
      <c r="S114" s="237">
        <f>IFERROR(ROUND(计划落实!S114/计划!S114,5),0)</f>
        <v/>
      </c>
      <c r="T114" s="237">
        <f>IFERROR(ROUND(计划落实!T114/计划!T114,5),0)</f>
        <v/>
      </c>
      <c r="U114" s="237">
        <f>IFERROR(ROUND(计划落实!U114/计划!U114,5),0)</f>
        <v/>
      </c>
      <c r="V114" s="237">
        <f>IFERROR(ROUND(计划落实!V114/计划!V114,5),0)</f>
        <v/>
      </c>
      <c r="W114" s="237">
        <f>IFERROR(ROUND(计划落实!W114/计划!W114,5),0)</f>
        <v/>
      </c>
      <c r="X114" s="237">
        <f>IFERROR(ROUND(计划落实!X114/计划!X114,5),0)</f>
        <v/>
      </c>
      <c r="Y114" s="237">
        <f>IFERROR(ROUND(计划落实!Y114/计划!Y114,5),0)</f>
        <v/>
      </c>
      <c r="Z114" s="237">
        <f>IFERROR(ROUND(计划落实!Z114/计划!Z114,5),0)</f>
        <v/>
      </c>
      <c r="AA114" s="237">
        <f>IFERROR(ROUND(计划落实!AA114/计划!AA114,5),0)</f>
        <v/>
      </c>
      <c r="AB114" s="237">
        <f>IFERROR(ROUND(计划落实!AB114/计划!AB114,5),0)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4" t="n"/>
      <c r="B115" s="231" t="inlineStr">
        <is>
          <t>SKU-8EB26120</t>
        </is>
      </c>
      <c r="C115" s="231" t="inlineStr">
        <is>
          <t>是</t>
        </is>
      </c>
      <c r="D115" s="231" t="n">
        <v>7</v>
      </c>
      <c r="E115" s="231" t="inlineStr">
        <is>
          <t>是</t>
        </is>
      </c>
      <c r="F115" s="231" t="inlineStr"/>
      <c r="G115" s="231" t="inlineStr"/>
      <c r="H115" s="231" t="inlineStr"/>
      <c r="I115" s="231" t="inlineStr">
        <is>
          <t>是</t>
        </is>
      </c>
      <c r="J115" s="27" t="inlineStr">
        <is>
          <t>共</t>
        </is>
      </c>
      <c r="K115" s="27" t="inlineStr"/>
      <c r="L115" s="231" t="n">
        <v>100</v>
      </c>
      <c r="M115" s="19" t="inlineStr">
        <is>
          <t>Product-73F3BBE5</t>
        </is>
      </c>
      <c r="N115" s="231" t="n">
        <v>1</v>
      </c>
      <c r="O115" s="236">
        <f>IFERROR(ROUND(计划落实!O115/计划!O115,5),0)</f>
        <v/>
      </c>
      <c r="P115" s="237">
        <f>IFERROR(ROUND(计划落实!P115/计划!P115,5),0)</f>
        <v/>
      </c>
      <c r="Q115" s="237">
        <f>IFERROR(ROUND(计划落实!Q115/计划!Q115,5),0)</f>
        <v/>
      </c>
      <c r="R115" s="237">
        <f>IFERROR(ROUND(计划落实!R115/计划!R115,5),0)</f>
        <v/>
      </c>
      <c r="S115" s="237">
        <f>IFERROR(ROUND(计划落实!S115/计划!S115,5),0)</f>
        <v/>
      </c>
      <c r="T115" s="237">
        <f>IFERROR(ROUND(计划落实!T115/计划!T115,5),0)</f>
        <v/>
      </c>
      <c r="U115" s="237">
        <f>IFERROR(ROUND(计划落实!U115/计划!U115,5),0)</f>
        <v/>
      </c>
      <c r="V115" s="237">
        <f>IFERROR(ROUND(计划落实!V115/计划!V115,5),0)</f>
        <v/>
      </c>
      <c r="W115" s="237">
        <f>IFERROR(ROUND(计划落实!W115/计划!W115,5),0)</f>
        <v/>
      </c>
      <c r="X115" s="237">
        <f>IFERROR(ROUND(计划落实!X115/计划!X115,5),0)</f>
        <v/>
      </c>
      <c r="Y115" s="237">
        <f>IFERROR(ROUND(计划落实!Y115/计划!Y115,5),0)</f>
        <v/>
      </c>
      <c r="Z115" s="237">
        <f>IFERROR(ROUND(计划落实!Z115/计划!Z115,5),0)</f>
        <v/>
      </c>
      <c r="AA115" s="237">
        <f>IFERROR(ROUND(计划落实!AA115/计划!AA115,5),0)</f>
        <v/>
      </c>
      <c r="AB115" s="237">
        <f>IFERROR(ROUND(计划落实!AB115/计划!AB115,5),0)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4" t="n"/>
      <c r="B116" s="231" t="inlineStr">
        <is>
          <t>SKU-8515A26A</t>
        </is>
      </c>
      <c r="C116" s="231" t="inlineStr">
        <is>
          <t>是</t>
        </is>
      </c>
      <c r="D116" s="231" t="n">
        <v>9</v>
      </c>
      <c r="E116" s="231" t="inlineStr"/>
      <c r="F116" s="231" t="inlineStr">
        <is>
          <t>是</t>
        </is>
      </c>
      <c r="G116" s="231" t="inlineStr"/>
      <c r="H116" s="231" t="inlineStr"/>
      <c r="I116" s="231" t="inlineStr">
        <is>
          <t>是</t>
        </is>
      </c>
      <c r="J116" s="27" t="inlineStr">
        <is>
          <t>共</t>
        </is>
      </c>
      <c r="K116" s="27" t="inlineStr"/>
      <c r="L116" s="231" t="n">
        <v>100</v>
      </c>
      <c r="M116" s="19" t="inlineStr">
        <is>
          <t>Product-2C6E1A8D</t>
        </is>
      </c>
      <c r="N116" s="231" t="n">
        <v>1</v>
      </c>
      <c r="O116" s="236">
        <f>IFERROR(ROUND(计划落实!O116/计划!O116,5),0)</f>
        <v/>
      </c>
      <c r="P116" s="237">
        <f>IFERROR(ROUND(计划落实!P116/计划!P116,5),0)</f>
        <v/>
      </c>
      <c r="Q116" s="237">
        <f>IFERROR(ROUND(计划落实!Q116/计划!Q116,5),0)</f>
        <v/>
      </c>
      <c r="R116" s="237">
        <f>IFERROR(ROUND(计划落实!R116/计划!R116,5),0)</f>
        <v/>
      </c>
      <c r="S116" s="237">
        <f>IFERROR(ROUND(计划落实!S116/计划!S116,5),0)</f>
        <v/>
      </c>
      <c r="T116" s="237">
        <f>IFERROR(ROUND(计划落实!T116/计划!T116,5),0)</f>
        <v/>
      </c>
      <c r="U116" s="237">
        <f>IFERROR(ROUND(计划落实!U116/计划!U116,5),0)</f>
        <v/>
      </c>
      <c r="V116" s="237">
        <f>IFERROR(ROUND(计划落实!V116/计划!V116,5),0)</f>
        <v/>
      </c>
      <c r="W116" s="237">
        <f>IFERROR(ROUND(计划落实!W116/计划!W116,5),0)</f>
        <v/>
      </c>
      <c r="X116" s="237">
        <f>IFERROR(ROUND(计划落实!X116/计划!X116,5),0)</f>
        <v/>
      </c>
      <c r="Y116" s="237">
        <f>IFERROR(ROUND(计划落实!Y116/计划!Y116,5),0)</f>
        <v/>
      </c>
      <c r="Z116" s="237">
        <f>IFERROR(ROUND(计划落实!Z116/计划!Z116,5),0)</f>
        <v/>
      </c>
      <c r="AA116" s="237">
        <f>IFERROR(ROUND(计划落实!AA116/计划!AA116,5),0)</f>
        <v/>
      </c>
      <c r="AB116" s="237">
        <f>IFERROR(ROUND(计划落实!AB116/计划!AB116,5),0)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4" t="n"/>
      <c r="B117" s="231" t="inlineStr">
        <is>
          <t>SKU-2164A7E1</t>
        </is>
      </c>
      <c r="C117" s="231" t="inlineStr">
        <is>
          <t>是</t>
        </is>
      </c>
      <c r="D117" s="231" t="n">
        <v>10</v>
      </c>
      <c r="E117" s="231" t="inlineStr"/>
      <c r="F117" s="231" t="inlineStr"/>
      <c r="G117" s="231" t="inlineStr"/>
      <c r="H117" s="231" t="inlineStr"/>
      <c r="I117" s="231" t="inlineStr"/>
      <c r="J117" s="27" t="inlineStr">
        <is>
          <t>共</t>
        </is>
      </c>
      <c r="K117" s="27" t="inlineStr"/>
      <c r="L117" s="231" t="n">
        <v>100</v>
      </c>
      <c r="M117" s="19" t="inlineStr">
        <is>
          <t>Product-E6A26B29</t>
        </is>
      </c>
      <c r="N117" s="231" t="n">
        <v>1</v>
      </c>
      <c r="O117" s="236">
        <f>IFERROR(ROUND(计划落实!O117/计划!O117,5),0)</f>
        <v/>
      </c>
      <c r="P117" s="237">
        <f>IFERROR(ROUND(计划落实!P117/计划!P117,5),0)</f>
        <v/>
      </c>
      <c r="Q117" s="237">
        <f>IFERROR(ROUND(计划落实!Q117/计划!Q117,5),0)</f>
        <v/>
      </c>
      <c r="R117" s="237">
        <f>IFERROR(ROUND(计划落实!R117/计划!R117,5),0)</f>
        <v/>
      </c>
      <c r="S117" s="237">
        <f>IFERROR(ROUND(计划落实!S117/计划!S117,5),0)</f>
        <v/>
      </c>
      <c r="T117" s="237">
        <f>IFERROR(ROUND(计划落实!T117/计划!T117,5),0)</f>
        <v/>
      </c>
      <c r="U117" s="237">
        <f>IFERROR(ROUND(计划落实!U117/计划!U117,5),0)</f>
        <v/>
      </c>
      <c r="V117" s="237">
        <f>IFERROR(ROUND(计划落实!V117/计划!V117,5),0)</f>
        <v/>
      </c>
      <c r="W117" s="237">
        <f>IFERROR(ROUND(计划落实!W117/计划!W117,5),0)</f>
        <v/>
      </c>
      <c r="X117" s="237">
        <f>IFERROR(ROUND(计划落实!X117/计划!X117,5),0)</f>
        <v/>
      </c>
      <c r="Y117" s="237">
        <f>IFERROR(ROUND(计划落实!Y117/计划!Y117,5),0)</f>
        <v/>
      </c>
      <c r="Z117" s="237">
        <f>IFERROR(ROUND(计划落实!Z117/计划!Z117,5),0)</f>
        <v/>
      </c>
      <c r="AA117" s="237">
        <f>IFERROR(ROUND(计划落实!AA117/计划!AA117,5),0)</f>
        <v/>
      </c>
      <c r="AB117" s="237">
        <f>IFERROR(ROUND(计划落实!AB117/计划!AB117,5),0)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4" t="n"/>
      <c r="B118" s="231" t="inlineStr">
        <is>
          <t>SKU-C3DF57B7</t>
        </is>
      </c>
      <c r="C118" s="231" t="inlineStr">
        <is>
          <t>是</t>
        </is>
      </c>
      <c r="D118" s="231" t="n">
        <v>5</v>
      </c>
      <c r="E118" s="231" t="inlineStr"/>
      <c r="F118" s="231" t="inlineStr">
        <is>
          <t>是</t>
        </is>
      </c>
      <c r="G118" s="231" t="inlineStr"/>
      <c r="H118" s="231" t="inlineStr"/>
      <c r="I118" s="231" t="inlineStr">
        <is>
          <t>是</t>
        </is>
      </c>
      <c r="J118" s="27" t="inlineStr"/>
      <c r="K118" s="27" t="inlineStr"/>
      <c r="L118" s="231" t="n">
        <v>100</v>
      </c>
      <c r="M118" s="19" t="inlineStr">
        <is>
          <t>Product-79AFFC5E</t>
        </is>
      </c>
      <c r="N118" s="231" t="n">
        <v>1</v>
      </c>
      <c r="O118" s="236">
        <f>IFERROR(ROUND(计划落实!O118/计划!O118,5),0)</f>
        <v/>
      </c>
      <c r="P118" s="237">
        <f>IFERROR(ROUND(计划落实!P118/计划!P118,5),0)</f>
        <v/>
      </c>
      <c r="Q118" s="237">
        <f>IFERROR(ROUND(计划落实!Q118/计划!Q118,5),0)</f>
        <v/>
      </c>
      <c r="R118" s="237">
        <f>IFERROR(ROUND(计划落实!R118/计划!R118,5),0)</f>
        <v/>
      </c>
      <c r="S118" s="237">
        <f>IFERROR(ROUND(计划落实!S118/计划!S118,5),0)</f>
        <v/>
      </c>
      <c r="T118" s="237">
        <f>IFERROR(ROUND(计划落实!T118/计划!T118,5),0)</f>
        <v/>
      </c>
      <c r="U118" s="237">
        <f>IFERROR(ROUND(计划落实!U118/计划!U118,5),0)</f>
        <v/>
      </c>
      <c r="V118" s="237">
        <f>IFERROR(ROUND(计划落实!V118/计划!V118,5),0)</f>
        <v/>
      </c>
      <c r="W118" s="237">
        <f>IFERROR(ROUND(计划落实!W118/计划!W118,5),0)</f>
        <v/>
      </c>
      <c r="X118" s="237">
        <f>IFERROR(ROUND(计划落实!X118/计划!X118,5),0)</f>
        <v/>
      </c>
      <c r="Y118" s="237">
        <f>IFERROR(ROUND(计划落实!Y118/计划!Y118,5),0)</f>
        <v/>
      </c>
      <c r="Z118" s="237">
        <f>IFERROR(ROUND(计划落实!Z118/计划!Z118,5),0)</f>
        <v/>
      </c>
      <c r="AA118" s="237">
        <f>IFERROR(ROUND(计划落实!AA118/计划!AA118,5),0)</f>
        <v/>
      </c>
      <c r="AB118" s="237">
        <f>IFERROR(ROUND(计划落实!AB118/计划!AB118,5),0)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5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239">
        <f>IFERROR(ROUND(计划落实!O119/计划!O119,5),0)</f>
        <v/>
      </c>
      <c r="P119" s="239">
        <f>IFERROR(ROUND(计划落实!P119/计划!P119,5),0)</f>
        <v/>
      </c>
      <c r="Q119" s="239">
        <f>IFERROR(ROUND(计划落实!Q119/计划!Q119,5),0)</f>
        <v/>
      </c>
      <c r="R119" s="239">
        <f>IFERROR(ROUND(计划落实!R119/计划!R119,5),0)</f>
        <v/>
      </c>
      <c r="S119" s="239">
        <f>IFERROR(ROUND(计划落实!S119/计划!S119,5),0)</f>
        <v/>
      </c>
      <c r="T119" s="239">
        <f>IFERROR(ROUND(计划落实!T119/计划!T119,5),0)</f>
        <v/>
      </c>
      <c r="U119" s="239">
        <f>IFERROR(ROUND(计划落实!U119/计划!U119,5),0)</f>
        <v/>
      </c>
      <c r="V119" s="239">
        <f>IFERROR(ROUND(计划落实!V119/计划!V119,5),0)</f>
        <v/>
      </c>
      <c r="W119" s="239">
        <f>IFERROR(ROUND(计划落实!W119/计划!W119,5),0)</f>
        <v/>
      </c>
      <c r="X119" s="239">
        <f>IFERROR(ROUND(计划落实!X119/计划!X119,5),0)</f>
        <v/>
      </c>
      <c r="Y119" s="239">
        <f>IFERROR(ROUND(计划落实!Y119/计划!Y119,5),0)</f>
        <v/>
      </c>
      <c r="Z119" s="239">
        <f>IFERROR(ROUND(计划落实!Z119/计划!Z119,5),0)</f>
        <v/>
      </c>
      <c r="AA119" s="239">
        <f>IFERROR(ROUND(计划落实!AA119/计划!AA119,5),0)</f>
        <v/>
      </c>
      <c r="AB119" s="239">
        <f>IFERROR(ROUND(计划落实!AB119/计划!AB119,5),0)</f>
        <v/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31" t="inlineStr">
        <is>
          <t>SKU-0E698170</t>
        </is>
      </c>
      <c r="C120" s="231" t="inlineStr">
        <is>
          <t>是</t>
        </is>
      </c>
      <c r="D120" s="231" t="n">
        <v>10</v>
      </c>
      <c r="E120" s="231" t="inlineStr"/>
      <c r="F120" s="231" t="inlineStr"/>
      <c r="G120" s="231" t="inlineStr"/>
      <c r="H120" s="231" t="inlineStr"/>
      <c r="I120" s="231" t="inlineStr"/>
      <c r="J120" s="27" t="inlineStr"/>
      <c r="K120" s="27" t="inlineStr"/>
      <c r="L120" s="231" t="n">
        <v>100</v>
      </c>
      <c r="M120" s="19" t="inlineStr">
        <is>
          <t>Product-EF8C3EC5</t>
        </is>
      </c>
      <c r="N120" s="231" t="n">
        <v>1</v>
      </c>
      <c r="O120" s="236">
        <f>IFERROR(ROUND(计划落实!O120/计划!O120,5),0)</f>
        <v/>
      </c>
      <c r="P120" s="237">
        <f>IFERROR(ROUND(计划落实!P120/计划!P120,5),0)</f>
        <v/>
      </c>
      <c r="Q120" s="237">
        <f>IFERROR(ROUND(计划落实!Q120/计划!Q120,5),0)</f>
        <v/>
      </c>
      <c r="R120" s="237">
        <f>IFERROR(ROUND(计划落实!R120/计划!R120,5),0)</f>
        <v/>
      </c>
      <c r="S120" s="237">
        <f>IFERROR(ROUND(计划落实!S120/计划!S120,5),0)</f>
        <v/>
      </c>
      <c r="T120" s="237">
        <f>IFERROR(ROUND(计划落实!T120/计划!T120,5),0)</f>
        <v/>
      </c>
      <c r="U120" s="237">
        <f>IFERROR(ROUND(计划落实!U120/计划!U120,5),0)</f>
        <v/>
      </c>
      <c r="V120" s="237">
        <f>IFERROR(ROUND(计划落实!V120/计划!V120,5),0)</f>
        <v/>
      </c>
      <c r="W120" s="237">
        <f>IFERROR(ROUND(计划落实!W120/计划!W120,5),0)</f>
        <v/>
      </c>
      <c r="X120" s="237">
        <f>IFERROR(ROUND(计划落实!X120/计划!X120,5),0)</f>
        <v/>
      </c>
      <c r="Y120" s="237">
        <f>IFERROR(ROUND(计划落实!Y120/计划!Y120,5),0)</f>
        <v/>
      </c>
      <c r="Z120" s="237">
        <f>IFERROR(ROUND(计划落实!Z120/计划!Z120,5),0)</f>
        <v/>
      </c>
      <c r="AA120" s="237">
        <f>IFERROR(ROUND(计划落实!AA120/计划!AA120,5),0)</f>
        <v/>
      </c>
      <c r="AB120" s="237">
        <f>IFERROR(ROUND(计划落实!AB120/计划!AB120,5),0)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4" t="n"/>
      <c r="B121" s="231" t="inlineStr">
        <is>
          <t>SKU-B0AA269B</t>
        </is>
      </c>
      <c r="C121" s="231" t="inlineStr">
        <is>
          <t>是</t>
        </is>
      </c>
      <c r="D121" s="231" t="n">
        <v>10</v>
      </c>
      <c r="E121" s="231" t="inlineStr"/>
      <c r="F121" s="231" t="inlineStr"/>
      <c r="G121" s="231" t="inlineStr">
        <is>
          <t>是</t>
        </is>
      </c>
      <c r="H121" s="231" t="inlineStr"/>
      <c r="I121" s="231" t="inlineStr">
        <is>
          <t>是</t>
        </is>
      </c>
      <c r="J121" s="27" t="inlineStr"/>
      <c r="K121" s="27" t="inlineStr"/>
      <c r="L121" s="231" t="n">
        <v>100</v>
      </c>
      <c r="M121" s="19" t="inlineStr">
        <is>
          <t>Product-BFD53BC0</t>
        </is>
      </c>
      <c r="N121" s="231" t="n">
        <v>2</v>
      </c>
      <c r="O121" s="236">
        <f>IFERROR(ROUND(计划落实!O121/计划!O121,5),0)</f>
        <v/>
      </c>
      <c r="P121" s="237">
        <f>IFERROR(ROUND(计划落实!P121/计划!P121,5),0)</f>
        <v/>
      </c>
      <c r="Q121" s="237">
        <f>IFERROR(ROUND(计划落实!Q121/计划!Q121,5),0)</f>
        <v/>
      </c>
      <c r="R121" s="237">
        <f>IFERROR(ROUND(计划落实!R121/计划!R121,5),0)</f>
        <v/>
      </c>
      <c r="S121" s="237">
        <f>IFERROR(ROUND(计划落实!S121/计划!S121,5),0)</f>
        <v/>
      </c>
      <c r="T121" s="237">
        <f>IFERROR(ROUND(计划落实!T121/计划!T121,5),0)</f>
        <v/>
      </c>
      <c r="U121" s="237">
        <f>IFERROR(ROUND(计划落实!U121/计划!U121,5),0)</f>
        <v/>
      </c>
      <c r="V121" s="237">
        <f>IFERROR(ROUND(计划落实!V121/计划!V121,5),0)</f>
        <v/>
      </c>
      <c r="W121" s="237">
        <f>IFERROR(ROUND(计划落实!W121/计划!W121,5),0)</f>
        <v/>
      </c>
      <c r="X121" s="237">
        <f>IFERROR(ROUND(计划落实!X121/计划!X121,5),0)</f>
        <v/>
      </c>
      <c r="Y121" s="237">
        <f>IFERROR(ROUND(计划落实!Y121/计划!Y121,5),0)</f>
        <v/>
      </c>
      <c r="Z121" s="237">
        <f>IFERROR(ROUND(计划落实!Z121/计划!Z121,5),0)</f>
        <v/>
      </c>
      <c r="AA121" s="237">
        <f>IFERROR(ROUND(计划落实!AA121/计划!AA121,5),0)</f>
        <v/>
      </c>
      <c r="AB121" s="237">
        <f>IFERROR(ROUND(计划落实!AB121/计划!AB121,5),0)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4" t="n"/>
      <c r="B122" s="231" t="inlineStr">
        <is>
          <t>SKU-95370A38</t>
        </is>
      </c>
      <c r="C122" s="231" t="inlineStr">
        <is>
          <t>是</t>
        </is>
      </c>
      <c r="D122" s="231" t="n">
        <v>10</v>
      </c>
      <c r="E122" s="231" t="inlineStr"/>
      <c r="F122" s="231" t="inlineStr"/>
      <c r="G122" s="231" t="inlineStr"/>
      <c r="H122" s="231" t="inlineStr"/>
      <c r="I122" s="231" t="inlineStr"/>
      <c r="J122" s="27" t="inlineStr"/>
      <c r="K122" s="27" t="inlineStr"/>
      <c r="L122" s="231" t="n">
        <v>100</v>
      </c>
      <c r="M122" s="44" t="inlineStr">
        <is>
          <t>Product-204DEBD7</t>
        </is>
      </c>
      <c r="N122" s="231" t="n">
        <v>3</v>
      </c>
      <c r="O122" s="236">
        <f>IFERROR(ROUND(计划落实!O122/计划!O122,5),0)</f>
        <v/>
      </c>
      <c r="P122" s="237">
        <f>IFERROR(ROUND(计划落实!P122/计划!P122,5),0)</f>
        <v/>
      </c>
      <c r="Q122" s="237">
        <f>IFERROR(ROUND(计划落实!Q122/计划!Q122,5),0)</f>
        <v/>
      </c>
      <c r="R122" s="237">
        <f>IFERROR(ROUND(计划落实!R122/计划!R122,5),0)</f>
        <v/>
      </c>
      <c r="S122" s="237">
        <f>IFERROR(ROUND(计划落实!S122/计划!S122,5),0)</f>
        <v/>
      </c>
      <c r="T122" s="237">
        <f>IFERROR(ROUND(计划落实!T122/计划!T122,5),0)</f>
        <v/>
      </c>
      <c r="U122" s="237">
        <f>IFERROR(ROUND(计划落实!U122/计划!U122,5),0)</f>
        <v/>
      </c>
      <c r="V122" s="237">
        <f>IFERROR(ROUND(计划落实!V122/计划!V122,5),0)</f>
        <v/>
      </c>
      <c r="W122" s="237">
        <f>IFERROR(ROUND(计划落实!W122/计划!W122,5),0)</f>
        <v/>
      </c>
      <c r="X122" s="237">
        <f>IFERROR(ROUND(计划落实!X122/计划!X122,5),0)</f>
        <v/>
      </c>
      <c r="Y122" s="237">
        <f>IFERROR(ROUND(计划落实!Y122/计划!Y122,5),0)</f>
        <v/>
      </c>
      <c r="Z122" s="237">
        <f>IFERROR(ROUND(计划落实!Z122/计划!Z122,5),0)</f>
        <v/>
      </c>
      <c r="AA122" s="237">
        <f>IFERROR(ROUND(计划落实!AA122/计划!AA122,5),0)</f>
        <v/>
      </c>
      <c r="AB122" s="237">
        <f>IFERROR(ROUND(计划落实!AB122/计划!AB122,5),0)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4" t="n"/>
      <c r="B123" s="231" t="inlineStr">
        <is>
          <t>SKU-C25067A0</t>
        </is>
      </c>
      <c r="C123" s="231" t="inlineStr">
        <is>
          <t>是</t>
        </is>
      </c>
      <c r="D123" s="231" t="n">
        <v>8</v>
      </c>
      <c r="E123" s="231" t="inlineStr">
        <is>
          <t>是</t>
        </is>
      </c>
      <c r="F123" s="231" t="inlineStr"/>
      <c r="G123" s="231" t="inlineStr"/>
      <c r="H123" s="231" t="inlineStr"/>
      <c r="I123" s="231" t="inlineStr">
        <is>
          <t>是</t>
        </is>
      </c>
      <c r="J123" s="27" t="inlineStr">
        <is>
          <t>共</t>
        </is>
      </c>
      <c r="K123" s="27" t="inlineStr"/>
      <c r="L123" s="231" t="n">
        <v>100</v>
      </c>
      <c r="M123" s="19" t="inlineStr">
        <is>
          <t>Product-0FF79B6A</t>
        </is>
      </c>
      <c r="N123" s="231" t="n">
        <v>1</v>
      </c>
      <c r="O123" s="236">
        <f>IFERROR(ROUND(计划落实!O123/计划!O123,5),0)</f>
        <v/>
      </c>
      <c r="P123" s="237">
        <f>IFERROR(ROUND(计划落实!P123/计划!P123,5),0)</f>
        <v/>
      </c>
      <c r="Q123" s="237">
        <f>IFERROR(ROUND(计划落实!Q123/计划!Q123,5),0)</f>
        <v/>
      </c>
      <c r="R123" s="237">
        <f>IFERROR(ROUND(计划落实!R123/计划!R123,5),0)</f>
        <v/>
      </c>
      <c r="S123" s="237">
        <f>IFERROR(ROUND(计划落实!S123/计划!S123,5),0)</f>
        <v/>
      </c>
      <c r="T123" s="237">
        <f>IFERROR(ROUND(计划落实!T123/计划!T123,5),0)</f>
        <v/>
      </c>
      <c r="U123" s="237">
        <f>IFERROR(ROUND(计划落实!U123/计划!U123,5),0)</f>
        <v/>
      </c>
      <c r="V123" s="237">
        <f>IFERROR(ROUND(计划落实!V123/计划!V123,5),0)</f>
        <v/>
      </c>
      <c r="W123" s="237">
        <f>IFERROR(ROUND(计划落实!W123/计划!W123,5),0)</f>
        <v/>
      </c>
      <c r="X123" s="237">
        <f>IFERROR(ROUND(计划落实!X123/计划!X123,5),0)</f>
        <v/>
      </c>
      <c r="Y123" s="237">
        <f>IFERROR(ROUND(计划落实!Y123/计划!Y123,5),0)</f>
        <v/>
      </c>
      <c r="Z123" s="237">
        <f>IFERROR(ROUND(计划落实!Z123/计划!Z123,5),0)</f>
        <v/>
      </c>
      <c r="AA123" s="237">
        <f>IFERROR(ROUND(计划落实!AA123/计划!AA123,5),0)</f>
        <v/>
      </c>
      <c r="AB123" s="237">
        <f>IFERROR(ROUND(计划落实!AB123/计划!AB123,5),0)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4" t="n"/>
      <c r="B124" s="231" t="inlineStr">
        <is>
          <t>SKU-D7B45BE5</t>
        </is>
      </c>
      <c r="C124" s="231" t="inlineStr">
        <is>
          <t>是</t>
        </is>
      </c>
      <c r="D124" s="231" t="n">
        <v>10</v>
      </c>
      <c r="E124" s="231" t="inlineStr"/>
      <c r="F124" s="231" t="inlineStr"/>
      <c r="G124" s="231" t="inlineStr"/>
      <c r="H124" s="231" t="inlineStr"/>
      <c r="I124" s="231" t="inlineStr"/>
      <c r="J124" s="27" t="inlineStr"/>
      <c r="K124" s="27" t="inlineStr"/>
      <c r="L124" s="231" t="n">
        <v>100</v>
      </c>
      <c r="M124" s="44" t="inlineStr">
        <is>
          <t>Product-58C86CC9</t>
        </is>
      </c>
      <c r="N124" s="231" t="n">
        <v>3</v>
      </c>
      <c r="O124" s="236">
        <f>IFERROR(ROUND(计划落实!O124/计划!O124,5),0)</f>
        <v/>
      </c>
      <c r="P124" s="237">
        <f>IFERROR(ROUND(计划落实!P124/计划!P124,5),0)</f>
        <v/>
      </c>
      <c r="Q124" s="237">
        <f>IFERROR(ROUND(计划落实!Q124/计划!Q124,5),0)</f>
        <v/>
      </c>
      <c r="R124" s="237">
        <f>IFERROR(ROUND(计划落实!R124/计划!R124,5),0)</f>
        <v/>
      </c>
      <c r="S124" s="237">
        <f>IFERROR(ROUND(计划落实!S124/计划!S124,5),0)</f>
        <v/>
      </c>
      <c r="T124" s="237">
        <f>IFERROR(ROUND(计划落实!T124/计划!T124,5),0)</f>
        <v/>
      </c>
      <c r="U124" s="237">
        <f>IFERROR(ROUND(计划落实!U124/计划!U124,5),0)</f>
        <v/>
      </c>
      <c r="V124" s="237">
        <f>IFERROR(ROUND(计划落实!V124/计划!V124,5),0)</f>
        <v/>
      </c>
      <c r="W124" s="237">
        <f>IFERROR(ROUND(计划落实!W124/计划!W124,5),0)</f>
        <v/>
      </c>
      <c r="X124" s="237">
        <f>IFERROR(ROUND(计划落实!X124/计划!X124,5),0)</f>
        <v/>
      </c>
      <c r="Y124" s="237">
        <f>IFERROR(ROUND(计划落实!Y124/计划!Y124,5),0)</f>
        <v/>
      </c>
      <c r="Z124" s="237">
        <f>IFERROR(ROUND(计划落实!Z124/计划!Z124,5),0)</f>
        <v/>
      </c>
      <c r="AA124" s="237">
        <f>IFERROR(ROUND(计划落实!AA124/计划!AA124,5),0)</f>
        <v/>
      </c>
      <c r="AB124" s="237">
        <f>IFERROR(ROUND(计划落实!AB124/计划!AB124,5),0)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4" t="n"/>
      <c r="B125" s="231" t="inlineStr">
        <is>
          <t>SKU-B2C22E30</t>
        </is>
      </c>
      <c r="C125" s="231" t="inlineStr">
        <is>
          <t>是</t>
        </is>
      </c>
      <c r="D125" s="231" t="n">
        <v>10</v>
      </c>
      <c r="E125" s="231" t="inlineStr"/>
      <c r="F125" s="231" t="inlineStr"/>
      <c r="G125" s="231" t="inlineStr"/>
      <c r="H125" s="231" t="inlineStr"/>
      <c r="I125" s="231" t="inlineStr"/>
      <c r="J125" s="27" t="inlineStr"/>
      <c r="K125" s="27" t="inlineStr"/>
      <c r="L125" s="231" t="n">
        <v>100</v>
      </c>
      <c r="M125" s="19" t="inlineStr">
        <is>
          <t>Product-5FF63CBE</t>
        </is>
      </c>
      <c r="N125" s="231" t="n">
        <v>3</v>
      </c>
      <c r="O125" s="236">
        <f>IFERROR(ROUND(计划落实!O125/计划!O125,5),0)</f>
        <v/>
      </c>
      <c r="P125" s="237">
        <f>IFERROR(ROUND(计划落实!P125/计划!P125,5),0)</f>
        <v/>
      </c>
      <c r="Q125" s="237">
        <f>IFERROR(ROUND(计划落实!Q125/计划!Q125,5),0)</f>
        <v/>
      </c>
      <c r="R125" s="237">
        <f>IFERROR(ROUND(计划落实!R125/计划!R125,5),0)</f>
        <v/>
      </c>
      <c r="S125" s="237">
        <f>IFERROR(ROUND(计划落实!S125/计划!S125,5),0)</f>
        <v/>
      </c>
      <c r="T125" s="237">
        <f>IFERROR(ROUND(计划落实!T125/计划!T125,5),0)</f>
        <v/>
      </c>
      <c r="U125" s="237">
        <f>IFERROR(ROUND(计划落实!U125/计划!U125,5),0)</f>
        <v/>
      </c>
      <c r="V125" s="237">
        <f>IFERROR(ROUND(计划落实!V125/计划!V125,5),0)</f>
        <v/>
      </c>
      <c r="W125" s="237">
        <f>IFERROR(ROUND(计划落实!W125/计划!W125,5),0)</f>
        <v/>
      </c>
      <c r="X125" s="237">
        <f>IFERROR(ROUND(计划落实!X125/计划!X125,5),0)</f>
        <v/>
      </c>
      <c r="Y125" s="237">
        <f>IFERROR(ROUND(计划落实!Y125/计划!Y125,5),0)</f>
        <v/>
      </c>
      <c r="Z125" s="237">
        <f>IFERROR(ROUND(计划落实!Z125/计划!Z125,5),0)</f>
        <v/>
      </c>
      <c r="AA125" s="237">
        <f>IFERROR(ROUND(计划落实!AA125/计划!AA125,5),0)</f>
        <v/>
      </c>
      <c r="AB125" s="237">
        <f>IFERROR(ROUND(计划落实!AB125/计划!AB125,5),0)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4" t="n"/>
      <c r="B126" s="231" t="inlineStr">
        <is>
          <t>SKU-F56BB5B7</t>
        </is>
      </c>
      <c r="C126" s="231" t="inlineStr">
        <is>
          <t>是</t>
        </is>
      </c>
      <c r="D126" s="231" t="n">
        <v>8</v>
      </c>
      <c r="E126" s="231" t="inlineStr">
        <is>
          <t>是</t>
        </is>
      </c>
      <c r="F126" s="231" t="inlineStr"/>
      <c r="G126" s="231" t="inlineStr"/>
      <c r="H126" s="231" t="inlineStr">
        <is>
          <t>是</t>
        </is>
      </c>
      <c r="I126" s="231" t="inlineStr">
        <is>
          <t>是</t>
        </is>
      </c>
      <c r="J126" s="27" t="inlineStr">
        <is>
          <t>共</t>
        </is>
      </c>
      <c r="K126" s="27" t="inlineStr"/>
      <c r="L126" s="231" t="n">
        <v>100</v>
      </c>
      <c r="M126" s="19" t="inlineStr">
        <is>
          <t>Product-DD0EEB81</t>
        </is>
      </c>
      <c r="N126" s="231" t="n">
        <v>1</v>
      </c>
      <c r="O126" s="236">
        <f>IFERROR(ROUND(计划落实!O126/计划!O126,5),0)</f>
        <v/>
      </c>
      <c r="P126" s="237">
        <f>IFERROR(ROUND(计划落实!P126/计划!P126,5),0)</f>
        <v/>
      </c>
      <c r="Q126" s="237">
        <f>IFERROR(ROUND(计划落实!Q126/计划!Q126,5),0)</f>
        <v/>
      </c>
      <c r="R126" s="237">
        <f>IFERROR(ROUND(计划落实!R126/计划!R126,5),0)</f>
        <v/>
      </c>
      <c r="S126" s="237">
        <f>IFERROR(ROUND(计划落实!S126/计划!S126,5),0)</f>
        <v/>
      </c>
      <c r="T126" s="237">
        <f>IFERROR(ROUND(计划落实!T126/计划!T126,5),0)</f>
        <v/>
      </c>
      <c r="U126" s="237">
        <f>IFERROR(ROUND(计划落实!U126/计划!U126,5),0)</f>
        <v/>
      </c>
      <c r="V126" s="237">
        <f>IFERROR(ROUND(计划落实!V126/计划!V126,5),0)</f>
        <v/>
      </c>
      <c r="W126" s="237">
        <f>IFERROR(ROUND(计划落实!W126/计划!W126,5),0)</f>
        <v/>
      </c>
      <c r="X126" s="237">
        <f>IFERROR(ROUND(计划落实!X126/计划!X126,5),0)</f>
        <v/>
      </c>
      <c r="Y126" s="237">
        <f>IFERROR(ROUND(计划落实!Y126/计划!Y126,5),0)</f>
        <v/>
      </c>
      <c r="Z126" s="237">
        <f>IFERROR(ROUND(计划落实!Z126/计划!Z126,5),0)</f>
        <v/>
      </c>
      <c r="AA126" s="237">
        <f>IFERROR(ROUND(计划落实!AA126/计划!AA126,5),0)</f>
        <v/>
      </c>
      <c r="AB126" s="237">
        <f>IFERROR(ROUND(计划落实!AB126/计划!AB126,5),0)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4" t="n"/>
      <c r="B127" s="231" t="inlineStr">
        <is>
          <t>SKU-3F557AF3</t>
        </is>
      </c>
      <c r="C127" s="231" t="inlineStr">
        <is>
          <t>是</t>
        </is>
      </c>
      <c r="D127" s="231" t="n">
        <v>10</v>
      </c>
      <c r="E127" s="231" t="inlineStr"/>
      <c r="F127" s="231" t="inlineStr">
        <is>
          <t>是</t>
        </is>
      </c>
      <c r="G127" s="231" t="inlineStr"/>
      <c r="H127" s="231" t="inlineStr"/>
      <c r="I127" s="231" t="inlineStr">
        <is>
          <t>是</t>
        </is>
      </c>
      <c r="J127" s="27" t="inlineStr"/>
      <c r="K127" s="27" t="inlineStr"/>
      <c r="L127" s="231" t="n">
        <v>100</v>
      </c>
      <c r="M127" s="19" t="inlineStr">
        <is>
          <t>Product-B7D004B8</t>
        </is>
      </c>
      <c r="N127" s="231" t="n">
        <v>1</v>
      </c>
      <c r="O127" s="236">
        <f>IFERROR(ROUND(计划落实!O127/计划!O127,5),0)</f>
        <v/>
      </c>
      <c r="P127" s="237">
        <f>IFERROR(ROUND(计划落实!P127/计划!P127,5),0)</f>
        <v/>
      </c>
      <c r="Q127" s="237">
        <f>IFERROR(ROUND(计划落实!Q127/计划!Q127,5),0)</f>
        <v/>
      </c>
      <c r="R127" s="237">
        <f>IFERROR(ROUND(计划落实!R127/计划!R127,5),0)</f>
        <v/>
      </c>
      <c r="S127" s="237">
        <f>IFERROR(ROUND(计划落实!S127/计划!S127,5),0)</f>
        <v/>
      </c>
      <c r="T127" s="237">
        <f>IFERROR(ROUND(计划落实!T127/计划!T127,5),0)</f>
        <v/>
      </c>
      <c r="U127" s="237">
        <f>IFERROR(ROUND(计划落实!U127/计划!U127,5),0)</f>
        <v/>
      </c>
      <c r="V127" s="237">
        <f>IFERROR(ROUND(计划落实!V127/计划!V127,5),0)</f>
        <v/>
      </c>
      <c r="W127" s="237">
        <f>IFERROR(ROUND(计划落实!W127/计划!W127,5),0)</f>
        <v/>
      </c>
      <c r="X127" s="237">
        <f>IFERROR(ROUND(计划落实!X127/计划!X127,5),0)</f>
        <v/>
      </c>
      <c r="Y127" s="237">
        <f>IFERROR(ROUND(计划落实!Y127/计划!Y127,5),0)</f>
        <v/>
      </c>
      <c r="Z127" s="237">
        <f>IFERROR(ROUND(计划落实!Z127/计划!Z127,5),0)</f>
        <v/>
      </c>
      <c r="AA127" s="237">
        <f>IFERROR(ROUND(计划落实!AA127/计划!AA127,5),0)</f>
        <v/>
      </c>
      <c r="AB127" s="237">
        <f>IFERROR(ROUND(计划落实!AB127/计划!AB127,5),0)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4" t="n"/>
      <c r="B128" s="231" t="inlineStr">
        <is>
          <t>SKU-B84F77F7</t>
        </is>
      </c>
      <c r="C128" s="231" t="inlineStr">
        <is>
          <t>是</t>
        </is>
      </c>
      <c r="D128" s="231" t="n">
        <v>11</v>
      </c>
      <c r="E128" s="231" t="inlineStr"/>
      <c r="F128" s="231" t="inlineStr"/>
      <c r="G128" s="231" t="inlineStr"/>
      <c r="H128" s="231" t="inlineStr"/>
      <c r="I128" s="231" t="inlineStr"/>
      <c r="J128" s="27" t="inlineStr">
        <is>
          <t>共</t>
        </is>
      </c>
      <c r="K128" s="27" t="inlineStr"/>
      <c r="L128" s="231" t="n">
        <v>100</v>
      </c>
      <c r="M128" s="19" t="inlineStr">
        <is>
          <t>Product-12BB50D3</t>
        </is>
      </c>
      <c r="N128" s="231" t="n">
        <v>2</v>
      </c>
      <c r="O128" s="236">
        <f>IFERROR(ROUND(计划落实!O128/计划!O128,5),0)</f>
        <v/>
      </c>
      <c r="P128" s="237">
        <f>IFERROR(ROUND(计划落实!P128/计划!P128,5),0)</f>
        <v/>
      </c>
      <c r="Q128" s="237">
        <f>IFERROR(ROUND(计划落实!Q128/计划!Q128,5),0)</f>
        <v/>
      </c>
      <c r="R128" s="237">
        <f>IFERROR(ROUND(计划落实!R128/计划!R128,5),0)</f>
        <v/>
      </c>
      <c r="S128" s="237">
        <f>IFERROR(ROUND(计划落实!S128/计划!S128,5),0)</f>
        <v/>
      </c>
      <c r="T128" s="237">
        <f>IFERROR(ROUND(计划落实!T128/计划!T128,5),0)</f>
        <v/>
      </c>
      <c r="U128" s="237">
        <f>IFERROR(ROUND(计划落实!U128/计划!U128,5),0)</f>
        <v/>
      </c>
      <c r="V128" s="237">
        <f>IFERROR(ROUND(计划落实!V128/计划!V128,5),0)</f>
        <v/>
      </c>
      <c r="W128" s="237">
        <f>IFERROR(ROUND(计划落实!W128/计划!W128,5),0)</f>
        <v/>
      </c>
      <c r="X128" s="237">
        <f>IFERROR(ROUND(计划落实!X128/计划!X128,5),0)</f>
        <v/>
      </c>
      <c r="Y128" s="237">
        <f>IFERROR(ROUND(计划落实!Y128/计划!Y128,5),0)</f>
        <v/>
      </c>
      <c r="Z128" s="237">
        <f>IFERROR(ROUND(计划落实!Z128/计划!Z128,5),0)</f>
        <v/>
      </c>
      <c r="AA128" s="237">
        <f>IFERROR(ROUND(计划落实!AA128/计划!AA128,5),0)</f>
        <v/>
      </c>
      <c r="AB128" s="237">
        <f>IFERROR(ROUND(计划落实!AB128/计划!AB128,5),0)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4" t="n"/>
      <c r="B129" s="231" t="inlineStr">
        <is>
          <t>SKU-810E6D7D</t>
        </is>
      </c>
      <c r="C129" s="231" t="inlineStr">
        <is>
          <t>是</t>
        </is>
      </c>
      <c r="D129" s="231" t="n">
        <v>8</v>
      </c>
      <c r="E129" s="231" t="inlineStr">
        <is>
          <t>是</t>
        </is>
      </c>
      <c r="F129" s="231" t="inlineStr"/>
      <c r="G129" s="231" t="inlineStr"/>
      <c r="H129" s="231" t="inlineStr">
        <is>
          <t>是</t>
        </is>
      </c>
      <c r="I129" s="231" t="inlineStr">
        <is>
          <t>是</t>
        </is>
      </c>
      <c r="J129" s="27" t="inlineStr"/>
      <c r="K129" s="27" t="inlineStr"/>
      <c r="L129" s="231" t="n">
        <v>100</v>
      </c>
      <c r="M129" s="19" t="inlineStr">
        <is>
          <t>Product-C780D3B4</t>
        </is>
      </c>
      <c r="N129" s="231" t="n">
        <v>1</v>
      </c>
      <c r="O129" s="236">
        <f>IFERROR(ROUND(计划落实!O129/计划!O129,5),0)</f>
        <v/>
      </c>
      <c r="P129" s="237">
        <f>IFERROR(ROUND(计划落实!P129/计划!P129,5),0)</f>
        <v/>
      </c>
      <c r="Q129" s="237">
        <f>IFERROR(ROUND(计划落实!Q129/计划!Q129,5),0)</f>
        <v/>
      </c>
      <c r="R129" s="237">
        <f>IFERROR(ROUND(计划落实!R129/计划!R129,5),0)</f>
        <v/>
      </c>
      <c r="S129" s="237">
        <f>IFERROR(ROUND(计划落实!S129/计划!S129,5),0)</f>
        <v/>
      </c>
      <c r="T129" s="237">
        <f>IFERROR(ROUND(计划落实!T129/计划!T129,5),0)</f>
        <v/>
      </c>
      <c r="U129" s="237">
        <f>IFERROR(ROUND(计划落实!U129/计划!U129,5),0)</f>
        <v/>
      </c>
      <c r="V129" s="237">
        <f>IFERROR(ROUND(计划落实!V129/计划!V129,5),0)</f>
        <v/>
      </c>
      <c r="W129" s="237">
        <f>IFERROR(ROUND(计划落实!W129/计划!W129,5),0)</f>
        <v/>
      </c>
      <c r="X129" s="237">
        <f>IFERROR(ROUND(计划落实!X129/计划!X129,5),0)</f>
        <v/>
      </c>
      <c r="Y129" s="237">
        <f>IFERROR(ROUND(计划落实!Y129/计划!Y129,5),0)</f>
        <v/>
      </c>
      <c r="Z129" s="237">
        <f>IFERROR(ROUND(计划落实!Z129/计划!Z129,5),0)</f>
        <v/>
      </c>
      <c r="AA129" s="237">
        <f>IFERROR(ROUND(计划落实!AA129/计划!AA129,5),0)</f>
        <v/>
      </c>
      <c r="AB129" s="237">
        <f>IFERROR(ROUND(计划落实!AB129/计划!AB129,5),0)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4" t="n"/>
      <c r="B130" s="231" t="inlineStr">
        <is>
          <t>SKU-43A0FE0C</t>
        </is>
      </c>
      <c r="C130" s="231" t="inlineStr">
        <is>
          <t>是</t>
        </is>
      </c>
      <c r="D130" s="231" t="n">
        <v>11</v>
      </c>
      <c r="E130" s="231" t="inlineStr"/>
      <c r="F130" s="231" t="inlineStr"/>
      <c r="G130" s="231" t="inlineStr"/>
      <c r="H130" s="231" t="inlineStr"/>
      <c r="I130" s="231" t="inlineStr"/>
      <c r="J130" s="27" t="inlineStr"/>
      <c r="K130" s="27" t="inlineStr"/>
      <c r="L130" s="231" t="n">
        <v>100</v>
      </c>
      <c r="M130" s="19" t="inlineStr">
        <is>
          <t>Product-48B5A7C4</t>
        </is>
      </c>
      <c r="N130" s="231" t="n">
        <v>1</v>
      </c>
      <c r="O130" s="236">
        <f>IFERROR(ROUND(计划落实!O130/计划!O130,5),0)</f>
        <v/>
      </c>
      <c r="P130" s="237">
        <f>IFERROR(ROUND(计划落实!P130/计划!P130,5),0)</f>
        <v/>
      </c>
      <c r="Q130" s="237">
        <f>IFERROR(ROUND(计划落实!Q130/计划!Q130,5),0)</f>
        <v/>
      </c>
      <c r="R130" s="237">
        <f>IFERROR(ROUND(计划落实!R130/计划!R130,5),0)</f>
        <v/>
      </c>
      <c r="S130" s="237">
        <f>IFERROR(ROUND(计划落实!S130/计划!S130,5),0)</f>
        <v/>
      </c>
      <c r="T130" s="237">
        <f>IFERROR(ROUND(计划落实!T130/计划!T130,5),0)</f>
        <v/>
      </c>
      <c r="U130" s="237">
        <f>IFERROR(ROUND(计划落实!U130/计划!U130,5),0)</f>
        <v/>
      </c>
      <c r="V130" s="237">
        <f>IFERROR(ROUND(计划落实!V130/计划!V130,5),0)</f>
        <v/>
      </c>
      <c r="W130" s="237">
        <f>IFERROR(ROUND(计划落实!W130/计划!W130,5),0)</f>
        <v/>
      </c>
      <c r="X130" s="237">
        <f>IFERROR(ROUND(计划落实!X130/计划!X130,5),0)</f>
        <v/>
      </c>
      <c r="Y130" s="237">
        <f>IFERROR(ROUND(计划落实!Y130/计划!Y130,5),0)</f>
        <v/>
      </c>
      <c r="Z130" s="237">
        <f>IFERROR(ROUND(计划落实!Z130/计划!Z130,5),0)</f>
        <v/>
      </c>
      <c r="AA130" s="237">
        <f>IFERROR(ROUND(计划落实!AA130/计划!AA130,5),0)</f>
        <v/>
      </c>
      <c r="AB130" s="237">
        <f>IFERROR(ROUND(计划落实!AB130/计划!AB130,5),0)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5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239">
        <f>IFERROR(ROUND(计划落实!O131/计划!O131,5),0)</f>
        <v/>
      </c>
      <c r="P131" s="239">
        <f>IFERROR(ROUND(计划落实!P131/计划!P131,5),0)</f>
        <v/>
      </c>
      <c r="Q131" s="239">
        <f>IFERROR(ROUND(计划落实!Q131/计划!Q131,5),0)</f>
        <v/>
      </c>
      <c r="R131" s="239">
        <f>IFERROR(ROUND(计划落实!R131/计划!R131,5),0)</f>
        <v/>
      </c>
      <c r="S131" s="239">
        <f>IFERROR(ROUND(计划落实!S131/计划!S131,5),0)</f>
        <v/>
      </c>
      <c r="T131" s="239">
        <f>IFERROR(ROUND(计划落实!T131/计划!T131,5),0)</f>
        <v/>
      </c>
      <c r="U131" s="239">
        <f>IFERROR(ROUND(计划落实!U131/计划!U131,5),0)</f>
        <v/>
      </c>
      <c r="V131" s="239">
        <f>IFERROR(ROUND(计划落实!V131/计划!V131,5),0)</f>
        <v/>
      </c>
      <c r="W131" s="239">
        <f>IFERROR(ROUND(计划落实!W131/计划!W131,5),0)</f>
        <v/>
      </c>
      <c r="X131" s="239">
        <f>IFERROR(ROUND(计划落实!X131/计划!X131,5),0)</f>
        <v/>
      </c>
      <c r="Y131" s="239">
        <f>IFERROR(ROUND(计划落实!Y131/计划!Y131,5),0)</f>
        <v/>
      </c>
      <c r="Z131" s="239">
        <f>IFERROR(ROUND(计划落实!Z131/计划!Z131,5),0)</f>
        <v/>
      </c>
      <c r="AA131" s="239">
        <f>IFERROR(ROUND(计划落实!AA131/计划!AA131,5),0)</f>
        <v/>
      </c>
      <c r="AB131" s="239">
        <f>IFERROR(ROUND(计划落实!AB131/计划!AB131,5),0)</f>
        <v/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31" t="inlineStr">
        <is>
          <t>SKU-3D7D2993</t>
        </is>
      </c>
      <c r="C132" s="231" t="inlineStr">
        <is>
          <t>是</t>
        </is>
      </c>
      <c r="D132" s="231" t="n">
        <v>10</v>
      </c>
      <c r="E132" s="231" t="inlineStr"/>
      <c r="F132" s="231" t="inlineStr"/>
      <c r="G132" s="231" t="inlineStr"/>
      <c r="H132" s="231" t="inlineStr"/>
      <c r="I132" s="231" t="inlineStr"/>
      <c r="J132" s="27" t="inlineStr"/>
      <c r="K132" s="27" t="inlineStr">
        <is>
          <t>是</t>
        </is>
      </c>
      <c r="L132" s="231" t="n">
        <v>100</v>
      </c>
      <c r="M132" s="19" t="inlineStr">
        <is>
          <t>Product-E884C607</t>
        </is>
      </c>
      <c r="N132" s="231" t="n">
        <v>3</v>
      </c>
      <c r="O132" s="236">
        <f>IFERROR(ROUND(计划落实!O132/计划!O132,5),0)</f>
        <v/>
      </c>
      <c r="P132" s="237">
        <f>IFERROR(ROUND(计划落实!P132/计划!P132,5),0)</f>
        <v/>
      </c>
      <c r="Q132" s="237">
        <f>IFERROR(ROUND(计划落实!Q132/计划!Q132,5),0)</f>
        <v/>
      </c>
      <c r="R132" s="237">
        <f>IFERROR(ROUND(计划落实!R132/计划!R132,5),0)</f>
        <v/>
      </c>
      <c r="S132" s="237">
        <f>IFERROR(ROUND(计划落实!S132/计划!S132,5),0)</f>
        <v/>
      </c>
      <c r="T132" s="237">
        <f>IFERROR(ROUND(计划落实!T132/计划!T132,5),0)</f>
        <v/>
      </c>
      <c r="U132" s="237">
        <f>IFERROR(ROUND(计划落实!U132/计划!U132,5),0)</f>
        <v/>
      </c>
      <c r="V132" s="237">
        <f>IFERROR(ROUND(计划落实!V132/计划!V132,5),0)</f>
        <v/>
      </c>
      <c r="W132" s="237">
        <f>IFERROR(ROUND(计划落实!W132/计划!W132,5),0)</f>
        <v/>
      </c>
      <c r="X132" s="237">
        <f>IFERROR(ROUND(计划落实!X132/计划!X132,5),0)</f>
        <v/>
      </c>
      <c r="Y132" s="237">
        <f>IFERROR(ROUND(计划落实!Y132/计划!Y132,5),0)</f>
        <v/>
      </c>
      <c r="Z132" s="237">
        <f>IFERROR(ROUND(计划落实!Z132/计划!Z132,5),0)</f>
        <v/>
      </c>
      <c r="AA132" s="237">
        <f>IFERROR(ROUND(计划落实!AA132/计划!AA132,5),0)</f>
        <v/>
      </c>
      <c r="AB132" s="237">
        <f>IFERROR(ROUND(计划落实!AB132/计划!AB132,5),0)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4" t="n"/>
      <c r="B133" s="231" t="inlineStr">
        <is>
          <t>SKU-00283049</t>
        </is>
      </c>
      <c r="C133" s="231" t="inlineStr">
        <is>
          <t>是</t>
        </is>
      </c>
      <c r="D133" s="231" t="n">
        <v>6</v>
      </c>
      <c r="E133" s="231" t="inlineStr"/>
      <c r="F133" s="231" t="inlineStr">
        <is>
          <t>是</t>
        </is>
      </c>
      <c r="G133" s="231" t="inlineStr"/>
      <c r="H133" s="231" t="inlineStr"/>
      <c r="I133" s="231" t="inlineStr">
        <is>
          <t>是</t>
        </is>
      </c>
      <c r="J133" s="27" t="inlineStr"/>
      <c r="K133" s="27" t="inlineStr">
        <is>
          <t>是</t>
        </is>
      </c>
      <c r="L133" s="231" t="n">
        <v>100</v>
      </c>
      <c r="M133" s="43" t="inlineStr">
        <is>
          <t>Product-BAE8A1A9</t>
        </is>
      </c>
      <c r="N133" s="55" t="n">
        <v>1</v>
      </c>
      <c r="O133" s="236">
        <f>IFERROR(ROUND(计划落实!O133/计划!O133,5),0)</f>
        <v/>
      </c>
      <c r="P133" s="237">
        <f>IFERROR(ROUND(计划落实!P133/计划!P133,5),0)</f>
        <v/>
      </c>
      <c r="Q133" s="237">
        <f>IFERROR(ROUND(计划落实!Q133/计划!Q133,5),0)</f>
        <v/>
      </c>
      <c r="R133" s="237">
        <f>IFERROR(ROUND(计划落实!R133/计划!R133,5),0)</f>
        <v/>
      </c>
      <c r="S133" s="237">
        <f>IFERROR(ROUND(计划落实!S133/计划!S133,5),0)</f>
        <v/>
      </c>
      <c r="T133" s="237">
        <f>IFERROR(ROUND(计划落实!T133/计划!T133,5),0)</f>
        <v/>
      </c>
      <c r="U133" s="237">
        <f>IFERROR(ROUND(计划落实!U133/计划!U133,5),0)</f>
        <v/>
      </c>
      <c r="V133" s="237">
        <f>IFERROR(ROUND(计划落实!V133/计划!V133,5),0)</f>
        <v/>
      </c>
      <c r="W133" s="237">
        <f>IFERROR(ROUND(计划落实!W133/计划!W133,5),0)</f>
        <v/>
      </c>
      <c r="X133" s="237">
        <f>IFERROR(ROUND(计划落实!X133/计划!X133,5),0)</f>
        <v/>
      </c>
      <c r="Y133" s="237">
        <f>IFERROR(ROUND(计划落实!Y133/计划!Y133,5),0)</f>
        <v/>
      </c>
      <c r="Z133" s="237">
        <f>IFERROR(ROUND(计划落实!Z133/计划!Z133,5),0)</f>
        <v/>
      </c>
      <c r="AA133" s="237">
        <f>IFERROR(ROUND(计划落实!AA133/计划!AA133,5),0)</f>
        <v/>
      </c>
      <c r="AB133" s="237">
        <f>IFERROR(ROUND(计划落实!AB133/计划!AB133,5),0)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4" t="n"/>
      <c r="B134" s="231" t="inlineStr">
        <is>
          <t>SKU-BB75DCA2</t>
        </is>
      </c>
      <c r="C134" s="231" t="inlineStr">
        <is>
          <t>是</t>
        </is>
      </c>
      <c r="D134" s="231" t="n">
        <v>11</v>
      </c>
      <c r="E134" s="231" t="inlineStr"/>
      <c r="F134" s="231" t="inlineStr"/>
      <c r="G134" s="231" t="inlineStr"/>
      <c r="H134" s="231" t="inlineStr"/>
      <c r="I134" s="231" t="inlineStr"/>
      <c r="J134" s="27" t="inlineStr"/>
      <c r="K134" s="27" t="inlineStr"/>
      <c r="L134" s="231" t="n">
        <v>100</v>
      </c>
      <c r="M134" s="19" t="inlineStr">
        <is>
          <t>Product-BEB895B0</t>
        </is>
      </c>
      <c r="N134" s="231" t="n">
        <v>2</v>
      </c>
      <c r="O134" s="236">
        <f>IFERROR(ROUND(计划落实!O134/计划!O134,5),0)</f>
        <v/>
      </c>
      <c r="P134" s="237">
        <f>IFERROR(ROUND(计划落实!P134/计划!P134,5),0)</f>
        <v/>
      </c>
      <c r="Q134" s="237">
        <f>IFERROR(ROUND(计划落实!Q134/计划!Q134,5),0)</f>
        <v/>
      </c>
      <c r="R134" s="237">
        <f>IFERROR(ROUND(计划落实!R134/计划!R134,5),0)</f>
        <v/>
      </c>
      <c r="S134" s="237">
        <f>IFERROR(ROUND(计划落实!S134/计划!S134,5),0)</f>
        <v/>
      </c>
      <c r="T134" s="237">
        <f>IFERROR(ROUND(计划落实!T134/计划!T134,5),0)</f>
        <v/>
      </c>
      <c r="U134" s="237">
        <f>IFERROR(ROUND(计划落实!U134/计划!U134,5),0)</f>
        <v/>
      </c>
      <c r="V134" s="237">
        <f>IFERROR(ROUND(计划落实!V134/计划!V134,5),0)</f>
        <v/>
      </c>
      <c r="W134" s="237">
        <f>IFERROR(ROUND(计划落实!W134/计划!W134,5),0)</f>
        <v/>
      </c>
      <c r="X134" s="237">
        <f>IFERROR(ROUND(计划落实!X134/计划!X134,5),0)</f>
        <v/>
      </c>
      <c r="Y134" s="237">
        <f>IFERROR(ROUND(计划落实!Y134/计划!Y134,5),0)</f>
        <v/>
      </c>
      <c r="Z134" s="237">
        <f>IFERROR(ROUND(计划落实!Z134/计划!Z134,5),0)</f>
        <v/>
      </c>
      <c r="AA134" s="237">
        <f>IFERROR(ROUND(计划落实!AA134/计划!AA134,5),0)</f>
        <v/>
      </c>
      <c r="AB134" s="237">
        <f>IFERROR(ROUND(计划落实!AB134/计划!AB134,5),0)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4" t="n"/>
      <c r="B135" s="231" t="inlineStr">
        <is>
          <t>SKU-388666F4</t>
        </is>
      </c>
      <c r="C135" s="231" t="inlineStr">
        <is>
          <t>是</t>
        </is>
      </c>
      <c r="D135" s="231" t="n">
        <v>10</v>
      </c>
      <c r="E135" s="231" t="inlineStr"/>
      <c r="F135" s="231" t="inlineStr"/>
      <c r="G135" s="231" t="inlineStr"/>
      <c r="H135" s="231" t="inlineStr"/>
      <c r="I135" s="231" t="inlineStr"/>
      <c r="J135" s="27" t="inlineStr"/>
      <c r="K135" s="27" t="inlineStr"/>
      <c r="L135" s="231" t="n">
        <v>100</v>
      </c>
      <c r="M135" s="44" t="inlineStr">
        <is>
          <t>Product-6CBA44B1</t>
        </is>
      </c>
      <c r="N135" s="231" t="n">
        <v>3</v>
      </c>
      <c r="O135" s="236">
        <f>IFERROR(ROUND(计划落实!O135/计划!O135,5),0)</f>
        <v/>
      </c>
      <c r="P135" s="237">
        <f>IFERROR(ROUND(计划落实!P135/计划!P135,5),0)</f>
        <v/>
      </c>
      <c r="Q135" s="237">
        <f>IFERROR(ROUND(计划落实!Q135/计划!Q135,5),0)</f>
        <v/>
      </c>
      <c r="R135" s="237">
        <f>IFERROR(ROUND(计划落实!R135/计划!R135,5),0)</f>
        <v/>
      </c>
      <c r="S135" s="237">
        <f>IFERROR(ROUND(计划落实!S135/计划!S135,5),0)</f>
        <v/>
      </c>
      <c r="T135" s="237">
        <f>IFERROR(ROUND(计划落实!T135/计划!T135,5),0)</f>
        <v/>
      </c>
      <c r="U135" s="237">
        <f>IFERROR(ROUND(计划落实!U135/计划!U135,5),0)</f>
        <v/>
      </c>
      <c r="V135" s="237">
        <f>IFERROR(ROUND(计划落实!V135/计划!V135,5),0)</f>
        <v/>
      </c>
      <c r="W135" s="237">
        <f>IFERROR(ROUND(计划落实!W135/计划!W135,5),0)</f>
        <v/>
      </c>
      <c r="X135" s="237">
        <f>IFERROR(ROUND(计划落实!X135/计划!X135,5),0)</f>
        <v/>
      </c>
      <c r="Y135" s="237">
        <f>IFERROR(ROUND(计划落实!Y135/计划!Y135,5),0)</f>
        <v/>
      </c>
      <c r="Z135" s="237">
        <f>IFERROR(ROUND(计划落实!Z135/计划!Z135,5),0)</f>
        <v/>
      </c>
      <c r="AA135" s="237">
        <f>IFERROR(ROUND(计划落实!AA135/计划!AA135,5),0)</f>
        <v/>
      </c>
      <c r="AB135" s="237">
        <f>IFERROR(ROUND(计划落实!AB135/计划!AB135,5),0)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4" t="n"/>
      <c r="B136" s="231" t="inlineStr">
        <is>
          <t>SKU-817B132C</t>
        </is>
      </c>
      <c r="C136" s="231" t="inlineStr">
        <is>
          <t>是</t>
        </is>
      </c>
      <c r="D136" s="231" t="n">
        <v>8</v>
      </c>
      <c r="E136" s="231" t="inlineStr"/>
      <c r="F136" s="231" t="inlineStr"/>
      <c r="G136" s="231" t="inlineStr"/>
      <c r="H136" s="231" t="inlineStr"/>
      <c r="I136" s="231" t="inlineStr"/>
      <c r="J136" s="27" t="inlineStr"/>
      <c r="K136" s="27" t="inlineStr"/>
      <c r="L136" s="231" t="n">
        <v>100</v>
      </c>
      <c r="M136" s="19" t="inlineStr">
        <is>
          <t>Product-9CA542CA</t>
        </is>
      </c>
      <c r="N136" s="231" t="n">
        <v>3</v>
      </c>
      <c r="O136" s="236">
        <f>IFERROR(ROUND(计划落实!O136/计划!O136,5),0)</f>
        <v/>
      </c>
      <c r="P136" s="237">
        <f>IFERROR(ROUND(计划落实!P136/计划!P136,5),0)</f>
        <v/>
      </c>
      <c r="Q136" s="237">
        <f>IFERROR(ROUND(计划落实!Q136/计划!Q136,5),0)</f>
        <v/>
      </c>
      <c r="R136" s="237">
        <f>IFERROR(ROUND(计划落实!R136/计划!R136,5),0)</f>
        <v/>
      </c>
      <c r="S136" s="237">
        <f>IFERROR(ROUND(计划落实!S136/计划!S136,5),0)</f>
        <v/>
      </c>
      <c r="T136" s="237">
        <f>IFERROR(ROUND(计划落实!T136/计划!T136,5),0)</f>
        <v/>
      </c>
      <c r="U136" s="237">
        <f>IFERROR(ROUND(计划落实!U136/计划!U136,5),0)</f>
        <v/>
      </c>
      <c r="V136" s="237">
        <f>IFERROR(ROUND(计划落实!V136/计划!V136,5),0)</f>
        <v/>
      </c>
      <c r="W136" s="237">
        <f>IFERROR(ROUND(计划落实!W136/计划!W136,5),0)</f>
        <v/>
      </c>
      <c r="X136" s="237">
        <f>IFERROR(ROUND(计划落实!X136/计划!X136,5),0)</f>
        <v/>
      </c>
      <c r="Y136" s="237">
        <f>IFERROR(ROUND(计划落实!Y136/计划!Y136,5),0)</f>
        <v/>
      </c>
      <c r="Z136" s="237">
        <f>IFERROR(ROUND(计划落实!Z136/计划!Z136,5),0)</f>
        <v/>
      </c>
      <c r="AA136" s="237">
        <f>IFERROR(ROUND(计划落实!AA136/计划!AA136,5),0)</f>
        <v/>
      </c>
      <c r="AB136" s="237">
        <f>IFERROR(ROUND(计划落实!AB136/计划!AB136,5),0)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4" t="n"/>
      <c r="B137" s="231" t="inlineStr">
        <is>
          <t>SKU-CE68A1C3</t>
        </is>
      </c>
      <c r="C137" s="231" t="inlineStr">
        <is>
          <t>是</t>
        </is>
      </c>
      <c r="D137" s="231" t="n">
        <v>6</v>
      </c>
      <c r="E137" s="231" t="inlineStr">
        <is>
          <t>是</t>
        </is>
      </c>
      <c r="F137" s="231" t="inlineStr"/>
      <c r="G137" s="231" t="inlineStr"/>
      <c r="H137" s="231" t="inlineStr"/>
      <c r="I137" s="231" t="inlineStr">
        <is>
          <t>是</t>
        </is>
      </c>
      <c r="J137" s="27" t="inlineStr">
        <is>
          <t>共</t>
        </is>
      </c>
      <c r="K137" s="27" t="inlineStr"/>
      <c r="L137" s="231" t="n">
        <v>100</v>
      </c>
      <c r="M137" s="19" t="inlineStr">
        <is>
          <t>Product-40217E2C</t>
        </is>
      </c>
      <c r="N137" s="231" t="n">
        <v>1</v>
      </c>
      <c r="O137" s="236">
        <f>IFERROR(ROUND(计划落实!O137/计划!O137,5),0)</f>
        <v/>
      </c>
      <c r="P137" s="237">
        <f>IFERROR(ROUND(计划落实!P137/计划!P137,5),0)</f>
        <v/>
      </c>
      <c r="Q137" s="237">
        <f>IFERROR(ROUND(计划落实!Q137/计划!Q137,5),0)</f>
        <v/>
      </c>
      <c r="R137" s="237">
        <f>IFERROR(ROUND(计划落实!R137/计划!R137,5),0)</f>
        <v/>
      </c>
      <c r="S137" s="237">
        <f>IFERROR(ROUND(计划落实!S137/计划!S137,5),0)</f>
        <v/>
      </c>
      <c r="T137" s="237">
        <f>IFERROR(ROUND(计划落实!T137/计划!T137,5),0)</f>
        <v/>
      </c>
      <c r="U137" s="237">
        <f>IFERROR(ROUND(计划落实!U137/计划!U137,5),0)</f>
        <v/>
      </c>
      <c r="V137" s="237">
        <f>IFERROR(ROUND(计划落实!V137/计划!V137,5),0)</f>
        <v/>
      </c>
      <c r="W137" s="237">
        <f>IFERROR(ROUND(计划落实!W137/计划!W137,5),0)</f>
        <v/>
      </c>
      <c r="X137" s="237">
        <f>IFERROR(ROUND(计划落实!X137/计划!X137,5),0)</f>
        <v/>
      </c>
      <c r="Y137" s="237">
        <f>IFERROR(ROUND(计划落实!Y137/计划!Y137,5),0)</f>
        <v/>
      </c>
      <c r="Z137" s="237">
        <f>IFERROR(ROUND(计划落实!Z137/计划!Z137,5),0)</f>
        <v/>
      </c>
      <c r="AA137" s="237">
        <f>IFERROR(ROUND(计划落实!AA137/计划!AA137,5),0)</f>
        <v/>
      </c>
      <c r="AB137" s="237">
        <f>IFERROR(ROUND(计划落实!AB137/计划!AB137,5),0)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4" t="n"/>
      <c r="B138" s="231" t="inlineStr">
        <is>
          <t>SKU-71660307</t>
        </is>
      </c>
      <c r="C138" s="231" t="inlineStr">
        <is>
          <t>是</t>
        </is>
      </c>
      <c r="D138" s="231" t="n">
        <v>8</v>
      </c>
      <c r="E138" s="231" t="inlineStr"/>
      <c r="F138" s="231" t="inlineStr">
        <is>
          <t>是</t>
        </is>
      </c>
      <c r="G138" s="231" t="inlineStr"/>
      <c r="H138" s="231" t="inlineStr"/>
      <c r="I138" s="231" t="inlineStr">
        <is>
          <t>是</t>
        </is>
      </c>
      <c r="J138" s="27" t="inlineStr"/>
      <c r="K138" s="27" t="inlineStr"/>
      <c r="L138" s="231" t="n">
        <v>100</v>
      </c>
      <c r="M138" s="44" t="inlineStr">
        <is>
          <t>Product-72199E85</t>
        </is>
      </c>
      <c r="N138" s="231" t="n">
        <v>1</v>
      </c>
      <c r="O138" s="236">
        <f>IFERROR(ROUND(计划落实!O138/计划!O138,5),0)</f>
        <v/>
      </c>
      <c r="P138" s="237">
        <f>IFERROR(ROUND(计划落实!P138/计划!P138,5),0)</f>
        <v/>
      </c>
      <c r="Q138" s="237">
        <f>IFERROR(ROUND(计划落实!Q138/计划!Q138,5),0)</f>
        <v/>
      </c>
      <c r="R138" s="237">
        <f>IFERROR(ROUND(计划落实!R138/计划!R138,5),0)</f>
        <v/>
      </c>
      <c r="S138" s="237">
        <f>IFERROR(ROUND(计划落实!S138/计划!S138,5),0)</f>
        <v/>
      </c>
      <c r="T138" s="237">
        <f>IFERROR(ROUND(计划落实!T138/计划!T138,5),0)</f>
        <v/>
      </c>
      <c r="U138" s="237">
        <f>IFERROR(ROUND(计划落实!U138/计划!U138,5),0)</f>
        <v/>
      </c>
      <c r="V138" s="237">
        <f>IFERROR(ROUND(计划落实!V138/计划!V138,5),0)</f>
        <v/>
      </c>
      <c r="W138" s="237">
        <f>IFERROR(ROUND(计划落实!W138/计划!W138,5),0)</f>
        <v/>
      </c>
      <c r="X138" s="237">
        <f>IFERROR(ROUND(计划落实!X138/计划!X138,5),0)</f>
        <v/>
      </c>
      <c r="Y138" s="237">
        <f>IFERROR(ROUND(计划落实!Y138/计划!Y138,5),0)</f>
        <v/>
      </c>
      <c r="Z138" s="237">
        <f>IFERROR(ROUND(计划落实!Z138/计划!Z138,5),0)</f>
        <v/>
      </c>
      <c r="AA138" s="237">
        <f>IFERROR(ROUND(计划落实!AA138/计划!AA138,5),0)</f>
        <v/>
      </c>
      <c r="AB138" s="237">
        <f>IFERROR(ROUND(计划落实!AB138/计划!AB138,5),0)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4" t="n"/>
      <c r="B139" s="231" t="inlineStr">
        <is>
          <t>SKU-4945E111</t>
        </is>
      </c>
      <c r="C139" s="231" t="inlineStr">
        <is>
          <t>是</t>
        </is>
      </c>
      <c r="D139" s="231" t="n">
        <v>8</v>
      </c>
      <c r="E139" s="231" t="inlineStr"/>
      <c r="F139" s="231" t="inlineStr">
        <is>
          <t>是</t>
        </is>
      </c>
      <c r="G139" s="231" t="inlineStr"/>
      <c r="H139" s="231" t="inlineStr"/>
      <c r="I139" s="231" t="inlineStr">
        <is>
          <t>是</t>
        </is>
      </c>
      <c r="J139" s="27" t="inlineStr"/>
      <c r="K139" s="27" t="inlineStr"/>
      <c r="L139" s="231" t="n">
        <v>100</v>
      </c>
      <c r="M139" s="19" t="inlineStr">
        <is>
          <t>Product-A927BD78</t>
        </is>
      </c>
      <c r="N139" s="231" t="n">
        <v>2</v>
      </c>
      <c r="O139" s="236">
        <f>IFERROR(ROUND(计划落实!O139/计划!O139,5),0)</f>
        <v/>
      </c>
      <c r="P139" s="237">
        <f>IFERROR(ROUND(计划落实!P139/计划!P139,5),0)</f>
        <v/>
      </c>
      <c r="Q139" s="237">
        <f>IFERROR(ROUND(计划落实!Q139/计划!Q139,5),0)</f>
        <v/>
      </c>
      <c r="R139" s="237">
        <f>IFERROR(ROUND(计划落实!R139/计划!R139,5),0)</f>
        <v/>
      </c>
      <c r="S139" s="237">
        <f>IFERROR(ROUND(计划落实!S139/计划!S139,5),0)</f>
        <v/>
      </c>
      <c r="T139" s="237">
        <f>IFERROR(ROUND(计划落实!T139/计划!T139,5),0)</f>
        <v/>
      </c>
      <c r="U139" s="237">
        <f>IFERROR(ROUND(计划落实!U139/计划!U139,5),0)</f>
        <v/>
      </c>
      <c r="V139" s="237">
        <f>IFERROR(ROUND(计划落实!V139/计划!V139,5),0)</f>
        <v/>
      </c>
      <c r="W139" s="237">
        <f>IFERROR(ROUND(计划落实!W139/计划!W139,5),0)</f>
        <v/>
      </c>
      <c r="X139" s="237">
        <f>IFERROR(ROUND(计划落实!X139/计划!X139,5),0)</f>
        <v/>
      </c>
      <c r="Y139" s="237">
        <f>IFERROR(ROUND(计划落实!Y139/计划!Y139,5),0)</f>
        <v/>
      </c>
      <c r="Z139" s="237">
        <f>IFERROR(ROUND(计划落实!Z139/计划!Z139,5),0)</f>
        <v/>
      </c>
      <c r="AA139" s="237">
        <f>IFERROR(ROUND(计划落实!AA139/计划!AA139,5),0)</f>
        <v/>
      </c>
      <c r="AB139" s="237">
        <f>IFERROR(ROUND(计划落实!AB139/计划!AB139,5),0)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4" t="n"/>
      <c r="B140" s="231" t="inlineStr">
        <is>
          <t>SKU-823A2107</t>
        </is>
      </c>
      <c r="C140" s="231" t="inlineStr">
        <is>
          <t>是</t>
        </is>
      </c>
      <c r="D140" s="231" t="n">
        <v>8</v>
      </c>
      <c r="E140" s="231" t="inlineStr"/>
      <c r="F140" s="231" t="inlineStr">
        <is>
          <t>是</t>
        </is>
      </c>
      <c r="G140" s="231" t="inlineStr"/>
      <c r="H140" s="231" t="inlineStr"/>
      <c r="I140" s="231" t="inlineStr">
        <is>
          <t>是</t>
        </is>
      </c>
      <c r="J140" s="27" t="inlineStr"/>
      <c r="K140" s="27" t="inlineStr"/>
      <c r="L140" s="231" t="n">
        <v>100</v>
      </c>
      <c r="M140" s="19" t="inlineStr">
        <is>
          <t>Product-0D4369D8</t>
        </is>
      </c>
      <c r="N140" s="231" t="n">
        <v>2</v>
      </c>
      <c r="O140" s="236">
        <f>IFERROR(ROUND(计划落实!O140/计划!O140,5),0)</f>
        <v/>
      </c>
      <c r="P140" s="237">
        <f>IFERROR(ROUND(计划落实!P140/计划!P140,5),0)</f>
        <v/>
      </c>
      <c r="Q140" s="237">
        <f>IFERROR(ROUND(计划落实!Q140/计划!Q140,5),0)</f>
        <v/>
      </c>
      <c r="R140" s="237">
        <f>IFERROR(ROUND(计划落实!R140/计划!R140,5),0)</f>
        <v/>
      </c>
      <c r="S140" s="237">
        <f>IFERROR(ROUND(计划落实!S140/计划!S140,5),0)</f>
        <v/>
      </c>
      <c r="T140" s="237">
        <f>IFERROR(ROUND(计划落实!T140/计划!T140,5),0)</f>
        <v/>
      </c>
      <c r="U140" s="237">
        <f>IFERROR(ROUND(计划落实!U140/计划!U140,5),0)</f>
        <v/>
      </c>
      <c r="V140" s="237">
        <f>IFERROR(ROUND(计划落实!V140/计划!V140,5),0)</f>
        <v/>
      </c>
      <c r="W140" s="237">
        <f>IFERROR(ROUND(计划落实!W140/计划!W140,5),0)</f>
        <v/>
      </c>
      <c r="X140" s="237">
        <f>IFERROR(ROUND(计划落实!X140/计划!X140,5),0)</f>
        <v/>
      </c>
      <c r="Y140" s="237">
        <f>IFERROR(ROUND(计划落实!Y140/计划!Y140,5),0)</f>
        <v/>
      </c>
      <c r="Z140" s="237">
        <f>IFERROR(ROUND(计划落实!Z140/计划!Z140,5),0)</f>
        <v/>
      </c>
      <c r="AA140" s="237">
        <f>IFERROR(ROUND(计划落实!AA140/计划!AA140,5),0)</f>
        <v/>
      </c>
      <c r="AB140" s="237">
        <f>IFERROR(ROUND(计划落实!AB140/计划!AB140,5),0)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4" t="n"/>
      <c r="B141" s="231" t="inlineStr">
        <is>
          <t>SKU-C4DEF3A3</t>
        </is>
      </c>
      <c r="C141" s="231" t="inlineStr">
        <is>
          <t>是</t>
        </is>
      </c>
      <c r="D141" s="231" t="n">
        <v>9</v>
      </c>
      <c r="E141" s="231" t="inlineStr"/>
      <c r="F141" s="231" t="inlineStr">
        <is>
          <t>是</t>
        </is>
      </c>
      <c r="G141" s="231" t="inlineStr"/>
      <c r="H141" s="231" t="inlineStr"/>
      <c r="I141" s="231" t="inlineStr">
        <is>
          <t>是</t>
        </is>
      </c>
      <c r="J141" s="27" t="inlineStr">
        <is>
          <t>共</t>
        </is>
      </c>
      <c r="K141" s="27" t="inlineStr"/>
      <c r="L141" s="231" t="n">
        <v>100</v>
      </c>
      <c r="M141" s="19" t="inlineStr">
        <is>
          <t>Product-49C45F99</t>
        </is>
      </c>
      <c r="N141" s="231" t="n">
        <v>1</v>
      </c>
      <c r="O141" s="236">
        <f>IFERROR(ROUND(计划落实!O141/计划!O141,5),0)</f>
        <v/>
      </c>
      <c r="P141" s="237">
        <f>IFERROR(ROUND(计划落实!P141/计划!P141,5),0)</f>
        <v/>
      </c>
      <c r="Q141" s="237">
        <f>IFERROR(ROUND(计划落实!Q141/计划!Q141,5),0)</f>
        <v/>
      </c>
      <c r="R141" s="237">
        <f>IFERROR(ROUND(计划落实!R141/计划!R141,5),0)</f>
        <v/>
      </c>
      <c r="S141" s="237">
        <f>IFERROR(ROUND(计划落实!S141/计划!S141,5),0)</f>
        <v/>
      </c>
      <c r="T141" s="237">
        <f>IFERROR(ROUND(计划落实!T141/计划!T141,5),0)</f>
        <v/>
      </c>
      <c r="U141" s="237">
        <f>IFERROR(ROUND(计划落实!U141/计划!U141,5),0)</f>
        <v/>
      </c>
      <c r="V141" s="237">
        <f>IFERROR(ROUND(计划落实!V141/计划!V141,5),0)</f>
        <v/>
      </c>
      <c r="W141" s="237">
        <f>IFERROR(ROUND(计划落实!W141/计划!W141,5),0)</f>
        <v/>
      </c>
      <c r="X141" s="237">
        <f>IFERROR(ROUND(计划落实!X141/计划!X141,5),0)</f>
        <v/>
      </c>
      <c r="Y141" s="237">
        <f>IFERROR(ROUND(计划落实!Y141/计划!Y141,5),0)</f>
        <v/>
      </c>
      <c r="Z141" s="237">
        <f>IFERROR(ROUND(计划落实!Z141/计划!Z141,5),0)</f>
        <v/>
      </c>
      <c r="AA141" s="237">
        <f>IFERROR(ROUND(计划落实!AA141/计划!AA141,5),0)</f>
        <v/>
      </c>
      <c r="AB141" s="237">
        <f>IFERROR(ROUND(计划落实!AB141/计划!AB141,5),0)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5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239">
        <f>IFERROR(ROUND(计划落实!O142/计划!O142,5),0)</f>
        <v/>
      </c>
      <c r="P142" s="239">
        <f>IFERROR(ROUND(计划落实!P142/计划!P142,5),0)</f>
        <v/>
      </c>
      <c r="Q142" s="239">
        <f>IFERROR(ROUND(计划落实!Q142/计划!Q142,5),0)</f>
        <v/>
      </c>
      <c r="R142" s="239">
        <f>IFERROR(ROUND(计划落实!R142/计划!R142,5),0)</f>
        <v/>
      </c>
      <c r="S142" s="239">
        <f>IFERROR(ROUND(计划落实!S142/计划!S142,5),0)</f>
        <v/>
      </c>
      <c r="T142" s="239">
        <f>IFERROR(ROUND(计划落实!T142/计划!T142,5),0)</f>
        <v/>
      </c>
      <c r="U142" s="239">
        <f>IFERROR(ROUND(计划落实!U142/计划!U142,5),0)</f>
        <v/>
      </c>
      <c r="V142" s="239">
        <f>IFERROR(ROUND(计划落实!V142/计划!V142,5),0)</f>
        <v/>
      </c>
      <c r="W142" s="239">
        <f>IFERROR(ROUND(计划落实!W142/计划!W142,5),0)</f>
        <v/>
      </c>
      <c r="X142" s="239">
        <f>IFERROR(ROUND(计划落实!X142/计划!X142,5),0)</f>
        <v/>
      </c>
      <c r="Y142" s="239">
        <f>IFERROR(ROUND(计划落实!Y142/计划!Y142,5),0)</f>
        <v/>
      </c>
      <c r="Z142" s="239">
        <f>IFERROR(ROUND(计划落实!Z142/计划!Z142,5),0)</f>
        <v/>
      </c>
      <c r="AA142" s="239">
        <f>IFERROR(ROUND(计划落实!AA142/计划!AA142,5),0)</f>
        <v/>
      </c>
      <c r="AB142" s="239">
        <f>IFERROR(ROUND(计划落实!AB142/计划!AB142,5),0)</f>
        <v/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31" t="inlineStr">
        <is>
          <t>SKU-02903B09</t>
        </is>
      </c>
      <c r="C143" s="231" t="inlineStr">
        <is>
          <t>是</t>
        </is>
      </c>
      <c r="D143" s="231" t="n">
        <v>11</v>
      </c>
      <c r="E143" s="231" t="inlineStr"/>
      <c r="F143" s="231" t="inlineStr"/>
      <c r="G143" s="231" t="inlineStr"/>
      <c r="H143" s="231" t="inlineStr"/>
      <c r="I143" s="231" t="inlineStr"/>
      <c r="J143" s="27" t="inlineStr"/>
      <c r="K143" s="27" t="inlineStr"/>
      <c r="L143" s="231" t="n">
        <v>100</v>
      </c>
      <c r="M143" s="44" t="inlineStr">
        <is>
          <t>Product-F3B4F9FB</t>
        </is>
      </c>
      <c r="N143" s="55" t="n">
        <v>3</v>
      </c>
      <c r="O143" s="236">
        <f>IFERROR(ROUND(计划落实!O143/计划!O143,5),0)</f>
        <v/>
      </c>
      <c r="P143" s="237">
        <f>IFERROR(ROUND(计划落实!P143/计划!P143,5),0)</f>
        <v/>
      </c>
      <c r="Q143" s="237">
        <f>IFERROR(ROUND(计划落实!Q143/计划!Q143,5),0)</f>
        <v/>
      </c>
      <c r="R143" s="237">
        <f>IFERROR(ROUND(计划落实!R143/计划!R143,5),0)</f>
        <v/>
      </c>
      <c r="S143" s="237">
        <f>IFERROR(ROUND(计划落实!S143/计划!S143,5),0)</f>
        <v/>
      </c>
      <c r="T143" s="237">
        <f>IFERROR(ROUND(计划落实!T143/计划!T143,5),0)</f>
        <v/>
      </c>
      <c r="U143" s="237">
        <f>IFERROR(ROUND(计划落实!U143/计划!U143,5),0)</f>
        <v/>
      </c>
      <c r="V143" s="237">
        <f>IFERROR(ROUND(计划落实!V143/计划!V143,5),0)</f>
        <v/>
      </c>
      <c r="W143" s="237">
        <f>IFERROR(ROUND(计划落实!W143/计划!W143,5),0)</f>
        <v/>
      </c>
      <c r="X143" s="237">
        <f>IFERROR(ROUND(计划落实!X143/计划!X143,5),0)</f>
        <v/>
      </c>
      <c r="Y143" s="237">
        <f>IFERROR(ROUND(计划落实!Y143/计划!Y143,5),0)</f>
        <v/>
      </c>
      <c r="Z143" s="237">
        <f>IFERROR(ROUND(计划落实!Z143/计划!Z143,5),0)</f>
        <v/>
      </c>
      <c r="AA143" s="237">
        <f>IFERROR(ROUND(计划落实!AA143/计划!AA143,5),0)</f>
        <v/>
      </c>
      <c r="AB143" s="237">
        <f>IFERROR(ROUND(计划落实!AB143/计划!AB143,5),0)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4" t="n"/>
      <c r="B144" s="231" t="inlineStr">
        <is>
          <t>SKU-D7B2F623</t>
        </is>
      </c>
      <c r="C144" s="231" t="inlineStr">
        <is>
          <t>是</t>
        </is>
      </c>
      <c r="D144" s="231" t="n">
        <v>10</v>
      </c>
      <c r="E144" s="231" t="inlineStr"/>
      <c r="F144" s="231" t="inlineStr"/>
      <c r="G144" s="231" t="inlineStr"/>
      <c r="H144" s="231" t="inlineStr"/>
      <c r="I144" s="231" t="inlineStr"/>
      <c r="J144" s="27" t="inlineStr"/>
      <c r="K144" s="27" t="inlineStr"/>
      <c r="L144" s="231" t="n">
        <v>100</v>
      </c>
      <c r="M144" s="44" t="inlineStr">
        <is>
          <t>Product-419EF208</t>
        </is>
      </c>
      <c r="N144" s="231" t="n">
        <v>3</v>
      </c>
      <c r="O144" s="236">
        <f>IFERROR(ROUND(计划落实!O144/计划!O144,5),0)</f>
        <v/>
      </c>
      <c r="P144" s="237">
        <f>IFERROR(ROUND(计划落实!P144/计划!P144,5),0)</f>
        <v/>
      </c>
      <c r="Q144" s="237">
        <f>IFERROR(ROUND(计划落实!Q144/计划!Q144,5),0)</f>
        <v/>
      </c>
      <c r="R144" s="237">
        <f>IFERROR(ROUND(计划落实!R144/计划!R144,5),0)</f>
        <v/>
      </c>
      <c r="S144" s="237">
        <f>IFERROR(ROUND(计划落实!S144/计划!S144,5),0)</f>
        <v/>
      </c>
      <c r="T144" s="237">
        <f>IFERROR(ROUND(计划落实!T144/计划!T144,5),0)</f>
        <v/>
      </c>
      <c r="U144" s="237">
        <f>IFERROR(ROUND(计划落实!U144/计划!U144,5),0)</f>
        <v/>
      </c>
      <c r="V144" s="237">
        <f>IFERROR(ROUND(计划落实!V144/计划!V144,5),0)</f>
        <v/>
      </c>
      <c r="W144" s="237">
        <f>IFERROR(ROUND(计划落实!W144/计划!W144,5),0)</f>
        <v/>
      </c>
      <c r="X144" s="237">
        <f>IFERROR(ROUND(计划落实!X144/计划!X144,5),0)</f>
        <v/>
      </c>
      <c r="Y144" s="237">
        <f>IFERROR(ROUND(计划落实!Y144/计划!Y144,5),0)</f>
        <v/>
      </c>
      <c r="Z144" s="237">
        <f>IFERROR(ROUND(计划落实!Z144/计划!Z144,5),0)</f>
        <v/>
      </c>
      <c r="AA144" s="237">
        <f>IFERROR(ROUND(计划落实!AA144/计划!AA144,5),0)</f>
        <v/>
      </c>
      <c r="AB144" s="237">
        <f>IFERROR(ROUND(计划落实!AB144/计划!AB144,5),0)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4" t="n"/>
      <c r="B145" s="231" t="inlineStr">
        <is>
          <t>SKU-5C6A175C</t>
        </is>
      </c>
      <c r="C145" s="231" t="inlineStr">
        <is>
          <t>是</t>
        </is>
      </c>
      <c r="D145" s="231" t="n">
        <v>8</v>
      </c>
      <c r="E145" s="231" t="inlineStr">
        <is>
          <t>是</t>
        </is>
      </c>
      <c r="F145" s="231" t="inlineStr"/>
      <c r="G145" s="231" t="inlineStr"/>
      <c r="H145" s="231" t="inlineStr"/>
      <c r="I145" s="231" t="inlineStr">
        <is>
          <t>是</t>
        </is>
      </c>
      <c r="J145" s="27" t="inlineStr"/>
      <c r="K145" s="27" t="inlineStr"/>
      <c r="L145" s="231" t="n">
        <v>100</v>
      </c>
      <c r="M145" s="19" t="inlineStr">
        <is>
          <t>Product-F200B9C7</t>
        </is>
      </c>
      <c r="N145" s="231" t="n">
        <v>2</v>
      </c>
      <c r="O145" s="236">
        <f>IFERROR(ROUND(计划落实!O145/计划!O145,5),0)</f>
        <v/>
      </c>
      <c r="P145" s="237">
        <f>IFERROR(ROUND(计划落实!P145/计划!P145,5),0)</f>
        <v/>
      </c>
      <c r="Q145" s="237">
        <f>IFERROR(ROUND(计划落实!Q145/计划!Q145,5),0)</f>
        <v/>
      </c>
      <c r="R145" s="237">
        <f>IFERROR(ROUND(计划落实!R145/计划!R145,5),0)</f>
        <v/>
      </c>
      <c r="S145" s="237">
        <f>IFERROR(ROUND(计划落实!S145/计划!S145,5),0)</f>
        <v/>
      </c>
      <c r="T145" s="237">
        <f>IFERROR(ROUND(计划落实!T145/计划!T145,5),0)</f>
        <v/>
      </c>
      <c r="U145" s="237">
        <f>IFERROR(ROUND(计划落实!U145/计划!U145,5),0)</f>
        <v/>
      </c>
      <c r="V145" s="237">
        <f>IFERROR(ROUND(计划落实!V145/计划!V145,5),0)</f>
        <v/>
      </c>
      <c r="W145" s="237">
        <f>IFERROR(ROUND(计划落实!W145/计划!W145,5),0)</f>
        <v/>
      </c>
      <c r="X145" s="237">
        <f>IFERROR(ROUND(计划落实!X145/计划!X145,5),0)</f>
        <v/>
      </c>
      <c r="Y145" s="237">
        <f>IFERROR(ROUND(计划落实!Y145/计划!Y145,5),0)</f>
        <v/>
      </c>
      <c r="Z145" s="237">
        <f>IFERROR(ROUND(计划落实!Z145/计划!Z145,5),0)</f>
        <v/>
      </c>
      <c r="AA145" s="237">
        <f>IFERROR(ROUND(计划落实!AA145/计划!AA145,5),0)</f>
        <v/>
      </c>
      <c r="AB145" s="237">
        <f>IFERROR(ROUND(计划落实!AB145/计划!AB145,5),0)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4" t="n"/>
      <c r="B146" s="231" t="inlineStr">
        <is>
          <t>SKU-C6295A43</t>
        </is>
      </c>
      <c r="C146" s="231" t="inlineStr">
        <is>
          <t>是</t>
        </is>
      </c>
      <c r="D146" s="231" t="n">
        <v>10</v>
      </c>
      <c r="E146" s="231" t="inlineStr"/>
      <c r="F146" s="231" t="inlineStr"/>
      <c r="G146" s="231" t="inlineStr"/>
      <c r="H146" s="231" t="inlineStr">
        <is>
          <t>是</t>
        </is>
      </c>
      <c r="I146" s="231" t="inlineStr">
        <is>
          <t>是</t>
        </is>
      </c>
      <c r="J146" s="27" t="inlineStr"/>
      <c r="K146" s="27" t="inlineStr"/>
      <c r="L146" s="231" t="n">
        <v>100</v>
      </c>
      <c r="M146" s="33" t="inlineStr">
        <is>
          <t>Product-C41500E8</t>
        </is>
      </c>
      <c r="N146" s="231" t="n">
        <v>1</v>
      </c>
      <c r="O146" s="236">
        <f>IFERROR(ROUND(计划落实!O146/计划!O146,5),0)</f>
        <v/>
      </c>
      <c r="P146" s="237">
        <f>IFERROR(ROUND(计划落实!P146/计划!P146,5),0)</f>
        <v/>
      </c>
      <c r="Q146" s="237">
        <f>IFERROR(ROUND(计划落实!Q146/计划!Q146,5),0)</f>
        <v/>
      </c>
      <c r="R146" s="237">
        <f>IFERROR(ROUND(计划落实!R146/计划!R146,5),0)</f>
        <v/>
      </c>
      <c r="S146" s="237">
        <f>IFERROR(ROUND(计划落实!S146/计划!S146,5),0)</f>
        <v/>
      </c>
      <c r="T146" s="237">
        <f>IFERROR(ROUND(计划落实!T146/计划!T146,5),0)</f>
        <v/>
      </c>
      <c r="U146" s="237">
        <f>IFERROR(ROUND(计划落实!U146/计划!U146,5),0)</f>
        <v/>
      </c>
      <c r="V146" s="237">
        <f>IFERROR(ROUND(计划落实!V146/计划!V146,5),0)</f>
        <v/>
      </c>
      <c r="W146" s="237">
        <f>IFERROR(ROUND(计划落实!W146/计划!W146,5),0)</f>
        <v/>
      </c>
      <c r="X146" s="237">
        <f>IFERROR(ROUND(计划落实!X146/计划!X146,5),0)</f>
        <v/>
      </c>
      <c r="Y146" s="237">
        <f>IFERROR(ROUND(计划落实!Y146/计划!Y146,5),0)</f>
        <v/>
      </c>
      <c r="Z146" s="237">
        <f>IFERROR(ROUND(计划落实!Z146/计划!Z146,5),0)</f>
        <v/>
      </c>
      <c r="AA146" s="237">
        <f>IFERROR(ROUND(计划落实!AA146/计划!AA146,5),0)</f>
        <v/>
      </c>
      <c r="AB146" s="237">
        <f>IFERROR(ROUND(计划落实!AB146/计划!AB146,5),0)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4" t="n"/>
      <c r="B147" s="231" t="inlineStr">
        <is>
          <t>SKU-68E2C9C2</t>
        </is>
      </c>
      <c r="C147" s="231" t="inlineStr">
        <is>
          <t>是</t>
        </is>
      </c>
      <c r="D147" s="231" t="n">
        <v>10</v>
      </c>
      <c r="E147" s="231" t="inlineStr"/>
      <c r="F147" s="231" t="inlineStr"/>
      <c r="G147" s="231" t="inlineStr"/>
      <c r="H147" s="231" t="inlineStr"/>
      <c r="I147" s="231" t="inlineStr"/>
      <c r="J147" s="27" t="inlineStr">
        <is>
          <t>共</t>
        </is>
      </c>
      <c r="K147" s="27" t="inlineStr"/>
      <c r="L147" s="231" t="n">
        <v>100</v>
      </c>
      <c r="M147" s="19" t="inlineStr">
        <is>
          <t>Product-61D75507</t>
        </is>
      </c>
      <c r="N147" s="231" t="n">
        <v>1</v>
      </c>
      <c r="O147" s="236">
        <f>IFERROR(ROUND(计划落实!O147/计划!O147,5),0)</f>
        <v/>
      </c>
      <c r="P147" s="237">
        <f>IFERROR(ROUND(计划落实!P147/计划!P147,5),0)</f>
        <v/>
      </c>
      <c r="Q147" s="237">
        <f>IFERROR(ROUND(计划落实!Q147/计划!Q147,5),0)</f>
        <v/>
      </c>
      <c r="R147" s="237">
        <f>IFERROR(ROUND(计划落实!R147/计划!R147,5),0)</f>
        <v/>
      </c>
      <c r="S147" s="237">
        <f>IFERROR(ROUND(计划落实!S147/计划!S147,5),0)</f>
        <v/>
      </c>
      <c r="T147" s="237">
        <f>IFERROR(ROUND(计划落实!T147/计划!T147,5),0)</f>
        <v/>
      </c>
      <c r="U147" s="237">
        <f>IFERROR(ROUND(计划落实!U147/计划!U147,5),0)</f>
        <v/>
      </c>
      <c r="V147" s="237">
        <f>IFERROR(ROUND(计划落实!V147/计划!V147,5),0)</f>
        <v/>
      </c>
      <c r="W147" s="237">
        <f>IFERROR(ROUND(计划落实!W147/计划!W147,5),0)</f>
        <v/>
      </c>
      <c r="X147" s="237">
        <f>IFERROR(ROUND(计划落实!X147/计划!X147,5),0)</f>
        <v/>
      </c>
      <c r="Y147" s="237">
        <f>IFERROR(ROUND(计划落实!Y147/计划!Y147,5),0)</f>
        <v/>
      </c>
      <c r="Z147" s="237">
        <f>IFERROR(ROUND(计划落实!Z147/计划!Z147,5),0)</f>
        <v/>
      </c>
      <c r="AA147" s="237">
        <f>IFERROR(ROUND(计划落实!AA147/计划!AA147,5),0)</f>
        <v/>
      </c>
      <c r="AB147" s="237">
        <f>IFERROR(ROUND(计划落实!AB147/计划!AB147,5),0)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4" t="n"/>
      <c r="B148" s="231" t="inlineStr">
        <is>
          <t>SKU-3821C959</t>
        </is>
      </c>
      <c r="C148" s="231" t="inlineStr">
        <is>
          <t>是</t>
        </is>
      </c>
      <c r="D148" s="231" t="n">
        <v>10</v>
      </c>
      <c r="E148" s="231" t="inlineStr"/>
      <c r="F148" s="231" t="inlineStr"/>
      <c r="G148" s="231" t="inlineStr"/>
      <c r="H148" s="231" t="inlineStr"/>
      <c r="I148" s="231" t="inlineStr"/>
      <c r="J148" s="27" t="inlineStr"/>
      <c r="K148" s="27" t="inlineStr"/>
      <c r="L148" s="231" t="n">
        <v>100</v>
      </c>
      <c r="M148" s="19" t="inlineStr">
        <is>
          <t>Product-E665821D</t>
        </is>
      </c>
      <c r="N148" s="231" t="n">
        <v>1</v>
      </c>
      <c r="O148" s="236">
        <f>IFERROR(ROUND(计划落实!O148/计划!O148,5),0)</f>
        <v/>
      </c>
      <c r="P148" s="237">
        <f>IFERROR(ROUND(计划落实!P148/计划!P148,5),0)</f>
        <v/>
      </c>
      <c r="Q148" s="237">
        <f>IFERROR(ROUND(计划落实!Q148/计划!Q148,5),0)</f>
        <v/>
      </c>
      <c r="R148" s="237">
        <f>IFERROR(ROUND(计划落实!R148/计划!R148,5),0)</f>
        <v/>
      </c>
      <c r="S148" s="237">
        <f>IFERROR(ROUND(计划落实!S148/计划!S148,5),0)</f>
        <v/>
      </c>
      <c r="T148" s="237">
        <f>IFERROR(ROUND(计划落实!T148/计划!T148,5),0)</f>
        <v/>
      </c>
      <c r="U148" s="237">
        <f>IFERROR(ROUND(计划落实!U148/计划!U148,5),0)</f>
        <v/>
      </c>
      <c r="V148" s="237">
        <f>IFERROR(ROUND(计划落实!V148/计划!V148,5),0)</f>
        <v/>
      </c>
      <c r="W148" s="237">
        <f>IFERROR(ROUND(计划落实!W148/计划!W148,5),0)</f>
        <v/>
      </c>
      <c r="X148" s="237">
        <f>IFERROR(ROUND(计划落实!X148/计划!X148,5),0)</f>
        <v/>
      </c>
      <c r="Y148" s="237">
        <f>IFERROR(ROUND(计划落实!Y148/计划!Y148,5),0)</f>
        <v/>
      </c>
      <c r="Z148" s="237">
        <f>IFERROR(ROUND(计划落实!Z148/计划!Z148,5),0)</f>
        <v/>
      </c>
      <c r="AA148" s="237">
        <f>IFERROR(ROUND(计划落实!AA148/计划!AA148,5),0)</f>
        <v/>
      </c>
      <c r="AB148" s="237">
        <f>IFERROR(ROUND(计划落实!AB148/计划!AB148,5),0)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4" t="n"/>
      <c r="B149" s="231" t="inlineStr">
        <is>
          <t>SKU-22F094B2</t>
        </is>
      </c>
      <c r="C149" s="231" t="inlineStr">
        <is>
          <t>是</t>
        </is>
      </c>
      <c r="D149" s="231" t="n">
        <v>10</v>
      </c>
      <c r="E149" s="231" t="inlineStr"/>
      <c r="F149" s="231" t="inlineStr"/>
      <c r="G149" s="231" t="inlineStr"/>
      <c r="H149" s="231" t="inlineStr"/>
      <c r="I149" s="231" t="inlineStr"/>
      <c r="J149" s="27" t="inlineStr"/>
      <c r="K149" s="27" t="inlineStr"/>
      <c r="L149" s="231" t="n">
        <v>100</v>
      </c>
      <c r="M149" s="19" t="inlineStr">
        <is>
          <t>Product-A2C9FA4B</t>
        </is>
      </c>
      <c r="N149" s="231" t="n">
        <v>3</v>
      </c>
      <c r="O149" s="236">
        <f>IFERROR(ROUND(计划落实!O149/计划!O149,5),0)</f>
        <v/>
      </c>
      <c r="P149" s="237">
        <f>IFERROR(ROUND(计划落实!P149/计划!P149,5),0)</f>
        <v/>
      </c>
      <c r="Q149" s="237">
        <f>IFERROR(ROUND(计划落实!Q149/计划!Q149,5),0)</f>
        <v/>
      </c>
      <c r="R149" s="237">
        <f>IFERROR(ROUND(计划落实!R149/计划!R149,5),0)</f>
        <v/>
      </c>
      <c r="S149" s="237">
        <f>IFERROR(ROUND(计划落实!S149/计划!S149,5),0)</f>
        <v/>
      </c>
      <c r="T149" s="237">
        <f>IFERROR(ROUND(计划落实!T149/计划!T149,5),0)</f>
        <v/>
      </c>
      <c r="U149" s="237">
        <f>IFERROR(ROUND(计划落实!U149/计划!U149,5),0)</f>
        <v/>
      </c>
      <c r="V149" s="237">
        <f>IFERROR(ROUND(计划落实!V149/计划!V149,5),0)</f>
        <v/>
      </c>
      <c r="W149" s="237">
        <f>IFERROR(ROUND(计划落实!W149/计划!W149,5),0)</f>
        <v/>
      </c>
      <c r="X149" s="237">
        <f>IFERROR(ROUND(计划落实!X149/计划!X149,5),0)</f>
        <v/>
      </c>
      <c r="Y149" s="237">
        <f>IFERROR(ROUND(计划落实!Y149/计划!Y149,5),0)</f>
        <v/>
      </c>
      <c r="Z149" s="237">
        <f>IFERROR(ROUND(计划落实!Z149/计划!Z149,5),0)</f>
        <v/>
      </c>
      <c r="AA149" s="237">
        <f>IFERROR(ROUND(计划落实!AA149/计划!AA149,5),0)</f>
        <v/>
      </c>
      <c r="AB149" s="237">
        <f>IFERROR(ROUND(计划落实!AB149/计划!AB149,5),0)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4" t="n"/>
      <c r="B150" s="231" t="inlineStr">
        <is>
          <t>SKU-A00C82DC</t>
        </is>
      </c>
      <c r="C150" s="231" t="inlineStr">
        <is>
          <t>是</t>
        </is>
      </c>
      <c r="D150" s="231" t="n">
        <v>8</v>
      </c>
      <c r="E150" s="231" t="inlineStr"/>
      <c r="F150" s="231" t="inlineStr">
        <is>
          <t>是</t>
        </is>
      </c>
      <c r="G150" s="231" t="inlineStr"/>
      <c r="H150" s="231" t="inlineStr"/>
      <c r="I150" s="231" t="inlineStr">
        <is>
          <t>是</t>
        </is>
      </c>
      <c r="J150" s="27" t="inlineStr"/>
      <c r="K150" s="27" t="inlineStr"/>
      <c r="L150" s="231" t="n">
        <v>100</v>
      </c>
      <c r="M150" s="19" t="inlineStr">
        <is>
          <t>Product-C42233E0</t>
        </is>
      </c>
      <c r="N150" s="231" t="n">
        <v>1</v>
      </c>
      <c r="O150" s="236">
        <f>IFERROR(ROUND(计划落实!O150/计划!O150,5),0)</f>
        <v/>
      </c>
      <c r="P150" s="237">
        <f>IFERROR(ROUND(计划落实!P150/计划!P150,5),0)</f>
        <v/>
      </c>
      <c r="Q150" s="237">
        <f>IFERROR(ROUND(计划落实!Q150/计划!Q150,5),0)</f>
        <v/>
      </c>
      <c r="R150" s="237">
        <f>IFERROR(ROUND(计划落实!R150/计划!R150,5),0)</f>
        <v/>
      </c>
      <c r="S150" s="237">
        <f>IFERROR(ROUND(计划落实!S150/计划!S150,5),0)</f>
        <v/>
      </c>
      <c r="T150" s="237">
        <f>IFERROR(ROUND(计划落实!T150/计划!T150,5),0)</f>
        <v/>
      </c>
      <c r="U150" s="237">
        <f>IFERROR(ROUND(计划落实!U150/计划!U150,5),0)</f>
        <v/>
      </c>
      <c r="V150" s="237">
        <f>IFERROR(ROUND(计划落实!V150/计划!V150,5),0)</f>
        <v/>
      </c>
      <c r="W150" s="237">
        <f>IFERROR(ROUND(计划落实!W150/计划!W150,5),0)</f>
        <v/>
      </c>
      <c r="X150" s="237">
        <f>IFERROR(ROUND(计划落实!X150/计划!X150,5),0)</f>
        <v/>
      </c>
      <c r="Y150" s="237">
        <f>IFERROR(ROUND(计划落实!Y150/计划!Y150,5),0)</f>
        <v/>
      </c>
      <c r="Z150" s="237">
        <f>IFERROR(ROUND(计划落实!Z150/计划!Z150,5),0)</f>
        <v/>
      </c>
      <c r="AA150" s="237">
        <f>IFERROR(ROUND(计划落实!AA150/计划!AA150,5),0)</f>
        <v/>
      </c>
      <c r="AB150" s="237">
        <f>IFERROR(ROUND(计划落实!AB150/计划!AB150,5),0)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5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239">
        <f>IFERROR(ROUND(计划落实!O151/计划!O151,5),0)</f>
        <v/>
      </c>
      <c r="P151" s="239">
        <f>IFERROR(ROUND(计划落实!P151/计划!P151,5),0)</f>
        <v/>
      </c>
      <c r="Q151" s="239">
        <f>IFERROR(ROUND(计划落实!Q151/计划!Q151,5),0)</f>
        <v/>
      </c>
      <c r="R151" s="239">
        <f>IFERROR(ROUND(计划落实!R151/计划!R151,5),0)</f>
        <v/>
      </c>
      <c r="S151" s="239">
        <f>IFERROR(ROUND(计划落实!S151/计划!S151,5),0)</f>
        <v/>
      </c>
      <c r="T151" s="239">
        <f>IFERROR(ROUND(计划落实!T151/计划!T151,5),0)</f>
        <v/>
      </c>
      <c r="U151" s="239">
        <f>IFERROR(ROUND(计划落实!U151/计划!U151,5),0)</f>
        <v/>
      </c>
      <c r="V151" s="239">
        <f>IFERROR(ROUND(计划落实!V151/计划!V151,5),0)</f>
        <v/>
      </c>
      <c r="W151" s="239">
        <f>IFERROR(ROUND(计划落实!W151/计划!W151,5),0)</f>
        <v/>
      </c>
      <c r="X151" s="239">
        <f>IFERROR(ROUND(计划落实!X151/计划!X151,5),0)</f>
        <v/>
      </c>
      <c r="Y151" s="239">
        <f>IFERROR(ROUND(计划落实!Y151/计划!Y151,5),0)</f>
        <v/>
      </c>
      <c r="Z151" s="239">
        <f>IFERROR(ROUND(计划落实!Z151/计划!Z151,5),0)</f>
        <v/>
      </c>
      <c r="AA151" s="239">
        <f>IFERROR(ROUND(计划落实!AA151/计划!AA151,5),0)</f>
        <v/>
      </c>
      <c r="AB151" s="239">
        <f>IFERROR(ROUND(计划落实!AB151/计划!AB151,5),0)</f>
        <v/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31" t="inlineStr">
        <is>
          <t>SKU-85EB87C2</t>
        </is>
      </c>
      <c r="C152" s="231" t="inlineStr"/>
      <c r="D152" s="231" t="n">
        <v>10</v>
      </c>
      <c r="E152" s="231" t="inlineStr"/>
      <c r="F152" s="231" t="inlineStr"/>
      <c r="G152" s="231" t="inlineStr"/>
      <c r="H152" s="231" t="inlineStr"/>
      <c r="I152" s="231" t="inlineStr"/>
      <c r="J152" s="27" t="inlineStr"/>
      <c r="K152" s="27" t="inlineStr"/>
      <c r="L152" s="231" t="n">
        <v>100</v>
      </c>
      <c r="M152" s="43" t="inlineStr">
        <is>
          <t>Product-21719E56</t>
        </is>
      </c>
      <c r="N152" s="231" t="n">
        <v>3</v>
      </c>
      <c r="O152" s="236">
        <f>IFERROR(ROUND(计划落实!O152/计划!O152,5),0)</f>
        <v/>
      </c>
      <c r="P152" s="237">
        <f>IFERROR(ROUND(计划落实!P152/计划!P152,5),0)</f>
        <v/>
      </c>
      <c r="Q152" s="237">
        <f>IFERROR(ROUND(计划落实!Q152/计划!Q152,5),0)</f>
        <v/>
      </c>
      <c r="R152" s="237">
        <f>IFERROR(ROUND(计划落实!R152/计划!R152,5),0)</f>
        <v/>
      </c>
      <c r="S152" s="237">
        <f>IFERROR(ROUND(计划落实!S152/计划!S152,5),0)</f>
        <v/>
      </c>
      <c r="T152" s="237">
        <f>IFERROR(ROUND(计划落实!T152/计划!T152,5),0)</f>
        <v/>
      </c>
      <c r="U152" s="237">
        <f>IFERROR(ROUND(计划落实!U152/计划!U152,5),0)</f>
        <v/>
      </c>
      <c r="V152" s="237">
        <f>IFERROR(ROUND(计划落实!V152/计划!V152,5),0)</f>
        <v/>
      </c>
      <c r="W152" s="237">
        <f>IFERROR(ROUND(计划落实!W152/计划!W152,5),0)</f>
        <v/>
      </c>
      <c r="X152" s="237">
        <f>IFERROR(ROUND(计划落实!X152/计划!X152,5),0)</f>
        <v/>
      </c>
      <c r="Y152" s="237">
        <f>IFERROR(ROUND(计划落实!Y152/计划!Y152,5),0)</f>
        <v/>
      </c>
      <c r="Z152" s="237">
        <f>IFERROR(ROUND(计划落实!Z152/计划!Z152,5),0)</f>
        <v/>
      </c>
      <c r="AA152" s="237">
        <f>IFERROR(ROUND(计划落实!AA152/计划!AA152,5),0)</f>
        <v/>
      </c>
      <c r="AB152" s="237">
        <f>IFERROR(ROUND(计划落实!AB152/计划!AB152,5),0)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4" t="n"/>
      <c r="B153" s="231" t="inlineStr">
        <is>
          <t>SKU-D52742FC</t>
        </is>
      </c>
      <c r="C153" s="231" t="inlineStr">
        <is>
          <t>是</t>
        </is>
      </c>
      <c r="D153" s="231" t="n">
        <v>8</v>
      </c>
      <c r="E153" s="231" t="inlineStr"/>
      <c r="F153" s="231" t="inlineStr"/>
      <c r="G153" s="231" t="inlineStr"/>
      <c r="H153" s="231" t="inlineStr"/>
      <c r="I153" s="231" t="inlineStr"/>
      <c r="J153" s="27" t="inlineStr"/>
      <c r="K153" s="27" t="inlineStr"/>
      <c r="L153" s="231" t="n">
        <v>100</v>
      </c>
      <c r="M153" s="19" t="inlineStr">
        <is>
          <t>Product-651736B9</t>
        </is>
      </c>
      <c r="N153" s="231" t="n">
        <v>1</v>
      </c>
      <c r="O153" s="236">
        <f>IFERROR(ROUND(计划落实!O153/计划!O153,5),0)</f>
        <v/>
      </c>
      <c r="P153" s="237">
        <f>IFERROR(ROUND(计划落实!P153/计划!P153,5),0)</f>
        <v/>
      </c>
      <c r="Q153" s="237">
        <f>IFERROR(ROUND(计划落实!Q153/计划!Q153,5),0)</f>
        <v/>
      </c>
      <c r="R153" s="237">
        <f>IFERROR(ROUND(计划落实!R153/计划!R153,5),0)</f>
        <v/>
      </c>
      <c r="S153" s="237">
        <f>IFERROR(ROUND(计划落实!S153/计划!S153,5),0)</f>
        <v/>
      </c>
      <c r="T153" s="237">
        <f>IFERROR(ROUND(计划落实!T153/计划!T153,5),0)</f>
        <v/>
      </c>
      <c r="U153" s="237">
        <f>IFERROR(ROUND(计划落实!U153/计划!U153,5),0)</f>
        <v/>
      </c>
      <c r="V153" s="237">
        <f>IFERROR(ROUND(计划落实!V153/计划!V153,5),0)</f>
        <v/>
      </c>
      <c r="W153" s="237">
        <f>IFERROR(ROUND(计划落实!W153/计划!W153,5),0)</f>
        <v/>
      </c>
      <c r="X153" s="237">
        <f>IFERROR(ROUND(计划落实!X153/计划!X153,5),0)</f>
        <v/>
      </c>
      <c r="Y153" s="237">
        <f>IFERROR(ROUND(计划落实!Y153/计划!Y153,5),0)</f>
        <v/>
      </c>
      <c r="Z153" s="237">
        <f>IFERROR(ROUND(计划落实!Z153/计划!Z153,5),0)</f>
        <v/>
      </c>
      <c r="AA153" s="237">
        <f>IFERROR(ROUND(计划落实!AA153/计划!AA153,5),0)</f>
        <v/>
      </c>
      <c r="AB153" s="237">
        <f>IFERROR(ROUND(计划落实!AB153/计划!AB153,5),0)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4" t="n"/>
      <c r="B154" s="231" t="inlineStr">
        <is>
          <t>SKU-D4326C5A</t>
        </is>
      </c>
      <c r="C154" s="231" t="inlineStr">
        <is>
          <t>是</t>
        </is>
      </c>
      <c r="D154" s="231" t="n">
        <v>11</v>
      </c>
      <c r="E154" s="231" t="inlineStr"/>
      <c r="F154" s="231" t="inlineStr"/>
      <c r="G154" s="231" t="inlineStr"/>
      <c r="H154" s="231" t="inlineStr"/>
      <c r="I154" s="231" t="inlineStr"/>
      <c r="J154" s="27" t="inlineStr"/>
      <c r="K154" s="27" t="inlineStr"/>
      <c r="L154" s="231" t="n">
        <v>100</v>
      </c>
      <c r="M154" s="19" t="inlineStr">
        <is>
          <t>Product-E1F8C543</t>
        </is>
      </c>
      <c r="N154" s="231" t="n">
        <v>3</v>
      </c>
      <c r="O154" s="236">
        <f>IFERROR(ROUND(计划落实!O154/计划!O154,5),0)</f>
        <v/>
      </c>
      <c r="P154" s="237">
        <f>IFERROR(ROUND(计划落实!P154/计划!P154,5),0)</f>
        <v/>
      </c>
      <c r="Q154" s="237">
        <f>IFERROR(ROUND(计划落实!Q154/计划!Q154,5),0)</f>
        <v/>
      </c>
      <c r="R154" s="237">
        <f>IFERROR(ROUND(计划落实!R154/计划!R154,5),0)</f>
        <v/>
      </c>
      <c r="S154" s="237">
        <f>IFERROR(ROUND(计划落实!S154/计划!S154,5),0)</f>
        <v/>
      </c>
      <c r="T154" s="237">
        <f>IFERROR(ROUND(计划落实!T154/计划!T154,5),0)</f>
        <v/>
      </c>
      <c r="U154" s="237">
        <f>IFERROR(ROUND(计划落实!U154/计划!U154,5),0)</f>
        <v/>
      </c>
      <c r="V154" s="237">
        <f>IFERROR(ROUND(计划落实!V154/计划!V154,5),0)</f>
        <v/>
      </c>
      <c r="W154" s="237">
        <f>IFERROR(ROUND(计划落实!W154/计划!W154,5),0)</f>
        <v/>
      </c>
      <c r="X154" s="237">
        <f>IFERROR(ROUND(计划落实!X154/计划!X154,5),0)</f>
        <v/>
      </c>
      <c r="Y154" s="237">
        <f>IFERROR(ROUND(计划落实!Y154/计划!Y154,5),0)</f>
        <v/>
      </c>
      <c r="Z154" s="237">
        <f>IFERROR(ROUND(计划落实!Z154/计划!Z154,5),0)</f>
        <v/>
      </c>
      <c r="AA154" s="237">
        <f>IFERROR(ROUND(计划落实!AA154/计划!AA154,5),0)</f>
        <v/>
      </c>
      <c r="AB154" s="237">
        <f>IFERROR(ROUND(计划落实!AB154/计划!AB154,5),0)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4" t="n"/>
      <c r="B155" s="231" t="inlineStr">
        <is>
          <t>SKU-7882C790</t>
        </is>
      </c>
      <c r="C155" s="231" t="inlineStr">
        <is>
          <t>是</t>
        </is>
      </c>
      <c r="D155" s="231" t="n">
        <v>11</v>
      </c>
      <c r="E155" s="231" t="inlineStr"/>
      <c r="F155" s="231" t="inlineStr"/>
      <c r="G155" s="231" t="inlineStr"/>
      <c r="H155" s="231" t="inlineStr"/>
      <c r="I155" s="231" t="inlineStr"/>
      <c r="J155" s="27" t="inlineStr"/>
      <c r="K155" s="27" t="inlineStr"/>
      <c r="L155" s="231" t="n">
        <v>100</v>
      </c>
      <c r="M155" s="43" t="inlineStr">
        <is>
          <t>Product-F864C796</t>
        </is>
      </c>
      <c r="N155" s="231" t="n">
        <v>3</v>
      </c>
      <c r="O155" s="236">
        <f>IFERROR(ROUND(计划落实!O155/计划!O155,5),0)</f>
        <v/>
      </c>
      <c r="P155" s="237">
        <f>IFERROR(ROUND(计划落实!P155/计划!P155,5),0)</f>
        <v/>
      </c>
      <c r="Q155" s="237">
        <f>IFERROR(ROUND(计划落实!Q155/计划!Q155,5),0)</f>
        <v/>
      </c>
      <c r="R155" s="237">
        <f>IFERROR(ROUND(计划落实!R155/计划!R155,5),0)</f>
        <v/>
      </c>
      <c r="S155" s="237">
        <f>IFERROR(ROUND(计划落实!S155/计划!S155,5),0)</f>
        <v/>
      </c>
      <c r="T155" s="237">
        <f>IFERROR(ROUND(计划落实!T155/计划!T155,5),0)</f>
        <v/>
      </c>
      <c r="U155" s="237">
        <f>IFERROR(ROUND(计划落实!U155/计划!U155,5),0)</f>
        <v/>
      </c>
      <c r="V155" s="237">
        <f>IFERROR(ROUND(计划落实!V155/计划!V155,5),0)</f>
        <v/>
      </c>
      <c r="W155" s="237">
        <f>IFERROR(ROUND(计划落实!W155/计划!W155,5),0)</f>
        <v/>
      </c>
      <c r="X155" s="237">
        <f>IFERROR(ROUND(计划落实!X155/计划!X155,5),0)</f>
        <v/>
      </c>
      <c r="Y155" s="237">
        <f>IFERROR(ROUND(计划落实!Y155/计划!Y155,5),0)</f>
        <v/>
      </c>
      <c r="Z155" s="237">
        <f>IFERROR(ROUND(计划落实!Z155/计划!Z155,5),0)</f>
        <v/>
      </c>
      <c r="AA155" s="237">
        <f>IFERROR(ROUND(计划落实!AA155/计划!AA155,5),0)</f>
        <v/>
      </c>
      <c r="AB155" s="237">
        <f>IFERROR(ROUND(计划落实!AB155/计划!AB155,5),0)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4" t="n"/>
      <c r="B156" s="231" t="inlineStr">
        <is>
          <t>SKU-9A453BC6</t>
        </is>
      </c>
      <c r="C156" s="231" t="inlineStr">
        <is>
          <t>是</t>
        </is>
      </c>
      <c r="D156" s="231" t="n">
        <v>8</v>
      </c>
      <c r="E156" s="231" t="inlineStr"/>
      <c r="F156" s="231" t="inlineStr"/>
      <c r="G156" s="231" t="inlineStr"/>
      <c r="H156" s="231" t="inlineStr"/>
      <c r="I156" s="231" t="inlineStr"/>
      <c r="J156" s="27" t="inlineStr"/>
      <c r="K156" s="27" t="inlineStr"/>
      <c r="L156" s="231" t="n">
        <v>100</v>
      </c>
      <c r="M156" s="19" t="inlineStr">
        <is>
          <t>Product-C344580B</t>
        </is>
      </c>
      <c r="N156" s="231" t="n">
        <v>2</v>
      </c>
      <c r="O156" s="236">
        <f>IFERROR(ROUND(计划落实!O156/计划!O156,5),0)</f>
        <v/>
      </c>
      <c r="P156" s="237">
        <f>IFERROR(ROUND(计划落实!P156/计划!P156,5),0)</f>
        <v/>
      </c>
      <c r="Q156" s="237">
        <f>IFERROR(ROUND(计划落实!Q156/计划!Q156,5),0)</f>
        <v/>
      </c>
      <c r="R156" s="237">
        <f>IFERROR(ROUND(计划落实!R156/计划!R156,5),0)</f>
        <v/>
      </c>
      <c r="S156" s="237">
        <f>IFERROR(ROUND(计划落实!S156/计划!S156,5),0)</f>
        <v/>
      </c>
      <c r="T156" s="237">
        <f>IFERROR(ROUND(计划落实!T156/计划!T156,5),0)</f>
        <v/>
      </c>
      <c r="U156" s="237">
        <f>IFERROR(ROUND(计划落实!U156/计划!U156,5),0)</f>
        <v/>
      </c>
      <c r="V156" s="237">
        <f>IFERROR(ROUND(计划落实!V156/计划!V156,5),0)</f>
        <v/>
      </c>
      <c r="W156" s="237">
        <f>IFERROR(ROUND(计划落实!W156/计划!W156,5),0)</f>
        <v/>
      </c>
      <c r="X156" s="237">
        <f>IFERROR(ROUND(计划落实!X156/计划!X156,5),0)</f>
        <v/>
      </c>
      <c r="Y156" s="237">
        <f>IFERROR(ROUND(计划落实!Y156/计划!Y156,5),0)</f>
        <v/>
      </c>
      <c r="Z156" s="237">
        <f>IFERROR(ROUND(计划落实!Z156/计划!Z156,5),0)</f>
        <v/>
      </c>
      <c r="AA156" s="237">
        <f>IFERROR(ROUND(计划落实!AA156/计划!AA156,5),0)</f>
        <v/>
      </c>
      <c r="AB156" s="237">
        <f>IFERROR(ROUND(计划落实!AB156/计划!AB156,5),0)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4" t="n"/>
      <c r="B157" s="231" t="inlineStr">
        <is>
          <t>SKU-EE07E257</t>
        </is>
      </c>
      <c r="C157" s="231" t="inlineStr">
        <is>
          <t>是</t>
        </is>
      </c>
      <c r="D157" s="231" t="n">
        <v>6</v>
      </c>
      <c r="E157" s="231" t="inlineStr">
        <is>
          <t>是</t>
        </is>
      </c>
      <c r="F157" s="231" t="inlineStr"/>
      <c r="G157" s="231" t="inlineStr"/>
      <c r="H157" s="231" t="inlineStr"/>
      <c r="I157" s="231" t="inlineStr">
        <is>
          <t>是</t>
        </is>
      </c>
      <c r="J157" s="27" t="inlineStr">
        <is>
          <t>共</t>
        </is>
      </c>
      <c r="K157" s="27" t="inlineStr"/>
      <c r="L157" s="231" t="n">
        <v>100</v>
      </c>
      <c r="M157" s="19" t="inlineStr">
        <is>
          <t>Product-1F0D9429</t>
        </is>
      </c>
      <c r="N157" s="231" t="n">
        <v>2</v>
      </c>
      <c r="O157" s="236">
        <f>IFERROR(ROUND(计划落实!O157/计划!O157,5),0)</f>
        <v/>
      </c>
      <c r="P157" s="237">
        <f>IFERROR(ROUND(计划落实!P157/计划!P157,5),0)</f>
        <v/>
      </c>
      <c r="Q157" s="237">
        <f>IFERROR(ROUND(计划落实!Q157/计划!Q157,5),0)</f>
        <v/>
      </c>
      <c r="R157" s="237">
        <f>IFERROR(ROUND(计划落实!R157/计划!R157,5),0)</f>
        <v/>
      </c>
      <c r="S157" s="237">
        <f>IFERROR(ROUND(计划落实!S157/计划!S157,5),0)</f>
        <v/>
      </c>
      <c r="T157" s="237">
        <f>IFERROR(ROUND(计划落实!T157/计划!T157,5),0)</f>
        <v/>
      </c>
      <c r="U157" s="237">
        <f>IFERROR(ROUND(计划落实!U157/计划!U157,5),0)</f>
        <v/>
      </c>
      <c r="V157" s="237">
        <f>IFERROR(ROUND(计划落实!V157/计划!V157,5),0)</f>
        <v/>
      </c>
      <c r="W157" s="237">
        <f>IFERROR(ROUND(计划落实!W157/计划!W157,5),0)</f>
        <v/>
      </c>
      <c r="X157" s="237">
        <f>IFERROR(ROUND(计划落实!X157/计划!X157,5),0)</f>
        <v/>
      </c>
      <c r="Y157" s="237">
        <f>IFERROR(ROUND(计划落实!Y157/计划!Y157,5),0)</f>
        <v/>
      </c>
      <c r="Z157" s="237">
        <f>IFERROR(ROUND(计划落实!Z157/计划!Z157,5),0)</f>
        <v/>
      </c>
      <c r="AA157" s="237">
        <f>IFERROR(ROUND(计划落实!AA157/计划!AA157,5),0)</f>
        <v/>
      </c>
      <c r="AB157" s="237">
        <f>IFERROR(ROUND(计划落实!AB157/计划!AB157,5),0)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4" t="n"/>
      <c r="B158" s="55" t="inlineStr">
        <is>
          <t>SKU-49DCD58C</t>
        </is>
      </c>
      <c r="C158" s="231" t="inlineStr">
        <is>
          <t>是</t>
        </is>
      </c>
      <c r="D158" s="55" t="n">
        <v>10</v>
      </c>
      <c r="E158" s="231" t="inlineStr"/>
      <c r="F158" s="231" t="inlineStr">
        <is>
          <t>是</t>
        </is>
      </c>
      <c r="G158" s="231" t="inlineStr"/>
      <c r="H158" s="231" t="inlineStr"/>
      <c r="I158" s="231" t="inlineStr">
        <is>
          <t>是</t>
        </is>
      </c>
      <c r="J158" s="56" t="inlineStr"/>
      <c r="K158" s="56" t="inlineStr"/>
      <c r="L158" s="231" t="n">
        <v>100</v>
      </c>
      <c r="M158" s="33" t="inlineStr">
        <is>
          <t>Product-BF9865D9</t>
        </is>
      </c>
      <c r="N158" s="231" t="n">
        <v>1</v>
      </c>
      <c r="O158" s="236">
        <f>IFERROR(ROUND(计划落实!O158/计划!O158,5),0)</f>
        <v/>
      </c>
      <c r="P158" s="237">
        <f>IFERROR(ROUND(计划落实!P158/计划!P158,5),0)</f>
        <v/>
      </c>
      <c r="Q158" s="237">
        <f>IFERROR(ROUND(计划落实!Q158/计划!Q158,5),0)</f>
        <v/>
      </c>
      <c r="R158" s="237">
        <f>IFERROR(ROUND(计划落实!R158/计划!R158,5),0)</f>
        <v/>
      </c>
      <c r="S158" s="237">
        <f>IFERROR(ROUND(计划落实!S158/计划!S158,5),0)</f>
        <v/>
      </c>
      <c r="T158" s="237">
        <f>IFERROR(ROUND(计划落实!T158/计划!T158,5),0)</f>
        <v/>
      </c>
      <c r="U158" s="237">
        <f>IFERROR(ROUND(计划落实!U158/计划!U158,5),0)</f>
        <v/>
      </c>
      <c r="V158" s="237">
        <f>IFERROR(ROUND(计划落实!V158/计划!V158,5),0)</f>
        <v/>
      </c>
      <c r="W158" s="237">
        <f>IFERROR(ROUND(计划落实!W158/计划!W158,5),0)</f>
        <v/>
      </c>
      <c r="X158" s="237">
        <f>IFERROR(ROUND(计划落实!X158/计划!X158,5),0)</f>
        <v/>
      </c>
      <c r="Y158" s="237">
        <f>IFERROR(ROUND(计划落实!Y158/计划!Y158,5),0)</f>
        <v/>
      </c>
      <c r="Z158" s="237">
        <f>IFERROR(ROUND(计划落实!Z158/计划!Z158,5),0)</f>
        <v/>
      </c>
      <c r="AA158" s="237">
        <f>IFERROR(ROUND(计划落实!AA158/计划!AA158,5),0)</f>
        <v/>
      </c>
      <c r="AB158" s="237">
        <f>IFERROR(ROUND(计划落实!AB158/计划!AB158,5),0)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4" t="n"/>
      <c r="B159" s="231" t="inlineStr">
        <is>
          <t>SKU-5D621FD4</t>
        </is>
      </c>
      <c r="C159" s="231" t="inlineStr">
        <is>
          <t>是</t>
        </is>
      </c>
      <c r="D159" s="231" t="n">
        <v>6</v>
      </c>
      <c r="E159" s="231" t="inlineStr">
        <is>
          <t>是</t>
        </is>
      </c>
      <c r="F159" s="231" t="inlineStr"/>
      <c r="G159" s="231" t="inlineStr"/>
      <c r="H159" s="231" t="inlineStr">
        <is>
          <t>是</t>
        </is>
      </c>
      <c r="I159" s="231" t="inlineStr">
        <is>
          <t>是</t>
        </is>
      </c>
      <c r="J159" s="56" t="inlineStr">
        <is>
          <t>共</t>
        </is>
      </c>
      <c r="K159" s="56" t="inlineStr"/>
      <c r="L159" s="231" t="n">
        <v>100</v>
      </c>
      <c r="M159" s="19" t="inlineStr">
        <is>
          <t>Product-26631748</t>
        </is>
      </c>
      <c r="N159" s="231" t="n">
        <v>1</v>
      </c>
      <c r="O159" s="236">
        <f>IFERROR(ROUND(计划落实!O159/计划!O159,5),0)</f>
        <v/>
      </c>
      <c r="P159" s="237">
        <f>IFERROR(ROUND(计划落实!P159/计划!P159,5),0)</f>
        <v/>
      </c>
      <c r="Q159" s="237">
        <f>IFERROR(ROUND(计划落实!Q159/计划!Q159,5),0)</f>
        <v/>
      </c>
      <c r="R159" s="237">
        <f>IFERROR(ROUND(计划落实!R159/计划!R159,5),0)</f>
        <v/>
      </c>
      <c r="S159" s="237">
        <f>IFERROR(ROUND(计划落实!S159/计划!S159,5),0)</f>
        <v/>
      </c>
      <c r="T159" s="237">
        <f>IFERROR(ROUND(计划落实!T159/计划!T159,5),0)</f>
        <v/>
      </c>
      <c r="U159" s="237">
        <f>IFERROR(ROUND(计划落实!U159/计划!U159,5),0)</f>
        <v/>
      </c>
      <c r="V159" s="237">
        <f>IFERROR(ROUND(计划落实!V159/计划!V159,5),0)</f>
        <v/>
      </c>
      <c r="W159" s="237">
        <f>IFERROR(ROUND(计划落实!W159/计划!W159,5),0)</f>
        <v/>
      </c>
      <c r="X159" s="237">
        <f>IFERROR(ROUND(计划落实!X159/计划!X159,5),0)</f>
        <v/>
      </c>
      <c r="Y159" s="237">
        <f>IFERROR(ROUND(计划落实!Y159/计划!Y159,5),0)</f>
        <v/>
      </c>
      <c r="Z159" s="237">
        <f>IFERROR(ROUND(计划落实!Z159/计划!Z159,5),0)</f>
        <v/>
      </c>
      <c r="AA159" s="237">
        <f>IFERROR(ROUND(计划落实!AA159/计划!AA159,5),0)</f>
        <v/>
      </c>
      <c r="AB159" s="237">
        <f>IFERROR(ROUND(计划落实!AB159/计划!AB159,5),0)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4" t="n"/>
      <c r="B160" s="231" t="inlineStr">
        <is>
          <t>SKU-CA16AEB9</t>
        </is>
      </c>
      <c r="C160" s="231" t="inlineStr">
        <is>
          <t>是</t>
        </is>
      </c>
      <c r="D160" s="231" t="n">
        <v>7</v>
      </c>
      <c r="E160" s="231" t="inlineStr">
        <is>
          <t>是</t>
        </is>
      </c>
      <c r="F160" s="231" t="inlineStr"/>
      <c r="G160" s="231" t="inlineStr"/>
      <c r="H160" s="231" t="inlineStr"/>
      <c r="I160" s="231" t="inlineStr">
        <is>
          <t>是</t>
        </is>
      </c>
      <c r="J160" s="27" t="inlineStr"/>
      <c r="K160" s="27" t="inlineStr"/>
      <c r="L160" s="231" t="n">
        <v>100</v>
      </c>
      <c r="M160" s="19" t="inlineStr">
        <is>
          <t>Product-4B7D4BD1</t>
        </is>
      </c>
      <c r="N160" s="231" t="n">
        <v>1</v>
      </c>
      <c r="O160" s="236">
        <f>IFERROR(ROUND(计划落实!O160/计划!O160,5),0)</f>
        <v/>
      </c>
      <c r="P160" s="237">
        <f>IFERROR(ROUND(计划落实!P160/计划!P160,5),0)</f>
        <v/>
      </c>
      <c r="Q160" s="237">
        <f>IFERROR(ROUND(计划落实!Q160/计划!Q160,5),0)</f>
        <v/>
      </c>
      <c r="R160" s="237">
        <f>IFERROR(ROUND(计划落实!R160/计划!R160,5),0)</f>
        <v/>
      </c>
      <c r="S160" s="237">
        <f>IFERROR(ROUND(计划落实!S160/计划!S160,5),0)</f>
        <v/>
      </c>
      <c r="T160" s="237">
        <f>IFERROR(ROUND(计划落实!T160/计划!T160,5),0)</f>
        <v/>
      </c>
      <c r="U160" s="237">
        <f>IFERROR(ROUND(计划落实!U160/计划!U160,5),0)</f>
        <v/>
      </c>
      <c r="V160" s="237">
        <f>IFERROR(ROUND(计划落实!V160/计划!V160,5),0)</f>
        <v/>
      </c>
      <c r="W160" s="237">
        <f>IFERROR(ROUND(计划落实!W160/计划!W160,5),0)</f>
        <v/>
      </c>
      <c r="X160" s="237">
        <f>IFERROR(ROUND(计划落实!X160/计划!X160,5),0)</f>
        <v/>
      </c>
      <c r="Y160" s="237">
        <f>IFERROR(ROUND(计划落实!Y160/计划!Y160,5),0)</f>
        <v/>
      </c>
      <c r="Z160" s="237">
        <f>IFERROR(ROUND(计划落实!Z160/计划!Z160,5),0)</f>
        <v/>
      </c>
      <c r="AA160" s="237">
        <f>IFERROR(ROUND(计划落实!AA160/计划!AA160,5),0)</f>
        <v/>
      </c>
      <c r="AB160" s="237">
        <f>IFERROR(ROUND(计划落实!AB160/计划!AB160,5),0)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4" t="n"/>
      <c r="B161" s="231" t="inlineStr">
        <is>
          <t>SKU-8ED723E3</t>
        </is>
      </c>
      <c r="C161" s="231" t="inlineStr">
        <is>
          <t>是</t>
        </is>
      </c>
      <c r="D161" s="231" t="n">
        <v>8</v>
      </c>
      <c r="E161" s="231" t="inlineStr">
        <is>
          <t>是</t>
        </is>
      </c>
      <c r="F161" s="231" t="inlineStr"/>
      <c r="G161" s="231" t="inlineStr"/>
      <c r="H161" s="231" t="inlineStr"/>
      <c r="I161" s="231" t="inlineStr">
        <is>
          <t>是</t>
        </is>
      </c>
      <c r="J161" s="27" t="inlineStr"/>
      <c r="K161" s="27" t="inlineStr"/>
      <c r="L161" s="231" t="n">
        <v>100</v>
      </c>
      <c r="M161" s="19" t="inlineStr">
        <is>
          <t>Product-E8BD5CCF</t>
        </is>
      </c>
      <c r="N161" s="231" t="n">
        <v>1</v>
      </c>
      <c r="O161" s="236">
        <f>IFERROR(ROUND(计划落实!O161/计划!O161,5),0)</f>
        <v/>
      </c>
      <c r="P161" s="237">
        <f>IFERROR(ROUND(计划落实!P161/计划!P161,5),0)</f>
        <v/>
      </c>
      <c r="Q161" s="237">
        <f>IFERROR(ROUND(计划落实!Q161/计划!Q161,5),0)</f>
        <v/>
      </c>
      <c r="R161" s="237">
        <f>IFERROR(ROUND(计划落实!R161/计划!R161,5),0)</f>
        <v/>
      </c>
      <c r="S161" s="237">
        <f>IFERROR(ROUND(计划落实!S161/计划!S161,5),0)</f>
        <v/>
      </c>
      <c r="T161" s="237">
        <f>IFERROR(ROUND(计划落实!T161/计划!T161,5),0)</f>
        <v/>
      </c>
      <c r="U161" s="237">
        <f>IFERROR(ROUND(计划落实!U161/计划!U161,5),0)</f>
        <v/>
      </c>
      <c r="V161" s="237">
        <f>IFERROR(ROUND(计划落实!V161/计划!V161,5),0)</f>
        <v/>
      </c>
      <c r="W161" s="237">
        <f>IFERROR(ROUND(计划落实!W161/计划!W161,5),0)</f>
        <v/>
      </c>
      <c r="X161" s="237">
        <f>IFERROR(ROUND(计划落实!X161/计划!X161,5),0)</f>
        <v/>
      </c>
      <c r="Y161" s="237">
        <f>IFERROR(ROUND(计划落实!Y161/计划!Y161,5),0)</f>
        <v/>
      </c>
      <c r="Z161" s="237">
        <f>IFERROR(ROUND(计划落实!Z161/计划!Z161,5),0)</f>
        <v/>
      </c>
      <c r="AA161" s="237">
        <f>IFERROR(ROUND(计划落实!AA161/计划!AA161,5),0)</f>
        <v/>
      </c>
      <c r="AB161" s="237">
        <f>IFERROR(ROUND(计划落实!AB161/计划!AB161,5),0)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4" t="n"/>
      <c r="B162" s="231" t="inlineStr">
        <is>
          <t>SKU-DBA86E65</t>
        </is>
      </c>
      <c r="C162" s="231" t="inlineStr">
        <is>
          <t>是</t>
        </is>
      </c>
      <c r="D162" s="231" t="n">
        <v>6</v>
      </c>
      <c r="E162" s="231" t="inlineStr">
        <is>
          <t>是</t>
        </is>
      </c>
      <c r="F162" s="231" t="inlineStr"/>
      <c r="G162" s="231" t="inlineStr"/>
      <c r="H162" s="231" t="inlineStr">
        <is>
          <t>是</t>
        </is>
      </c>
      <c r="I162" s="231" t="inlineStr">
        <is>
          <t>是</t>
        </is>
      </c>
      <c r="J162" s="27" t="inlineStr"/>
      <c r="K162" s="27" t="inlineStr"/>
      <c r="L162" s="231" t="n">
        <v>100</v>
      </c>
      <c r="M162" s="45" t="inlineStr">
        <is>
          <t>Product-621BB3A5</t>
        </is>
      </c>
      <c r="N162" s="231" t="n">
        <v>1</v>
      </c>
      <c r="O162" s="236">
        <f>IFERROR(ROUND(计划落实!O162/计划!O162,5),0)</f>
        <v/>
      </c>
      <c r="P162" s="237">
        <f>IFERROR(ROUND(计划落实!P162/计划!P162,5),0)</f>
        <v/>
      </c>
      <c r="Q162" s="237">
        <f>IFERROR(ROUND(计划落实!Q162/计划!Q162,5),0)</f>
        <v/>
      </c>
      <c r="R162" s="237">
        <f>IFERROR(ROUND(计划落实!R162/计划!R162,5),0)</f>
        <v/>
      </c>
      <c r="S162" s="237">
        <f>IFERROR(ROUND(计划落实!S162/计划!S162,5),0)</f>
        <v/>
      </c>
      <c r="T162" s="237">
        <f>IFERROR(ROUND(计划落实!T162/计划!T162,5),0)</f>
        <v/>
      </c>
      <c r="U162" s="237">
        <f>IFERROR(ROUND(计划落实!U162/计划!U162,5),0)</f>
        <v/>
      </c>
      <c r="V162" s="237">
        <f>IFERROR(ROUND(计划落实!V162/计划!V162,5),0)</f>
        <v/>
      </c>
      <c r="W162" s="237">
        <f>IFERROR(ROUND(计划落实!W162/计划!W162,5),0)</f>
        <v/>
      </c>
      <c r="X162" s="237">
        <f>IFERROR(ROUND(计划落实!X162/计划!X162,5),0)</f>
        <v/>
      </c>
      <c r="Y162" s="237">
        <f>IFERROR(ROUND(计划落实!Y162/计划!Y162,5),0)</f>
        <v/>
      </c>
      <c r="Z162" s="237">
        <f>IFERROR(ROUND(计划落实!Z162/计划!Z162,5),0)</f>
        <v/>
      </c>
      <c r="AA162" s="237">
        <f>IFERROR(ROUND(计划落实!AA162/计划!AA162,5),0)</f>
        <v/>
      </c>
      <c r="AB162" s="237">
        <f>IFERROR(ROUND(计划落实!AB162/计划!AB162,5),0)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4" t="n"/>
      <c r="B163" s="231" t="inlineStr">
        <is>
          <t>SKU-B757BD73</t>
        </is>
      </c>
      <c r="C163" s="231" t="inlineStr">
        <is>
          <t>是</t>
        </is>
      </c>
      <c r="D163" s="231" t="n">
        <v>8</v>
      </c>
      <c r="E163" s="231" t="inlineStr"/>
      <c r="F163" s="231" t="inlineStr"/>
      <c r="G163" s="231" t="inlineStr"/>
      <c r="H163" s="231" t="inlineStr"/>
      <c r="I163" s="231" t="inlineStr"/>
      <c r="J163" s="27" t="inlineStr"/>
      <c r="K163" s="27" t="inlineStr"/>
      <c r="L163" s="231" t="n">
        <v>100</v>
      </c>
      <c r="M163" s="45" t="inlineStr">
        <is>
          <t>Product-3A2FFD27</t>
        </is>
      </c>
      <c r="N163" s="231" t="n">
        <v>3</v>
      </c>
      <c r="O163" s="236">
        <f>IFERROR(ROUND(计划落实!O163/计划!O163,5),0)</f>
        <v/>
      </c>
      <c r="P163" s="237">
        <f>IFERROR(ROUND(计划落实!P163/计划!P163,5),0)</f>
        <v/>
      </c>
      <c r="Q163" s="237">
        <f>IFERROR(ROUND(计划落实!Q163/计划!Q163,5),0)</f>
        <v/>
      </c>
      <c r="R163" s="237">
        <f>IFERROR(ROUND(计划落实!R163/计划!R163,5),0)</f>
        <v/>
      </c>
      <c r="S163" s="237">
        <f>IFERROR(ROUND(计划落实!S163/计划!S163,5),0)</f>
        <v/>
      </c>
      <c r="T163" s="237">
        <f>IFERROR(ROUND(计划落实!T163/计划!T163,5),0)</f>
        <v/>
      </c>
      <c r="U163" s="237">
        <f>IFERROR(ROUND(计划落实!U163/计划!U163,5),0)</f>
        <v/>
      </c>
      <c r="V163" s="237">
        <f>IFERROR(ROUND(计划落实!V163/计划!V163,5),0)</f>
        <v/>
      </c>
      <c r="W163" s="237">
        <f>IFERROR(ROUND(计划落实!W163/计划!W163,5),0)</f>
        <v/>
      </c>
      <c r="X163" s="237">
        <f>IFERROR(ROUND(计划落实!X163/计划!X163,5),0)</f>
        <v/>
      </c>
      <c r="Y163" s="237">
        <f>IFERROR(ROUND(计划落实!Y163/计划!Y163,5),0)</f>
        <v/>
      </c>
      <c r="Z163" s="237">
        <f>IFERROR(ROUND(计划落实!Z163/计划!Z163,5),0)</f>
        <v/>
      </c>
      <c r="AA163" s="237">
        <f>IFERROR(ROUND(计划落实!AA163/计划!AA163,5),0)</f>
        <v/>
      </c>
      <c r="AB163" s="237">
        <f>IFERROR(ROUND(计划落实!AB163/计划!AB163,5),0)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5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239">
        <f>IFERROR(ROUND(计划落实!O164/计划!O164,5),0)</f>
        <v/>
      </c>
      <c r="P164" s="239">
        <f>IFERROR(ROUND(计划落实!P164/计划!P164,5),0)</f>
        <v/>
      </c>
      <c r="Q164" s="239">
        <f>IFERROR(ROUND(计划落实!Q164/计划!Q164,5),0)</f>
        <v/>
      </c>
      <c r="R164" s="239">
        <f>IFERROR(ROUND(计划落实!R164/计划!R164,5),0)</f>
        <v/>
      </c>
      <c r="S164" s="239">
        <f>IFERROR(ROUND(计划落实!S164/计划!S164,5),0)</f>
        <v/>
      </c>
      <c r="T164" s="239">
        <f>IFERROR(ROUND(计划落实!T164/计划!T164,5),0)</f>
        <v/>
      </c>
      <c r="U164" s="239">
        <f>IFERROR(ROUND(计划落实!U164/计划!U164,5),0)</f>
        <v/>
      </c>
      <c r="V164" s="239">
        <f>IFERROR(ROUND(计划落实!V164/计划!V164,5),0)</f>
        <v/>
      </c>
      <c r="W164" s="239">
        <f>IFERROR(ROUND(计划落实!W164/计划!W164,5),0)</f>
        <v/>
      </c>
      <c r="X164" s="239">
        <f>IFERROR(ROUND(计划落实!X164/计划!X164,5),0)</f>
        <v/>
      </c>
      <c r="Y164" s="239">
        <f>IFERROR(ROUND(计划落实!Y164/计划!Y164,5),0)</f>
        <v/>
      </c>
      <c r="Z164" s="239">
        <f>IFERROR(ROUND(计划落实!Z164/计划!Z164,5),0)</f>
        <v/>
      </c>
      <c r="AA164" s="239">
        <f>IFERROR(ROUND(计划落实!AA164/计划!AA164,5),0)</f>
        <v/>
      </c>
      <c r="AB164" s="239">
        <f>IFERROR(ROUND(计划落实!AB164/计划!AB164,5),0)</f>
        <v/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31" t="inlineStr">
        <is>
          <t>SKU-73F9B5D4</t>
        </is>
      </c>
      <c r="C165" s="231" t="inlineStr">
        <is>
          <t>是</t>
        </is>
      </c>
      <c r="D165" s="231" t="n">
        <v>10</v>
      </c>
      <c r="E165" s="231" t="inlineStr"/>
      <c r="F165" s="231" t="inlineStr"/>
      <c r="G165" s="231" t="inlineStr"/>
      <c r="H165" s="231" t="inlineStr"/>
      <c r="I165" s="231" t="inlineStr"/>
      <c r="J165" s="27" t="inlineStr"/>
      <c r="K165" s="27" t="inlineStr"/>
      <c r="L165" s="231" t="n">
        <v>100</v>
      </c>
      <c r="M165" s="43" t="inlineStr">
        <is>
          <t>Product-E50899B3</t>
        </is>
      </c>
      <c r="N165" s="231" t="n">
        <v>2</v>
      </c>
      <c r="O165" s="236">
        <f>IFERROR(ROUND(计划落实!O165/计划!O165,5),0)</f>
        <v/>
      </c>
      <c r="P165" s="237">
        <f>IFERROR(ROUND(计划落实!P165/计划!P165,5),0)</f>
        <v/>
      </c>
      <c r="Q165" s="237">
        <f>IFERROR(ROUND(计划落实!Q165/计划!Q165,5),0)</f>
        <v/>
      </c>
      <c r="R165" s="237">
        <f>IFERROR(ROUND(计划落实!R165/计划!R165,5),0)</f>
        <v/>
      </c>
      <c r="S165" s="237">
        <f>IFERROR(ROUND(计划落实!S165/计划!S165,5),0)</f>
        <v/>
      </c>
      <c r="T165" s="237">
        <f>IFERROR(ROUND(计划落实!T165/计划!T165,5),0)</f>
        <v/>
      </c>
      <c r="U165" s="237">
        <f>IFERROR(ROUND(计划落实!U165/计划!U165,5),0)</f>
        <v/>
      </c>
      <c r="V165" s="237">
        <f>IFERROR(ROUND(计划落实!V165/计划!V165,5),0)</f>
        <v/>
      </c>
      <c r="W165" s="237">
        <f>IFERROR(ROUND(计划落实!W165/计划!W165,5),0)</f>
        <v/>
      </c>
      <c r="X165" s="237">
        <f>IFERROR(ROUND(计划落实!X165/计划!X165,5),0)</f>
        <v/>
      </c>
      <c r="Y165" s="237">
        <f>IFERROR(ROUND(计划落实!Y165/计划!Y165,5),0)</f>
        <v/>
      </c>
      <c r="Z165" s="237">
        <f>IFERROR(ROUND(计划落实!Z165/计划!Z165,5),0)</f>
        <v/>
      </c>
      <c r="AA165" s="237">
        <f>IFERROR(ROUND(计划落实!AA165/计划!AA165,5),0)</f>
        <v/>
      </c>
      <c r="AB165" s="237">
        <f>IFERROR(ROUND(计划落实!AB165/计划!AB165,5),0)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4" t="n"/>
      <c r="B166" s="231" t="inlineStr">
        <is>
          <t>SKU-7C4AE0E1</t>
        </is>
      </c>
      <c r="C166" s="231" t="inlineStr">
        <is>
          <t>是</t>
        </is>
      </c>
      <c r="D166" s="231" t="n">
        <v>11</v>
      </c>
      <c r="E166" s="231" t="inlineStr"/>
      <c r="F166" s="231" t="inlineStr"/>
      <c r="G166" s="231" t="inlineStr"/>
      <c r="H166" s="231" t="inlineStr"/>
      <c r="I166" s="231" t="inlineStr"/>
      <c r="J166" s="27" t="inlineStr">
        <is>
          <t>共</t>
        </is>
      </c>
      <c r="K166" s="27" t="inlineStr"/>
      <c r="L166" s="231" t="n">
        <v>100</v>
      </c>
      <c r="M166" s="19" t="inlineStr">
        <is>
          <t>Product-69803ED8</t>
        </is>
      </c>
      <c r="N166" s="231" t="n">
        <v>1</v>
      </c>
      <c r="O166" s="236">
        <f>IFERROR(ROUND(计划落实!O166/计划!O166,5),0)</f>
        <v/>
      </c>
      <c r="P166" s="237">
        <f>IFERROR(ROUND(计划落实!P166/计划!P166,5),0)</f>
        <v/>
      </c>
      <c r="Q166" s="237">
        <f>IFERROR(ROUND(计划落实!Q166/计划!Q166,5),0)</f>
        <v/>
      </c>
      <c r="R166" s="237">
        <f>IFERROR(ROUND(计划落实!R166/计划!R166,5),0)</f>
        <v/>
      </c>
      <c r="S166" s="237">
        <f>IFERROR(ROUND(计划落实!S166/计划!S166,5),0)</f>
        <v/>
      </c>
      <c r="T166" s="237">
        <f>IFERROR(ROUND(计划落实!T166/计划!T166,5),0)</f>
        <v/>
      </c>
      <c r="U166" s="237">
        <f>IFERROR(ROUND(计划落实!U166/计划!U166,5),0)</f>
        <v/>
      </c>
      <c r="V166" s="237">
        <f>IFERROR(ROUND(计划落实!V166/计划!V166,5),0)</f>
        <v/>
      </c>
      <c r="W166" s="237">
        <f>IFERROR(ROUND(计划落实!W166/计划!W166,5),0)</f>
        <v/>
      </c>
      <c r="X166" s="237">
        <f>IFERROR(ROUND(计划落实!X166/计划!X166,5),0)</f>
        <v/>
      </c>
      <c r="Y166" s="237">
        <f>IFERROR(ROUND(计划落实!Y166/计划!Y166,5),0)</f>
        <v/>
      </c>
      <c r="Z166" s="237">
        <f>IFERROR(ROUND(计划落实!Z166/计划!Z166,5),0)</f>
        <v/>
      </c>
      <c r="AA166" s="237">
        <f>IFERROR(ROUND(计划落实!AA166/计划!AA166,5),0)</f>
        <v/>
      </c>
      <c r="AB166" s="237">
        <f>IFERROR(ROUND(计划落实!AB166/计划!AB166,5),0)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4" t="n"/>
      <c r="B167" s="231" t="inlineStr">
        <is>
          <t>SKU-38CF6D81</t>
        </is>
      </c>
      <c r="C167" s="231" t="inlineStr">
        <is>
          <t>是</t>
        </is>
      </c>
      <c r="D167" s="231" t="n">
        <v>10</v>
      </c>
      <c r="E167" s="231" t="inlineStr"/>
      <c r="F167" s="231" t="inlineStr"/>
      <c r="G167" s="231" t="inlineStr"/>
      <c r="H167" s="231" t="inlineStr"/>
      <c r="I167" s="231" t="inlineStr"/>
      <c r="J167" s="27" t="inlineStr"/>
      <c r="K167" s="27" t="inlineStr"/>
      <c r="L167" s="231" t="n">
        <v>100</v>
      </c>
      <c r="M167" s="19" t="inlineStr">
        <is>
          <t>Product-770D085E</t>
        </is>
      </c>
      <c r="N167" s="231" t="n">
        <v>3</v>
      </c>
      <c r="O167" s="236">
        <f>IFERROR(ROUND(计划落实!O167/计划!O167,5),0)</f>
        <v/>
      </c>
      <c r="P167" s="237">
        <f>IFERROR(ROUND(计划落实!P167/计划!P167,5),0)</f>
        <v/>
      </c>
      <c r="Q167" s="237">
        <f>IFERROR(ROUND(计划落实!Q167/计划!Q167,5),0)</f>
        <v/>
      </c>
      <c r="R167" s="237">
        <f>IFERROR(ROUND(计划落实!R167/计划!R167,5),0)</f>
        <v/>
      </c>
      <c r="S167" s="237">
        <f>IFERROR(ROUND(计划落实!S167/计划!S167,5),0)</f>
        <v/>
      </c>
      <c r="T167" s="237">
        <f>IFERROR(ROUND(计划落实!T167/计划!T167,5),0)</f>
        <v/>
      </c>
      <c r="U167" s="237">
        <f>IFERROR(ROUND(计划落实!U167/计划!U167,5),0)</f>
        <v/>
      </c>
      <c r="V167" s="237">
        <f>IFERROR(ROUND(计划落实!V167/计划!V167,5),0)</f>
        <v/>
      </c>
      <c r="W167" s="237">
        <f>IFERROR(ROUND(计划落实!W167/计划!W167,5),0)</f>
        <v/>
      </c>
      <c r="X167" s="237">
        <f>IFERROR(ROUND(计划落实!X167/计划!X167,5),0)</f>
        <v/>
      </c>
      <c r="Y167" s="237">
        <f>IFERROR(ROUND(计划落实!Y167/计划!Y167,5),0)</f>
        <v/>
      </c>
      <c r="Z167" s="237">
        <f>IFERROR(ROUND(计划落实!Z167/计划!Z167,5),0)</f>
        <v/>
      </c>
      <c r="AA167" s="237">
        <f>IFERROR(ROUND(计划落实!AA167/计划!AA167,5),0)</f>
        <v/>
      </c>
      <c r="AB167" s="237">
        <f>IFERROR(ROUND(计划落实!AB167/计划!AB167,5),0)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4" t="n"/>
      <c r="B168" s="231" t="inlineStr">
        <is>
          <t>SKU-87F8B8AB</t>
        </is>
      </c>
      <c r="C168" s="231" t="inlineStr">
        <is>
          <t>是</t>
        </is>
      </c>
      <c r="D168" s="231" t="n">
        <v>6</v>
      </c>
      <c r="E168" s="231" t="inlineStr">
        <is>
          <t>是</t>
        </is>
      </c>
      <c r="F168" s="231" t="inlineStr"/>
      <c r="G168" s="231" t="inlineStr"/>
      <c r="H168" s="231" t="inlineStr"/>
      <c r="I168" s="231" t="inlineStr">
        <is>
          <t>是</t>
        </is>
      </c>
      <c r="J168" s="27" t="inlineStr"/>
      <c r="K168" s="27" t="inlineStr"/>
      <c r="L168" s="231" t="n">
        <v>100</v>
      </c>
      <c r="M168" s="19" t="inlineStr">
        <is>
          <t>Product-7BF3E316</t>
        </is>
      </c>
      <c r="N168" s="231" t="n">
        <v>2</v>
      </c>
      <c r="O168" s="236">
        <f>IFERROR(ROUND(计划落实!O168/计划!O168,5),0)</f>
        <v/>
      </c>
      <c r="P168" s="237">
        <f>IFERROR(ROUND(计划落实!P168/计划!P168,5),0)</f>
        <v/>
      </c>
      <c r="Q168" s="237">
        <f>IFERROR(ROUND(计划落实!Q168/计划!Q168,5),0)</f>
        <v/>
      </c>
      <c r="R168" s="237">
        <f>IFERROR(ROUND(计划落实!R168/计划!R168,5),0)</f>
        <v/>
      </c>
      <c r="S168" s="237">
        <f>IFERROR(ROUND(计划落实!S168/计划!S168,5),0)</f>
        <v/>
      </c>
      <c r="T168" s="237">
        <f>IFERROR(ROUND(计划落实!T168/计划!T168,5),0)</f>
        <v/>
      </c>
      <c r="U168" s="237">
        <f>IFERROR(ROUND(计划落实!U168/计划!U168,5),0)</f>
        <v/>
      </c>
      <c r="V168" s="237">
        <f>IFERROR(ROUND(计划落实!V168/计划!V168,5),0)</f>
        <v/>
      </c>
      <c r="W168" s="237">
        <f>IFERROR(ROUND(计划落实!W168/计划!W168,5),0)</f>
        <v/>
      </c>
      <c r="X168" s="237">
        <f>IFERROR(ROUND(计划落实!X168/计划!X168,5),0)</f>
        <v/>
      </c>
      <c r="Y168" s="237">
        <f>IFERROR(ROUND(计划落实!Y168/计划!Y168,5),0)</f>
        <v/>
      </c>
      <c r="Z168" s="237">
        <f>IFERROR(ROUND(计划落实!Z168/计划!Z168,5),0)</f>
        <v/>
      </c>
      <c r="AA168" s="237">
        <f>IFERROR(ROUND(计划落实!AA168/计划!AA168,5),0)</f>
        <v/>
      </c>
      <c r="AB168" s="237">
        <f>IFERROR(ROUND(计划落实!AB168/计划!AB168,5),0)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4" t="n"/>
      <c r="B169" s="231" t="inlineStr">
        <is>
          <t>SKU-2BECE586</t>
        </is>
      </c>
      <c r="C169" s="231" t="inlineStr">
        <is>
          <t>是</t>
        </is>
      </c>
      <c r="D169" s="231" t="n">
        <v>6</v>
      </c>
      <c r="E169" s="231" t="inlineStr">
        <is>
          <t>是</t>
        </is>
      </c>
      <c r="F169" s="231" t="inlineStr"/>
      <c r="G169" s="231" t="inlineStr"/>
      <c r="H169" s="231" t="inlineStr"/>
      <c r="I169" s="231" t="inlineStr">
        <is>
          <t>是</t>
        </is>
      </c>
      <c r="J169" s="27" t="inlineStr">
        <is>
          <t>共</t>
        </is>
      </c>
      <c r="K169" s="27" t="inlineStr"/>
      <c r="L169" s="231" t="n">
        <v>100</v>
      </c>
      <c r="M169" s="19" t="inlineStr">
        <is>
          <t>Product-AECED13C</t>
        </is>
      </c>
      <c r="N169" s="231" t="n">
        <v>1</v>
      </c>
      <c r="O169" s="236">
        <f>IFERROR(ROUND(计划落实!O169/计划!O169,5),0)</f>
        <v/>
      </c>
      <c r="P169" s="237">
        <f>IFERROR(ROUND(计划落实!P169/计划!P169,5),0)</f>
        <v/>
      </c>
      <c r="Q169" s="237">
        <f>IFERROR(ROUND(计划落实!Q169/计划!Q169,5),0)</f>
        <v/>
      </c>
      <c r="R169" s="237">
        <f>IFERROR(ROUND(计划落实!R169/计划!R169,5),0)</f>
        <v/>
      </c>
      <c r="S169" s="237">
        <f>IFERROR(ROUND(计划落实!S169/计划!S169,5),0)</f>
        <v/>
      </c>
      <c r="T169" s="237">
        <f>IFERROR(ROUND(计划落实!T169/计划!T169,5),0)</f>
        <v/>
      </c>
      <c r="U169" s="237">
        <f>IFERROR(ROUND(计划落实!U169/计划!U169,5),0)</f>
        <v/>
      </c>
      <c r="V169" s="237">
        <f>IFERROR(ROUND(计划落实!V169/计划!V169,5),0)</f>
        <v/>
      </c>
      <c r="W169" s="237">
        <f>IFERROR(ROUND(计划落实!W169/计划!W169,5),0)</f>
        <v/>
      </c>
      <c r="X169" s="237">
        <f>IFERROR(ROUND(计划落实!X169/计划!X169,5),0)</f>
        <v/>
      </c>
      <c r="Y169" s="237">
        <f>IFERROR(ROUND(计划落实!Y169/计划!Y169,5),0)</f>
        <v/>
      </c>
      <c r="Z169" s="237">
        <f>IFERROR(ROUND(计划落实!Z169/计划!Z169,5),0)</f>
        <v/>
      </c>
      <c r="AA169" s="237">
        <f>IFERROR(ROUND(计划落实!AA169/计划!AA169,5),0)</f>
        <v/>
      </c>
      <c r="AB169" s="237">
        <f>IFERROR(ROUND(计划落实!AB169/计划!AB169,5),0)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4" t="n"/>
      <c r="B170" s="231" t="inlineStr">
        <is>
          <t>SKU-E2A6D7B2</t>
        </is>
      </c>
      <c r="C170" s="231" t="inlineStr">
        <is>
          <t>是</t>
        </is>
      </c>
      <c r="D170" s="231" t="n">
        <v>10</v>
      </c>
      <c r="E170" s="231" t="inlineStr"/>
      <c r="F170" s="231" t="inlineStr"/>
      <c r="G170" s="231" t="inlineStr"/>
      <c r="H170" s="231" t="inlineStr"/>
      <c r="I170" s="231" t="inlineStr"/>
      <c r="J170" s="27" t="inlineStr"/>
      <c r="K170" s="27" t="inlineStr"/>
      <c r="L170" s="231" t="n">
        <v>100</v>
      </c>
      <c r="M170" s="19" t="inlineStr">
        <is>
          <t>Product-7068DBFE</t>
        </is>
      </c>
      <c r="N170" s="231" t="n">
        <v>3</v>
      </c>
      <c r="O170" s="236">
        <f>IFERROR(ROUND(计划落实!O170/计划!O170,5),0)</f>
        <v/>
      </c>
      <c r="P170" s="237">
        <f>IFERROR(ROUND(计划落实!P170/计划!P170,5),0)</f>
        <v/>
      </c>
      <c r="Q170" s="237">
        <f>IFERROR(ROUND(计划落实!Q170/计划!Q170,5),0)</f>
        <v/>
      </c>
      <c r="R170" s="237">
        <f>IFERROR(ROUND(计划落实!R170/计划!R170,5),0)</f>
        <v/>
      </c>
      <c r="S170" s="237">
        <f>IFERROR(ROUND(计划落实!S170/计划!S170,5),0)</f>
        <v/>
      </c>
      <c r="T170" s="237">
        <f>IFERROR(ROUND(计划落实!T170/计划!T170,5),0)</f>
        <v/>
      </c>
      <c r="U170" s="237">
        <f>IFERROR(ROUND(计划落实!U170/计划!U170,5),0)</f>
        <v/>
      </c>
      <c r="V170" s="237">
        <f>IFERROR(ROUND(计划落实!V170/计划!V170,5),0)</f>
        <v/>
      </c>
      <c r="W170" s="237">
        <f>IFERROR(ROUND(计划落实!W170/计划!W170,5),0)</f>
        <v/>
      </c>
      <c r="X170" s="237">
        <f>IFERROR(ROUND(计划落实!X170/计划!X170,5),0)</f>
        <v/>
      </c>
      <c r="Y170" s="237">
        <f>IFERROR(ROUND(计划落实!Y170/计划!Y170,5),0)</f>
        <v/>
      </c>
      <c r="Z170" s="237">
        <f>IFERROR(ROUND(计划落实!Z170/计划!Z170,5),0)</f>
        <v/>
      </c>
      <c r="AA170" s="237">
        <f>IFERROR(ROUND(计划落实!AA170/计划!AA170,5),0)</f>
        <v/>
      </c>
      <c r="AB170" s="237">
        <f>IFERROR(ROUND(计划落实!AB170/计划!AB170,5),0)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4" t="n"/>
      <c r="B171" s="231" t="inlineStr">
        <is>
          <t>SKU-DF4C456E</t>
        </is>
      </c>
      <c r="C171" s="231" t="inlineStr">
        <is>
          <t>是</t>
        </is>
      </c>
      <c r="D171" s="231" t="n">
        <v>10</v>
      </c>
      <c r="E171" s="231" t="inlineStr"/>
      <c r="F171" s="231" t="inlineStr"/>
      <c r="G171" s="231" t="inlineStr">
        <is>
          <t>是</t>
        </is>
      </c>
      <c r="H171" s="231" t="inlineStr"/>
      <c r="I171" s="231" t="inlineStr">
        <is>
          <t>是</t>
        </is>
      </c>
      <c r="J171" s="27" t="inlineStr">
        <is>
          <t>共</t>
        </is>
      </c>
      <c r="K171" s="27" t="inlineStr"/>
      <c r="L171" s="231" t="n">
        <v>100</v>
      </c>
      <c r="M171" s="19" t="inlineStr">
        <is>
          <t>Product-2194AF5F</t>
        </is>
      </c>
      <c r="N171" s="231" t="n">
        <v>2</v>
      </c>
      <c r="O171" s="236">
        <f>IFERROR(ROUND(计划落实!O171/计划!O171,5),0)</f>
        <v/>
      </c>
      <c r="P171" s="237">
        <f>IFERROR(ROUND(计划落实!P171/计划!P171,5),0)</f>
        <v/>
      </c>
      <c r="Q171" s="237">
        <f>IFERROR(ROUND(计划落实!Q171/计划!Q171,5),0)</f>
        <v/>
      </c>
      <c r="R171" s="237">
        <f>IFERROR(ROUND(计划落实!R171/计划!R171,5),0)</f>
        <v/>
      </c>
      <c r="S171" s="237">
        <f>IFERROR(ROUND(计划落实!S171/计划!S171,5),0)</f>
        <v/>
      </c>
      <c r="T171" s="237">
        <f>IFERROR(ROUND(计划落实!T171/计划!T171,5),0)</f>
        <v/>
      </c>
      <c r="U171" s="237">
        <f>IFERROR(ROUND(计划落实!U171/计划!U171,5),0)</f>
        <v/>
      </c>
      <c r="V171" s="237">
        <f>IFERROR(ROUND(计划落实!V171/计划!V171,5),0)</f>
        <v/>
      </c>
      <c r="W171" s="237">
        <f>IFERROR(ROUND(计划落实!W171/计划!W171,5),0)</f>
        <v/>
      </c>
      <c r="X171" s="237">
        <f>IFERROR(ROUND(计划落实!X171/计划!X171,5),0)</f>
        <v/>
      </c>
      <c r="Y171" s="237">
        <f>IFERROR(ROUND(计划落实!Y171/计划!Y171,5),0)</f>
        <v/>
      </c>
      <c r="Z171" s="237">
        <f>IFERROR(ROUND(计划落实!Z171/计划!Z171,5),0)</f>
        <v/>
      </c>
      <c r="AA171" s="237">
        <f>IFERROR(ROUND(计划落实!AA171/计划!AA171,5),0)</f>
        <v/>
      </c>
      <c r="AB171" s="237">
        <f>IFERROR(ROUND(计划落实!AB171/计划!AB171,5),0)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4" t="n"/>
      <c r="B172" s="231" t="inlineStr">
        <is>
          <t>SKU-346CCBE7</t>
        </is>
      </c>
      <c r="C172" s="231" t="inlineStr">
        <is>
          <t>是</t>
        </is>
      </c>
      <c r="D172" s="231" t="n">
        <v>8</v>
      </c>
      <c r="E172" s="231" t="inlineStr">
        <is>
          <t>是</t>
        </is>
      </c>
      <c r="F172" s="231" t="inlineStr"/>
      <c r="G172" s="231" t="inlineStr"/>
      <c r="H172" s="231" t="inlineStr"/>
      <c r="I172" s="231" t="inlineStr">
        <is>
          <t>是</t>
        </is>
      </c>
      <c r="J172" s="27" t="inlineStr">
        <is>
          <t>共</t>
        </is>
      </c>
      <c r="K172" s="27" t="inlineStr"/>
      <c r="L172" s="231" t="n">
        <v>100</v>
      </c>
      <c r="M172" s="19" t="inlineStr">
        <is>
          <t>Product-5785945E</t>
        </is>
      </c>
      <c r="N172" s="231" t="n">
        <v>1</v>
      </c>
      <c r="O172" s="236">
        <f>IFERROR(ROUND(计划落实!O172/计划!O172,5),0)</f>
        <v/>
      </c>
      <c r="P172" s="237">
        <f>IFERROR(ROUND(计划落实!P172/计划!P172,5),0)</f>
        <v/>
      </c>
      <c r="Q172" s="237">
        <f>IFERROR(ROUND(计划落实!Q172/计划!Q172,5),0)</f>
        <v/>
      </c>
      <c r="R172" s="237">
        <f>IFERROR(ROUND(计划落实!R172/计划!R172,5),0)</f>
        <v/>
      </c>
      <c r="S172" s="237">
        <f>IFERROR(ROUND(计划落实!S172/计划!S172,5),0)</f>
        <v/>
      </c>
      <c r="T172" s="237">
        <f>IFERROR(ROUND(计划落实!T172/计划!T172,5),0)</f>
        <v/>
      </c>
      <c r="U172" s="237">
        <f>IFERROR(ROUND(计划落实!U172/计划!U172,5),0)</f>
        <v/>
      </c>
      <c r="V172" s="237">
        <f>IFERROR(ROUND(计划落实!V172/计划!V172,5),0)</f>
        <v/>
      </c>
      <c r="W172" s="237">
        <f>IFERROR(ROUND(计划落实!W172/计划!W172,5),0)</f>
        <v/>
      </c>
      <c r="X172" s="237">
        <f>IFERROR(ROUND(计划落实!X172/计划!X172,5),0)</f>
        <v/>
      </c>
      <c r="Y172" s="237">
        <f>IFERROR(ROUND(计划落实!Y172/计划!Y172,5),0)</f>
        <v/>
      </c>
      <c r="Z172" s="237">
        <f>IFERROR(ROUND(计划落实!Z172/计划!Z172,5),0)</f>
        <v/>
      </c>
      <c r="AA172" s="237">
        <f>IFERROR(ROUND(计划落实!AA172/计划!AA172,5),0)</f>
        <v/>
      </c>
      <c r="AB172" s="237">
        <f>IFERROR(ROUND(计划落实!AB172/计划!AB172,5),0)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4" t="n"/>
      <c r="B173" s="231" t="inlineStr">
        <is>
          <t>SKU-DF067F13</t>
        </is>
      </c>
      <c r="C173" s="231" t="inlineStr">
        <is>
          <t>是</t>
        </is>
      </c>
      <c r="D173" s="231" t="n">
        <v>10</v>
      </c>
      <c r="E173" s="231" t="inlineStr"/>
      <c r="F173" s="231" t="inlineStr"/>
      <c r="G173" s="231" t="inlineStr"/>
      <c r="H173" s="231" t="inlineStr"/>
      <c r="I173" s="231" t="inlineStr"/>
      <c r="J173" s="27" t="inlineStr"/>
      <c r="K173" s="27" t="inlineStr"/>
      <c r="L173" s="231" t="n">
        <v>100</v>
      </c>
      <c r="M173" s="19" t="inlineStr">
        <is>
          <t>Product-2FB2C039</t>
        </is>
      </c>
      <c r="N173" s="231" t="n">
        <v>2</v>
      </c>
      <c r="O173" s="236">
        <f>IFERROR(ROUND(计划落实!O173/计划!O173,5),0)</f>
        <v/>
      </c>
      <c r="P173" s="237">
        <f>IFERROR(ROUND(计划落实!P173/计划!P173,5),0)</f>
        <v/>
      </c>
      <c r="Q173" s="237">
        <f>IFERROR(ROUND(计划落实!Q173/计划!Q173,5),0)</f>
        <v/>
      </c>
      <c r="R173" s="237">
        <f>IFERROR(ROUND(计划落实!R173/计划!R173,5),0)</f>
        <v/>
      </c>
      <c r="S173" s="237">
        <f>IFERROR(ROUND(计划落实!S173/计划!S173,5),0)</f>
        <v/>
      </c>
      <c r="T173" s="237">
        <f>IFERROR(ROUND(计划落实!T173/计划!T173,5),0)</f>
        <v/>
      </c>
      <c r="U173" s="237">
        <f>IFERROR(ROUND(计划落实!U173/计划!U173,5),0)</f>
        <v/>
      </c>
      <c r="V173" s="237">
        <f>IFERROR(ROUND(计划落实!V173/计划!V173,5),0)</f>
        <v/>
      </c>
      <c r="W173" s="237">
        <f>IFERROR(ROUND(计划落实!W173/计划!W173,5),0)</f>
        <v/>
      </c>
      <c r="X173" s="237">
        <f>IFERROR(ROUND(计划落实!X173/计划!X173,5),0)</f>
        <v/>
      </c>
      <c r="Y173" s="237">
        <f>IFERROR(ROUND(计划落实!Y173/计划!Y173,5),0)</f>
        <v/>
      </c>
      <c r="Z173" s="237">
        <f>IFERROR(ROUND(计划落实!Z173/计划!Z173,5),0)</f>
        <v/>
      </c>
      <c r="AA173" s="237">
        <f>IFERROR(ROUND(计划落实!AA173/计划!AA173,5),0)</f>
        <v/>
      </c>
      <c r="AB173" s="237">
        <f>IFERROR(ROUND(计划落实!AB173/计划!AB173,5),0)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4" t="n"/>
      <c r="B174" s="231" t="inlineStr">
        <is>
          <t>SKU-B6FC5230</t>
        </is>
      </c>
      <c r="C174" s="231" t="inlineStr">
        <is>
          <t>是</t>
        </is>
      </c>
      <c r="D174" s="231" t="n">
        <v>10</v>
      </c>
      <c r="E174" s="231" t="inlineStr"/>
      <c r="F174" s="231" t="inlineStr">
        <is>
          <t>是</t>
        </is>
      </c>
      <c r="G174" s="231" t="inlineStr"/>
      <c r="H174" s="231" t="inlineStr"/>
      <c r="I174" s="231" t="inlineStr">
        <is>
          <t>是</t>
        </is>
      </c>
      <c r="J174" s="27" t="inlineStr"/>
      <c r="K174" s="27" t="inlineStr"/>
      <c r="L174" s="231" t="n">
        <v>100</v>
      </c>
      <c r="M174" s="19" t="inlineStr">
        <is>
          <t>Product-A90CE342</t>
        </is>
      </c>
      <c r="N174" s="231" t="n">
        <v>1</v>
      </c>
      <c r="O174" s="236">
        <f>IFERROR(ROUND(计划落实!O174/计划!O174,5),0)</f>
        <v/>
      </c>
      <c r="P174" s="237">
        <f>IFERROR(ROUND(计划落实!P174/计划!P174,5),0)</f>
        <v/>
      </c>
      <c r="Q174" s="237">
        <f>IFERROR(ROUND(计划落实!Q174/计划!Q174,5),0)</f>
        <v/>
      </c>
      <c r="R174" s="237">
        <f>IFERROR(ROUND(计划落实!R174/计划!R174,5),0)</f>
        <v/>
      </c>
      <c r="S174" s="237">
        <f>IFERROR(ROUND(计划落实!S174/计划!S174,5),0)</f>
        <v/>
      </c>
      <c r="T174" s="237">
        <f>IFERROR(ROUND(计划落实!T174/计划!T174,5),0)</f>
        <v/>
      </c>
      <c r="U174" s="237">
        <f>IFERROR(ROUND(计划落实!U174/计划!U174,5),0)</f>
        <v/>
      </c>
      <c r="V174" s="237">
        <f>IFERROR(ROUND(计划落实!V174/计划!V174,5),0)</f>
        <v/>
      </c>
      <c r="W174" s="237">
        <f>IFERROR(ROUND(计划落实!W174/计划!W174,5),0)</f>
        <v/>
      </c>
      <c r="X174" s="237">
        <f>IFERROR(ROUND(计划落实!X174/计划!X174,5),0)</f>
        <v/>
      </c>
      <c r="Y174" s="237">
        <f>IFERROR(ROUND(计划落实!Y174/计划!Y174,5),0)</f>
        <v/>
      </c>
      <c r="Z174" s="237">
        <f>IFERROR(ROUND(计划落实!Z174/计划!Z174,5),0)</f>
        <v/>
      </c>
      <c r="AA174" s="237">
        <f>IFERROR(ROUND(计划落实!AA174/计划!AA174,5),0)</f>
        <v/>
      </c>
      <c r="AB174" s="237">
        <f>IFERROR(ROUND(计划落实!AB174/计划!AB174,5),0)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4" t="n"/>
      <c r="B175" s="231" t="inlineStr">
        <is>
          <t>SKU-AD42A3A6</t>
        </is>
      </c>
      <c r="C175" s="231" t="inlineStr">
        <is>
          <t>是</t>
        </is>
      </c>
      <c r="D175" s="231" t="n">
        <v>10</v>
      </c>
      <c r="E175" s="231" t="inlineStr"/>
      <c r="F175" s="231" t="inlineStr">
        <is>
          <t>是</t>
        </is>
      </c>
      <c r="G175" s="231" t="inlineStr"/>
      <c r="H175" s="231" t="inlineStr"/>
      <c r="I175" s="231" t="inlineStr">
        <is>
          <t>是</t>
        </is>
      </c>
      <c r="J175" s="27" t="inlineStr"/>
      <c r="K175" s="27" t="inlineStr"/>
      <c r="L175" s="231" t="n">
        <v>100</v>
      </c>
      <c r="M175" s="33" t="inlineStr">
        <is>
          <t>Product-1A22EAD1</t>
        </is>
      </c>
      <c r="N175" s="231" t="n">
        <v>1</v>
      </c>
      <c r="O175" s="236">
        <f>IFERROR(ROUND(计划落实!O175/计划!O175,5),0)</f>
        <v/>
      </c>
      <c r="P175" s="237">
        <f>IFERROR(ROUND(计划落实!P175/计划!P175,5),0)</f>
        <v/>
      </c>
      <c r="Q175" s="237">
        <f>IFERROR(ROUND(计划落实!Q175/计划!Q175,5),0)</f>
        <v/>
      </c>
      <c r="R175" s="237">
        <f>IFERROR(ROUND(计划落实!R175/计划!R175,5),0)</f>
        <v/>
      </c>
      <c r="S175" s="237">
        <f>IFERROR(ROUND(计划落实!S175/计划!S175,5),0)</f>
        <v/>
      </c>
      <c r="T175" s="237">
        <f>IFERROR(ROUND(计划落实!T175/计划!T175,5),0)</f>
        <v/>
      </c>
      <c r="U175" s="237">
        <f>IFERROR(ROUND(计划落实!U175/计划!U175,5),0)</f>
        <v/>
      </c>
      <c r="V175" s="237">
        <f>IFERROR(ROUND(计划落实!V175/计划!V175,5),0)</f>
        <v/>
      </c>
      <c r="W175" s="237">
        <f>IFERROR(ROUND(计划落实!W175/计划!W175,5),0)</f>
        <v/>
      </c>
      <c r="X175" s="237">
        <f>IFERROR(ROUND(计划落实!X175/计划!X175,5),0)</f>
        <v/>
      </c>
      <c r="Y175" s="237">
        <f>IFERROR(ROUND(计划落实!Y175/计划!Y175,5),0)</f>
        <v/>
      </c>
      <c r="Z175" s="237">
        <f>IFERROR(ROUND(计划落实!Z175/计划!Z175,5),0)</f>
        <v/>
      </c>
      <c r="AA175" s="237">
        <f>IFERROR(ROUND(计划落实!AA175/计划!AA175,5),0)</f>
        <v/>
      </c>
      <c r="AB175" s="237">
        <f>IFERROR(ROUND(计划落实!AB175/计划!AB175,5),0)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4" t="n"/>
      <c r="B176" s="231" t="inlineStr">
        <is>
          <t>SKU-E1FD63A2</t>
        </is>
      </c>
      <c r="C176" s="231" t="inlineStr">
        <is>
          <t>是</t>
        </is>
      </c>
      <c r="D176" s="231" t="n">
        <v>10</v>
      </c>
      <c r="E176" s="231" t="inlineStr"/>
      <c r="F176" s="231" t="inlineStr">
        <is>
          <t>是</t>
        </is>
      </c>
      <c r="G176" s="231" t="inlineStr"/>
      <c r="H176" s="231" t="inlineStr"/>
      <c r="I176" s="231" t="inlineStr">
        <is>
          <t>是</t>
        </is>
      </c>
      <c r="J176" s="27" t="inlineStr"/>
      <c r="K176" s="27" t="inlineStr"/>
      <c r="L176" s="231" t="n">
        <v>100</v>
      </c>
      <c r="M176" s="19" t="inlineStr">
        <is>
          <t>Product-56A72B94</t>
        </is>
      </c>
      <c r="N176" s="231" t="n">
        <v>1</v>
      </c>
      <c r="O176" s="236">
        <f>IFERROR(ROUND(计划落实!O176/计划!O176,5),0)</f>
        <v/>
      </c>
      <c r="P176" s="237">
        <f>IFERROR(ROUND(计划落实!P176/计划!P176,5),0)</f>
        <v/>
      </c>
      <c r="Q176" s="237">
        <f>IFERROR(ROUND(计划落实!Q176/计划!Q176,5),0)</f>
        <v/>
      </c>
      <c r="R176" s="237">
        <f>IFERROR(ROUND(计划落实!R176/计划!R176,5),0)</f>
        <v/>
      </c>
      <c r="S176" s="237">
        <f>IFERROR(ROUND(计划落实!S176/计划!S176,5),0)</f>
        <v/>
      </c>
      <c r="T176" s="237">
        <f>IFERROR(ROUND(计划落实!T176/计划!T176,5),0)</f>
        <v/>
      </c>
      <c r="U176" s="237">
        <f>IFERROR(ROUND(计划落实!U176/计划!U176,5),0)</f>
        <v/>
      </c>
      <c r="V176" s="237">
        <f>IFERROR(ROUND(计划落实!V176/计划!V176,5),0)</f>
        <v/>
      </c>
      <c r="W176" s="237">
        <f>IFERROR(ROUND(计划落实!W176/计划!W176,5),0)</f>
        <v/>
      </c>
      <c r="X176" s="237">
        <f>IFERROR(ROUND(计划落实!X176/计划!X176,5),0)</f>
        <v/>
      </c>
      <c r="Y176" s="237">
        <f>IFERROR(ROUND(计划落实!Y176/计划!Y176,5),0)</f>
        <v/>
      </c>
      <c r="Z176" s="237">
        <f>IFERROR(ROUND(计划落实!Z176/计划!Z176,5),0)</f>
        <v/>
      </c>
      <c r="AA176" s="237">
        <f>IFERROR(ROUND(计划落实!AA176/计划!AA176,5),0)</f>
        <v/>
      </c>
      <c r="AB176" s="237">
        <f>IFERROR(ROUND(计划落实!AB176/计划!AB176,5),0)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4" t="n"/>
      <c r="B177" s="231" t="inlineStr">
        <is>
          <t>SKU-AE256B22</t>
        </is>
      </c>
      <c r="C177" s="231" t="inlineStr">
        <is>
          <t>是</t>
        </is>
      </c>
      <c r="D177" s="231" t="n">
        <v>5</v>
      </c>
      <c r="E177" s="231" t="inlineStr">
        <is>
          <t>是</t>
        </is>
      </c>
      <c r="F177" s="231" t="inlineStr"/>
      <c r="G177" s="231" t="inlineStr"/>
      <c r="H177" s="231" t="inlineStr"/>
      <c r="I177" s="231" t="inlineStr">
        <is>
          <t>是</t>
        </is>
      </c>
      <c r="J177" s="27" t="inlineStr"/>
      <c r="K177" s="27" t="inlineStr"/>
      <c r="L177" s="231" t="n">
        <v>100</v>
      </c>
      <c r="M177" s="19" t="inlineStr">
        <is>
          <t>Product-7D4E9E50</t>
        </is>
      </c>
      <c r="N177" s="231" t="n">
        <v>1</v>
      </c>
      <c r="O177" s="236">
        <f>IFERROR(ROUND(计划落实!O177/计划!O177,5),0)</f>
        <v/>
      </c>
      <c r="P177" s="237">
        <f>IFERROR(ROUND(计划落实!P177/计划!P177,5),0)</f>
        <v/>
      </c>
      <c r="Q177" s="237">
        <f>IFERROR(ROUND(计划落实!Q177/计划!Q177,5),0)</f>
        <v/>
      </c>
      <c r="R177" s="237">
        <f>IFERROR(ROUND(计划落实!R177/计划!R177,5),0)</f>
        <v/>
      </c>
      <c r="S177" s="237">
        <f>IFERROR(ROUND(计划落实!S177/计划!S177,5),0)</f>
        <v/>
      </c>
      <c r="T177" s="237">
        <f>IFERROR(ROUND(计划落实!T177/计划!T177,5),0)</f>
        <v/>
      </c>
      <c r="U177" s="237">
        <f>IFERROR(ROUND(计划落实!U177/计划!U177,5),0)</f>
        <v/>
      </c>
      <c r="V177" s="237">
        <f>IFERROR(ROUND(计划落实!V177/计划!V177,5),0)</f>
        <v/>
      </c>
      <c r="W177" s="237">
        <f>IFERROR(ROUND(计划落实!W177/计划!W177,5),0)</f>
        <v/>
      </c>
      <c r="X177" s="237">
        <f>IFERROR(ROUND(计划落实!X177/计划!X177,5),0)</f>
        <v/>
      </c>
      <c r="Y177" s="237">
        <f>IFERROR(ROUND(计划落实!Y177/计划!Y177,5),0)</f>
        <v/>
      </c>
      <c r="Z177" s="237">
        <f>IFERROR(ROUND(计划落实!Z177/计划!Z177,5),0)</f>
        <v/>
      </c>
      <c r="AA177" s="237">
        <f>IFERROR(ROUND(计划落实!AA177/计划!AA177,5),0)</f>
        <v/>
      </c>
      <c r="AB177" s="237">
        <f>IFERROR(ROUND(计划落实!AB177/计划!AB177,5),0)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4" t="n"/>
      <c r="B178" s="231" t="inlineStr">
        <is>
          <t>SKU-4824EA3C</t>
        </is>
      </c>
      <c r="C178" s="231" t="inlineStr">
        <is>
          <t>是</t>
        </is>
      </c>
      <c r="D178" s="231" t="n">
        <v>7</v>
      </c>
      <c r="E178" s="231" t="inlineStr">
        <is>
          <t>是</t>
        </is>
      </c>
      <c r="F178" s="231" t="inlineStr"/>
      <c r="G178" s="231" t="inlineStr"/>
      <c r="H178" s="231" t="inlineStr"/>
      <c r="I178" s="231" t="inlineStr">
        <is>
          <t>是</t>
        </is>
      </c>
      <c r="J178" s="27" t="inlineStr"/>
      <c r="K178" s="27" t="inlineStr"/>
      <c r="L178" s="231" t="n">
        <v>100</v>
      </c>
      <c r="M178" s="45" t="inlineStr">
        <is>
          <t>Product-45B4B1EB</t>
        </is>
      </c>
      <c r="N178" s="231" t="n">
        <v>1</v>
      </c>
      <c r="O178" s="236">
        <f>IFERROR(ROUND(计划落实!O178/计划!O178,5),0)</f>
        <v/>
      </c>
      <c r="P178" s="237">
        <f>IFERROR(ROUND(计划落实!P178/计划!P178,5),0)</f>
        <v/>
      </c>
      <c r="Q178" s="237">
        <f>IFERROR(ROUND(计划落实!Q178/计划!Q178,5),0)</f>
        <v/>
      </c>
      <c r="R178" s="237">
        <f>IFERROR(ROUND(计划落实!R178/计划!R178,5),0)</f>
        <v/>
      </c>
      <c r="S178" s="237">
        <f>IFERROR(ROUND(计划落实!S178/计划!S178,5),0)</f>
        <v/>
      </c>
      <c r="T178" s="237">
        <f>IFERROR(ROUND(计划落实!T178/计划!T178,5),0)</f>
        <v/>
      </c>
      <c r="U178" s="237">
        <f>IFERROR(ROUND(计划落实!U178/计划!U178,5),0)</f>
        <v/>
      </c>
      <c r="V178" s="237">
        <f>IFERROR(ROUND(计划落实!V178/计划!V178,5),0)</f>
        <v/>
      </c>
      <c r="W178" s="237">
        <f>IFERROR(ROUND(计划落实!W178/计划!W178,5),0)</f>
        <v/>
      </c>
      <c r="X178" s="237">
        <f>IFERROR(ROUND(计划落实!X178/计划!X178,5),0)</f>
        <v/>
      </c>
      <c r="Y178" s="237">
        <f>IFERROR(ROUND(计划落实!Y178/计划!Y178,5),0)</f>
        <v/>
      </c>
      <c r="Z178" s="237">
        <f>IFERROR(ROUND(计划落实!Z178/计划!Z178,5),0)</f>
        <v/>
      </c>
      <c r="AA178" s="237">
        <f>IFERROR(ROUND(计划落实!AA178/计划!AA178,5),0)</f>
        <v/>
      </c>
      <c r="AB178" s="237">
        <f>IFERROR(ROUND(计划落实!AB178/计划!AB178,5),0)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5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239">
        <f>IFERROR(ROUND(计划落实!O179/计划!O179,5),0)</f>
        <v/>
      </c>
      <c r="P179" s="239">
        <f>IFERROR(ROUND(计划落实!P179/计划!P179,5),0)</f>
        <v/>
      </c>
      <c r="Q179" s="239">
        <f>IFERROR(ROUND(计划落实!Q179/计划!Q179,5),0)</f>
        <v/>
      </c>
      <c r="R179" s="239">
        <f>IFERROR(ROUND(计划落实!R179/计划!R179,5),0)</f>
        <v/>
      </c>
      <c r="S179" s="239">
        <f>IFERROR(ROUND(计划落实!S179/计划!S179,5),0)</f>
        <v/>
      </c>
      <c r="T179" s="239">
        <f>IFERROR(ROUND(计划落实!T179/计划!T179,5),0)</f>
        <v/>
      </c>
      <c r="U179" s="239">
        <f>IFERROR(ROUND(计划落实!U179/计划!U179,5),0)</f>
        <v/>
      </c>
      <c r="V179" s="239">
        <f>IFERROR(ROUND(计划落实!V179/计划!V179,5),0)</f>
        <v/>
      </c>
      <c r="W179" s="239">
        <f>IFERROR(ROUND(计划落实!W179/计划!W179,5),0)</f>
        <v/>
      </c>
      <c r="X179" s="239">
        <f>IFERROR(ROUND(计划落实!X179/计划!X179,5),0)</f>
        <v/>
      </c>
      <c r="Y179" s="239">
        <f>IFERROR(ROUND(计划落实!Y179/计划!Y179,5),0)</f>
        <v/>
      </c>
      <c r="Z179" s="239">
        <f>IFERROR(ROUND(计划落实!Z179/计划!Z179,5),0)</f>
        <v/>
      </c>
      <c r="AA179" s="239">
        <f>IFERROR(ROUND(计划落实!AA179/计划!AA179,5),0)</f>
        <v/>
      </c>
      <c r="AB179" s="239">
        <f>IFERROR(ROUND(计划落实!AB179/计划!AB179,5),0)</f>
        <v/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31" t="inlineStr">
        <is>
          <t>SKU-5C2451E8</t>
        </is>
      </c>
      <c r="C180" s="231" t="inlineStr">
        <is>
          <t>是</t>
        </is>
      </c>
      <c r="D180" s="231" t="n">
        <v>8</v>
      </c>
      <c r="E180" s="231" t="inlineStr">
        <is>
          <t>是</t>
        </is>
      </c>
      <c r="F180" s="231" t="inlineStr"/>
      <c r="G180" s="231" t="inlineStr"/>
      <c r="H180" s="231" t="inlineStr"/>
      <c r="I180" s="231" t="inlineStr">
        <is>
          <t>是</t>
        </is>
      </c>
      <c r="J180" s="27" t="inlineStr"/>
      <c r="K180" s="27" t="inlineStr"/>
      <c r="L180" s="231" t="n">
        <v>100</v>
      </c>
      <c r="M180" s="44" t="inlineStr">
        <is>
          <t>Product-094CF930</t>
        </is>
      </c>
      <c r="N180" s="231" t="n">
        <v>3</v>
      </c>
      <c r="O180" s="236">
        <f>IFERROR(ROUND(计划落实!O180/计划!O180,5),0)</f>
        <v/>
      </c>
      <c r="P180" s="237">
        <f>IFERROR(ROUND(计划落实!P180/计划!P180,5),0)</f>
        <v/>
      </c>
      <c r="Q180" s="237">
        <f>IFERROR(ROUND(计划落实!Q180/计划!Q180,5),0)</f>
        <v/>
      </c>
      <c r="R180" s="237">
        <f>IFERROR(ROUND(计划落实!R180/计划!R180,5),0)</f>
        <v/>
      </c>
      <c r="S180" s="237">
        <f>IFERROR(ROUND(计划落实!S180/计划!S180,5),0)</f>
        <v/>
      </c>
      <c r="T180" s="237">
        <f>IFERROR(ROUND(计划落实!T180/计划!T180,5),0)</f>
        <v/>
      </c>
      <c r="U180" s="237">
        <f>IFERROR(ROUND(计划落实!U180/计划!U180,5),0)</f>
        <v/>
      </c>
      <c r="V180" s="237">
        <f>IFERROR(ROUND(计划落实!V180/计划!V180,5),0)</f>
        <v/>
      </c>
      <c r="W180" s="237">
        <f>IFERROR(ROUND(计划落实!W180/计划!W180,5),0)</f>
        <v/>
      </c>
      <c r="X180" s="237">
        <f>IFERROR(ROUND(计划落实!X180/计划!X180,5),0)</f>
        <v/>
      </c>
      <c r="Y180" s="237">
        <f>IFERROR(ROUND(计划落实!Y180/计划!Y180,5),0)</f>
        <v/>
      </c>
      <c r="Z180" s="237">
        <f>IFERROR(ROUND(计划落实!Z180/计划!Z180,5),0)</f>
        <v/>
      </c>
      <c r="AA180" s="237">
        <f>IFERROR(ROUND(计划落实!AA180/计划!AA180,5),0)</f>
        <v/>
      </c>
      <c r="AB180" s="237">
        <f>IFERROR(ROUND(计划落实!AB180/计划!AB180,5),0)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4" t="n"/>
      <c r="B181" s="231" t="inlineStr">
        <is>
          <t>SKU-8456C17F</t>
        </is>
      </c>
      <c r="C181" s="231" t="inlineStr">
        <is>
          <t>是</t>
        </is>
      </c>
      <c r="D181" s="231" t="n">
        <v>11</v>
      </c>
      <c r="E181" s="231" t="inlineStr"/>
      <c r="F181" s="231" t="inlineStr"/>
      <c r="G181" s="231" t="inlineStr"/>
      <c r="H181" s="231" t="inlineStr"/>
      <c r="I181" s="231" t="inlineStr"/>
      <c r="J181" s="27" t="inlineStr">
        <is>
          <t>共</t>
        </is>
      </c>
      <c r="K181" s="27" t="inlineStr"/>
      <c r="L181" s="231" t="n">
        <v>100</v>
      </c>
      <c r="M181" s="19" t="inlineStr">
        <is>
          <t>Product-C5A74F5E</t>
        </is>
      </c>
      <c r="N181" s="231" t="n">
        <v>1</v>
      </c>
      <c r="O181" s="236">
        <f>IFERROR(ROUND(计划落实!O181/计划!O181,5),0)</f>
        <v/>
      </c>
      <c r="P181" s="237">
        <f>IFERROR(ROUND(计划落实!P181/计划!P181,5),0)</f>
        <v/>
      </c>
      <c r="Q181" s="237">
        <f>IFERROR(ROUND(计划落实!Q181/计划!Q181,5),0)</f>
        <v/>
      </c>
      <c r="R181" s="237">
        <f>IFERROR(ROUND(计划落实!R181/计划!R181,5),0)</f>
        <v/>
      </c>
      <c r="S181" s="237">
        <f>IFERROR(ROUND(计划落实!S181/计划!S181,5),0)</f>
        <v/>
      </c>
      <c r="T181" s="237">
        <f>IFERROR(ROUND(计划落实!T181/计划!T181,5),0)</f>
        <v/>
      </c>
      <c r="U181" s="237">
        <f>IFERROR(ROUND(计划落实!U181/计划!U181,5),0)</f>
        <v/>
      </c>
      <c r="V181" s="237">
        <f>IFERROR(ROUND(计划落实!V181/计划!V181,5),0)</f>
        <v/>
      </c>
      <c r="W181" s="237">
        <f>IFERROR(ROUND(计划落实!W181/计划!W181,5),0)</f>
        <v/>
      </c>
      <c r="X181" s="237">
        <f>IFERROR(ROUND(计划落实!X181/计划!X181,5),0)</f>
        <v/>
      </c>
      <c r="Y181" s="237">
        <f>IFERROR(ROUND(计划落实!Y181/计划!Y181,5),0)</f>
        <v/>
      </c>
      <c r="Z181" s="237">
        <f>IFERROR(ROUND(计划落实!Z181/计划!Z181,5),0)</f>
        <v/>
      </c>
      <c r="AA181" s="237">
        <f>IFERROR(ROUND(计划落实!AA181/计划!AA181,5),0)</f>
        <v/>
      </c>
      <c r="AB181" s="237">
        <f>IFERROR(ROUND(计划落实!AB181/计划!AB181,5),0)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4" t="n"/>
      <c r="B182" s="231" t="inlineStr">
        <is>
          <t>SKU-51089BE2</t>
        </is>
      </c>
      <c r="C182" s="231" t="inlineStr">
        <is>
          <t>是</t>
        </is>
      </c>
      <c r="D182" s="231" t="n">
        <v>8</v>
      </c>
      <c r="E182" s="231" t="inlineStr"/>
      <c r="F182" s="231" t="inlineStr"/>
      <c r="G182" s="231" t="inlineStr"/>
      <c r="H182" s="231" t="inlineStr"/>
      <c r="I182" s="231" t="inlineStr"/>
      <c r="J182" s="27" t="inlineStr"/>
      <c r="K182" s="27" t="inlineStr"/>
      <c r="L182" s="231" t="n">
        <v>100</v>
      </c>
      <c r="M182" s="19" t="inlineStr">
        <is>
          <t>Product-0FD5ABF4</t>
        </is>
      </c>
      <c r="N182" s="231" t="n">
        <v>2</v>
      </c>
      <c r="O182" s="236">
        <f>IFERROR(ROUND(计划落实!O182/计划!O182,5),0)</f>
        <v/>
      </c>
      <c r="P182" s="237">
        <f>IFERROR(ROUND(计划落实!P182/计划!P182,5),0)</f>
        <v/>
      </c>
      <c r="Q182" s="237">
        <f>IFERROR(ROUND(计划落实!Q182/计划!Q182,5),0)</f>
        <v/>
      </c>
      <c r="R182" s="237">
        <f>IFERROR(ROUND(计划落实!R182/计划!R182,5),0)</f>
        <v/>
      </c>
      <c r="S182" s="237">
        <f>IFERROR(ROUND(计划落实!S182/计划!S182,5),0)</f>
        <v/>
      </c>
      <c r="T182" s="237">
        <f>IFERROR(ROUND(计划落实!T182/计划!T182,5),0)</f>
        <v/>
      </c>
      <c r="U182" s="237">
        <f>IFERROR(ROUND(计划落实!U182/计划!U182,5),0)</f>
        <v/>
      </c>
      <c r="V182" s="237">
        <f>IFERROR(ROUND(计划落实!V182/计划!V182,5),0)</f>
        <v/>
      </c>
      <c r="W182" s="237">
        <f>IFERROR(ROUND(计划落实!W182/计划!W182,5),0)</f>
        <v/>
      </c>
      <c r="X182" s="237">
        <f>IFERROR(ROUND(计划落实!X182/计划!X182,5),0)</f>
        <v/>
      </c>
      <c r="Y182" s="237">
        <f>IFERROR(ROUND(计划落实!Y182/计划!Y182,5),0)</f>
        <v/>
      </c>
      <c r="Z182" s="237">
        <f>IFERROR(ROUND(计划落实!Z182/计划!Z182,5),0)</f>
        <v/>
      </c>
      <c r="AA182" s="237">
        <f>IFERROR(ROUND(计划落实!AA182/计划!AA182,5),0)</f>
        <v/>
      </c>
      <c r="AB182" s="237">
        <f>IFERROR(ROUND(计划落实!AB182/计划!AB182,5),0)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4" t="n"/>
      <c r="B183" s="231" t="inlineStr">
        <is>
          <t>SKU-FFE04C4D</t>
        </is>
      </c>
      <c r="C183" s="231" t="inlineStr">
        <is>
          <t>是</t>
        </is>
      </c>
      <c r="D183" s="231" t="n">
        <v>8</v>
      </c>
      <c r="E183" s="231" t="inlineStr"/>
      <c r="F183" s="231" t="inlineStr"/>
      <c r="G183" s="231" t="inlineStr"/>
      <c r="H183" s="231" t="inlineStr"/>
      <c r="I183" s="231" t="inlineStr"/>
      <c r="J183" s="27" t="inlineStr"/>
      <c r="K183" s="27" t="inlineStr"/>
      <c r="L183" s="231" t="n">
        <v>100</v>
      </c>
      <c r="M183" s="19" t="inlineStr">
        <is>
          <t>Product-B83DCFA4</t>
        </is>
      </c>
      <c r="N183" s="231" t="n">
        <v>1</v>
      </c>
      <c r="O183" s="236">
        <f>IFERROR(ROUND(计划落实!O183/计划!O183,5),0)</f>
        <v/>
      </c>
      <c r="P183" s="237">
        <f>IFERROR(ROUND(计划落实!P183/计划!P183,5),0)</f>
        <v/>
      </c>
      <c r="Q183" s="237">
        <f>IFERROR(ROUND(计划落实!Q183/计划!Q183,5),0)</f>
        <v/>
      </c>
      <c r="R183" s="237">
        <f>IFERROR(ROUND(计划落实!R183/计划!R183,5),0)</f>
        <v/>
      </c>
      <c r="S183" s="237">
        <f>IFERROR(ROUND(计划落实!S183/计划!S183,5),0)</f>
        <v/>
      </c>
      <c r="T183" s="237">
        <f>IFERROR(ROUND(计划落实!T183/计划!T183,5),0)</f>
        <v/>
      </c>
      <c r="U183" s="237">
        <f>IFERROR(ROUND(计划落实!U183/计划!U183,5),0)</f>
        <v/>
      </c>
      <c r="V183" s="237">
        <f>IFERROR(ROUND(计划落实!V183/计划!V183,5),0)</f>
        <v/>
      </c>
      <c r="W183" s="237">
        <f>IFERROR(ROUND(计划落实!W183/计划!W183,5),0)</f>
        <v/>
      </c>
      <c r="X183" s="237">
        <f>IFERROR(ROUND(计划落实!X183/计划!X183,5),0)</f>
        <v/>
      </c>
      <c r="Y183" s="237">
        <f>IFERROR(ROUND(计划落实!Y183/计划!Y183,5),0)</f>
        <v/>
      </c>
      <c r="Z183" s="237">
        <f>IFERROR(ROUND(计划落实!Z183/计划!Z183,5),0)</f>
        <v/>
      </c>
      <c r="AA183" s="237">
        <f>IFERROR(ROUND(计划落实!AA183/计划!AA183,5),0)</f>
        <v/>
      </c>
      <c r="AB183" s="237">
        <f>IFERROR(ROUND(计划落实!AB183/计划!AB183,5),0)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4" t="n"/>
      <c r="B184" s="231" t="inlineStr">
        <is>
          <t>SKU-97F868AB</t>
        </is>
      </c>
      <c r="C184" s="231" t="inlineStr">
        <is>
          <t>是</t>
        </is>
      </c>
      <c r="D184" s="231" t="n">
        <v>8</v>
      </c>
      <c r="E184" s="231" t="inlineStr">
        <is>
          <t>是</t>
        </is>
      </c>
      <c r="F184" s="231" t="inlineStr"/>
      <c r="G184" s="231" t="inlineStr"/>
      <c r="H184" s="231" t="inlineStr"/>
      <c r="I184" s="231" t="inlineStr">
        <is>
          <t>是</t>
        </is>
      </c>
      <c r="J184" s="27" t="inlineStr"/>
      <c r="K184" s="27" t="inlineStr"/>
      <c r="L184" s="231" t="n">
        <v>100</v>
      </c>
      <c r="M184" s="19" t="inlineStr">
        <is>
          <t>Product-C62E3340</t>
        </is>
      </c>
      <c r="N184" s="231" t="n">
        <v>2</v>
      </c>
      <c r="O184" s="236">
        <f>IFERROR(ROUND(计划落实!O184/计划!O184,5),0)</f>
        <v/>
      </c>
      <c r="P184" s="237">
        <f>IFERROR(ROUND(计划落实!P184/计划!P184,5),0)</f>
        <v/>
      </c>
      <c r="Q184" s="237">
        <f>IFERROR(ROUND(计划落实!Q184/计划!Q184,5),0)</f>
        <v/>
      </c>
      <c r="R184" s="237">
        <f>IFERROR(ROUND(计划落实!R184/计划!R184,5),0)</f>
        <v/>
      </c>
      <c r="S184" s="237">
        <f>IFERROR(ROUND(计划落实!S184/计划!S184,5),0)</f>
        <v/>
      </c>
      <c r="T184" s="237">
        <f>IFERROR(ROUND(计划落实!T184/计划!T184,5),0)</f>
        <v/>
      </c>
      <c r="U184" s="237">
        <f>IFERROR(ROUND(计划落实!U184/计划!U184,5),0)</f>
        <v/>
      </c>
      <c r="V184" s="237">
        <f>IFERROR(ROUND(计划落实!V184/计划!V184,5),0)</f>
        <v/>
      </c>
      <c r="W184" s="237">
        <f>IFERROR(ROUND(计划落实!W184/计划!W184,5),0)</f>
        <v/>
      </c>
      <c r="X184" s="237">
        <f>IFERROR(ROUND(计划落实!X184/计划!X184,5),0)</f>
        <v/>
      </c>
      <c r="Y184" s="237">
        <f>IFERROR(ROUND(计划落实!Y184/计划!Y184,5),0)</f>
        <v/>
      </c>
      <c r="Z184" s="237">
        <f>IFERROR(ROUND(计划落实!Z184/计划!Z184,5),0)</f>
        <v/>
      </c>
      <c r="AA184" s="237">
        <f>IFERROR(ROUND(计划落实!AA184/计划!AA184,5),0)</f>
        <v/>
      </c>
      <c r="AB184" s="237">
        <f>IFERROR(ROUND(计划落实!AB184/计划!AB184,5),0)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4" t="n"/>
      <c r="B185" s="231" t="inlineStr">
        <is>
          <t>SKU-8D644BC3</t>
        </is>
      </c>
      <c r="C185" s="231" t="inlineStr">
        <is>
          <t>是</t>
        </is>
      </c>
      <c r="D185" s="231" t="n">
        <v>10</v>
      </c>
      <c r="E185" s="231" t="inlineStr"/>
      <c r="F185" s="231" t="inlineStr"/>
      <c r="G185" s="231" t="inlineStr"/>
      <c r="H185" s="231" t="inlineStr">
        <is>
          <t>是</t>
        </is>
      </c>
      <c r="I185" s="231" t="inlineStr">
        <is>
          <t>是</t>
        </is>
      </c>
      <c r="J185" s="27" t="inlineStr">
        <is>
          <t>共</t>
        </is>
      </c>
      <c r="K185" s="27" t="inlineStr"/>
      <c r="L185" s="231" t="n">
        <v>100</v>
      </c>
      <c r="M185" s="19" t="inlineStr">
        <is>
          <t>Product-DE90CB9B</t>
        </is>
      </c>
      <c r="N185" s="231" t="n">
        <v>1</v>
      </c>
      <c r="O185" s="236">
        <f>IFERROR(ROUND(计划落实!O185/计划!O185,5),0)</f>
        <v/>
      </c>
      <c r="P185" s="237">
        <f>IFERROR(ROUND(计划落实!P185/计划!P185,5),0)</f>
        <v/>
      </c>
      <c r="Q185" s="237">
        <f>IFERROR(ROUND(计划落实!Q185/计划!Q185,5),0)</f>
        <v/>
      </c>
      <c r="R185" s="237">
        <f>IFERROR(ROUND(计划落实!R185/计划!R185,5),0)</f>
        <v/>
      </c>
      <c r="S185" s="237">
        <f>IFERROR(ROUND(计划落实!S185/计划!S185,5),0)</f>
        <v/>
      </c>
      <c r="T185" s="237">
        <f>IFERROR(ROUND(计划落实!T185/计划!T185,5),0)</f>
        <v/>
      </c>
      <c r="U185" s="237">
        <f>IFERROR(ROUND(计划落实!U185/计划!U185,5),0)</f>
        <v/>
      </c>
      <c r="V185" s="237">
        <f>IFERROR(ROUND(计划落实!V185/计划!V185,5),0)</f>
        <v/>
      </c>
      <c r="W185" s="237">
        <f>IFERROR(ROUND(计划落实!W185/计划!W185,5),0)</f>
        <v/>
      </c>
      <c r="X185" s="237">
        <f>IFERROR(ROUND(计划落实!X185/计划!X185,5),0)</f>
        <v/>
      </c>
      <c r="Y185" s="237">
        <f>IFERROR(ROUND(计划落实!Y185/计划!Y185,5),0)</f>
        <v/>
      </c>
      <c r="Z185" s="237">
        <f>IFERROR(ROUND(计划落实!Z185/计划!Z185,5),0)</f>
        <v/>
      </c>
      <c r="AA185" s="237">
        <f>IFERROR(ROUND(计划落实!AA185/计划!AA185,5),0)</f>
        <v/>
      </c>
      <c r="AB185" s="237">
        <f>IFERROR(ROUND(计划落实!AB185/计划!AB185,5),0)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4" t="n"/>
      <c r="B186" s="231" t="inlineStr">
        <is>
          <t>SKU-51C17194</t>
        </is>
      </c>
      <c r="C186" s="231" t="inlineStr">
        <is>
          <t>是</t>
        </is>
      </c>
      <c r="D186" s="231" t="n">
        <v>10</v>
      </c>
      <c r="E186" s="231" t="inlineStr"/>
      <c r="F186" s="231" t="inlineStr"/>
      <c r="G186" s="231" t="inlineStr"/>
      <c r="H186" s="231" t="inlineStr"/>
      <c r="I186" s="231" t="inlineStr"/>
      <c r="J186" s="27" t="inlineStr"/>
      <c r="K186" s="27" t="inlineStr"/>
      <c r="L186" s="231" t="n">
        <v>100</v>
      </c>
      <c r="M186" s="43" t="inlineStr">
        <is>
          <t>Product-7D9B1112</t>
        </is>
      </c>
      <c r="N186" s="231" t="n">
        <v>2</v>
      </c>
      <c r="O186" s="236">
        <f>IFERROR(ROUND(计划落实!O186/计划!O186,5),0)</f>
        <v/>
      </c>
      <c r="P186" s="237">
        <f>IFERROR(ROUND(计划落实!P186/计划!P186,5),0)</f>
        <v/>
      </c>
      <c r="Q186" s="237">
        <f>IFERROR(ROUND(计划落实!Q186/计划!Q186,5),0)</f>
        <v/>
      </c>
      <c r="R186" s="237">
        <f>IFERROR(ROUND(计划落实!R186/计划!R186,5),0)</f>
        <v/>
      </c>
      <c r="S186" s="237">
        <f>IFERROR(ROUND(计划落实!S186/计划!S186,5),0)</f>
        <v/>
      </c>
      <c r="T186" s="237">
        <f>IFERROR(ROUND(计划落实!T186/计划!T186,5),0)</f>
        <v/>
      </c>
      <c r="U186" s="237">
        <f>IFERROR(ROUND(计划落实!U186/计划!U186,5),0)</f>
        <v/>
      </c>
      <c r="V186" s="237">
        <f>IFERROR(ROUND(计划落实!V186/计划!V186,5),0)</f>
        <v/>
      </c>
      <c r="W186" s="237">
        <f>IFERROR(ROUND(计划落实!W186/计划!W186,5),0)</f>
        <v/>
      </c>
      <c r="X186" s="237">
        <f>IFERROR(ROUND(计划落实!X186/计划!X186,5),0)</f>
        <v/>
      </c>
      <c r="Y186" s="237">
        <f>IFERROR(ROUND(计划落实!Y186/计划!Y186,5),0)</f>
        <v/>
      </c>
      <c r="Z186" s="237">
        <f>IFERROR(ROUND(计划落实!Z186/计划!Z186,5),0)</f>
        <v/>
      </c>
      <c r="AA186" s="237">
        <f>IFERROR(ROUND(计划落实!AA186/计划!AA186,5),0)</f>
        <v/>
      </c>
      <c r="AB186" s="237">
        <f>IFERROR(ROUND(计划落实!AB186/计划!AB186,5),0)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4" t="n"/>
      <c r="B187" s="231" t="inlineStr">
        <is>
          <t>SKU-318D1B8B</t>
        </is>
      </c>
      <c r="C187" s="231" t="inlineStr">
        <is>
          <t>是</t>
        </is>
      </c>
      <c r="D187" s="231" t="n">
        <v>8</v>
      </c>
      <c r="E187" s="231" t="inlineStr">
        <is>
          <t>是</t>
        </is>
      </c>
      <c r="F187" s="231" t="inlineStr"/>
      <c r="G187" s="231" t="inlineStr"/>
      <c r="H187" s="231" t="inlineStr">
        <is>
          <t>是</t>
        </is>
      </c>
      <c r="I187" s="231" t="inlineStr">
        <is>
          <t>是</t>
        </is>
      </c>
      <c r="J187" s="27" t="inlineStr">
        <is>
          <t>共</t>
        </is>
      </c>
      <c r="K187" s="27" t="inlineStr"/>
      <c r="L187" s="231" t="n">
        <v>100</v>
      </c>
      <c r="M187" s="19" t="inlineStr">
        <is>
          <t>Product-C93E013F</t>
        </is>
      </c>
      <c r="N187" s="231" t="n">
        <v>1</v>
      </c>
      <c r="O187" s="236">
        <f>IFERROR(ROUND(计划落实!O187/计划!O187,5),0)</f>
        <v/>
      </c>
      <c r="P187" s="237">
        <f>IFERROR(ROUND(计划落实!P187/计划!P187,5),0)</f>
        <v/>
      </c>
      <c r="Q187" s="237">
        <f>IFERROR(ROUND(计划落实!Q187/计划!Q187,5),0)</f>
        <v/>
      </c>
      <c r="R187" s="237">
        <f>IFERROR(ROUND(计划落实!R187/计划!R187,5),0)</f>
        <v/>
      </c>
      <c r="S187" s="237">
        <f>IFERROR(ROUND(计划落实!S187/计划!S187,5),0)</f>
        <v/>
      </c>
      <c r="T187" s="237">
        <f>IFERROR(ROUND(计划落实!T187/计划!T187,5),0)</f>
        <v/>
      </c>
      <c r="U187" s="237">
        <f>IFERROR(ROUND(计划落实!U187/计划!U187,5),0)</f>
        <v/>
      </c>
      <c r="V187" s="237">
        <f>IFERROR(ROUND(计划落实!V187/计划!V187,5),0)</f>
        <v/>
      </c>
      <c r="W187" s="237">
        <f>IFERROR(ROUND(计划落实!W187/计划!W187,5),0)</f>
        <v/>
      </c>
      <c r="X187" s="237">
        <f>IFERROR(ROUND(计划落实!X187/计划!X187,5),0)</f>
        <v/>
      </c>
      <c r="Y187" s="237">
        <f>IFERROR(ROUND(计划落实!Y187/计划!Y187,5),0)</f>
        <v/>
      </c>
      <c r="Z187" s="237">
        <f>IFERROR(ROUND(计划落实!Z187/计划!Z187,5),0)</f>
        <v/>
      </c>
      <c r="AA187" s="237">
        <f>IFERROR(ROUND(计划落实!AA187/计划!AA187,5),0)</f>
        <v/>
      </c>
      <c r="AB187" s="237">
        <f>IFERROR(ROUND(计划落实!AB187/计划!AB187,5),0)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4" t="n"/>
      <c r="B188" s="231" t="inlineStr">
        <is>
          <t>SKU-A744A038</t>
        </is>
      </c>
      <c r="C188" s="231" t="inlineStr">
        <is>
          <t>是</t>
        </is>
      </c>
      <c r="D188" s="231" t="n">
        <v>8</v>
      </c>
      <c r="E188" s="231" t="inlineStr">
        <is>
          <t>是</t>
        </is>
      </c>
      <c r="F188" s="231" t="inlineStr"/>
      <c r="G188" s="231" t="inlineStr"/>
      <c r="H188" s="231" t="inlineStr">
        <is>
          <t>是</t>
        </is>
      </c>
      <c r="I188" s="231" t="inlineStr">
        <is>
          <t>是</t>
        </is>
      </c>
      <c r="J188" s="27" t="inlineStr">
        <is>
          <t>共</t>
        </is>
      </c>
      <c r="K188" s="27" t="inlineStr"/>
      <c r="L188" s="231" t="n">
        <v>100</v>
      </c>
      <c r="M188" s="19" t="inlineStr">
        <is>
          <t>Product-DDF99E26</t>
        </is>
      </c>
      <c r="N188" s="231" t="n">
        <v>1</v>
      </c>
      <c r="O188" s="236">
        <f>IFERROR(ROUND(计划落实!O188/计划!O188,5),0)</f>
        <v/>
      </c>
      <c r="P188" s="237">
        <f>IFERROR(ROUND(计划落实!P188/计划!P188,5),0)</f>
        <v/>
      </c>
      <c r="Q188" s="237">
        <f>IFERROR(ROUND(计划落实!Q188/计划!Q188,5),0)</f>
        <v/>
      </c>
      <c r="R188" s="237">
        <f>IFERROR(ROUND(计划落实!R188/计划!R188,5),0)</f>
        <v/>
      </c>
      <c r="S188" s="237">
        <f>IFERROR(ROUND(计划落实!S188/计划!S188,5),0)</f>
        <v/>
      </c>
      <c r="T188" s="237">
        <f>IFERROR(ROUND(计划落实!T188/计划!T188,5),0)</f>
        <v/>
      </c>
      <c r="U188" s="237">
        <f>IFERROR(ROUND(计划落实!U188/计划!U188,5),0)</f>
        <v/>
      </c>
      <c r="V188" s="237">
        <f>IFERROR(ROUND(计划落实!V188/计划!V188,5),0)</f>
        <v/>
      </c>
      <c r="W188" s="237">
        <f>IFERROR(ROUND(计划落实!W188/计划!W188,5),0)</f>
        <v/>
      </c>
      <c r="X188" s="237">
        <f>IFERROR(ROUND(计划落实!X188/计划!X188,5),0)</f>
        <v/>
      </c>
      <c r="Y188" s="237">
        <f>IFERROR(ROUND(计划落实!Y188/计划!Y188,5),0)</f>
        <v/>
      </c>
      <c r="Z188" s="237">
        <f>IFERROR(ROUND(计划落实!Z188/计划!Z188,5),0)</f>
        <v/>
      </c>
      <c r="AA188" s="237">
        <f>IFERROR(ROUND(计划落实!AA188/计划!AA188,5),0)</f>
        <v/>
      </c>
      <c r="AB188" s="237">
        <f>IFERROR(ROUND(计划落实!AB188/计划!AB188,5),0)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4" t="n"/>
      <c r="B189" s="231" t="inlineStr">
        <is>
          <t>SKU-56C78667</t>
        </is>
      </c>
      <c r="C189" s="231" t="inlineStr">
        <is>
          <t>是</t>
        </is>
      </c>
      <c r="D189" s="231" t="n">
        <v>10</v>
      </c>
      <c r="E189" s="231" t="inlineStr"/>
      <c r="F189" s="231" t="inlineStr">
        <is>
          <t>是</t>
        </is>
      </c>
      <c r="G189" s="231" t="inlineStr"/>
      <c r="H189" s="231" t="inlineStr">
        <is>
          <t>是</t>
        </is>
      </c>
      <c r="I189" s="231" t="inlineStr">
        <is>
          <t>是</t>
        </is>
      </c>
      <c r="J189" s="27" t="inlineStr"/>
      <c r="K189" s="27" t="inlineStr"/>
      <c r="L189" s="231" t="n">
        <v>100</v>
      </c>
      <c r="M189" s="19" t="inlineStr">
        <is>
          <t>Product-B81DC6F4</t>
        </is>
      </c>
      <c r="N189" s="231" t="n">
        <v>1</v>
      </c>
      <c r="O189" s="236">
        <f>IFERROR(ROUND(计划落实!O189/计划!O189,5),0)</f>
        <v/>
      </c>
      <c r="P189" s="237">
        <f>IFERROR(ROUND(计划落实!P189/计划!P189,5),0)</f>
        <v/>
      </c>
      <c r="Q189" s="237">
        <f>IFERROR(ROUND(计划落实!Q189/计划!Q189,5),0)</f>
        <v/>
      </c>
      <c r="R189" s="237">
        <f>IFERROR(ROUND(计划落实!R189/计划!R189,5),0)</f>
        <v/>
      </c>
      <c r="S189" s="237">
        <f>IFERROR(ROUND(计划落实!S189/计划!S189,5),0)</f>
        <v/>
      </c>
      <c r="T189" s="237">
        <f>IFERROR(ROUND(计划落实!T189/计划!T189,5),0)</f>
        <v/>
      </c>
      <c r="U189" s="237">
        <f>IFERROR(ROUND(计划落实!U189/计划!U189,5),0)</f>
        <v/>
      </c>
      <c r="V189" s="237">
        <f>IFERROR(ROUND(计划落实!V189/计划!V189,5),0)</f>
        <v/>
      </c>
      <c r="W189" s="237">
        <f>IFERROR(ROUND(计划落实!W189/计划!W189,5),0)</f>
        <v/>
      </c>
      <c r="X189" s="237">
        <f>IFERROR(ROUND(计划落实!X189/计划!X189,5),0)</f>
        <v/>
      </c>
      <c r="Y189" s="237">
        <f>IFERROR(ROUND(计划落实!Y189/计划!Y189,5),0)</f>
        <v/>
      </c>
      <c r="Z189" s="237">
        <f>IFERROR(ROUND(计划落实!Z189/计划!Z189,5),0)</f>
        <v/>
      </c>
      <c r="AA189" s="237">
        <f>IFERROR(ROUND(计划落实!AA189/计划!AA189,5),0)</f>
        <v/>
      </c>
      <c r="AB189" s="237">
        <f>IFERROR(ROUND(计划落实!AB189/计划!AB189,5),0)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4" t="n"/>
      <c r="B190" s="231" t="inlineStr">
        <is>
          <t>SKU-20ABB28F</t>
        </is>
      </c>
      <c r="C190" s="231" t="inlineStr">
        <is>
          <t>是</t>
        </is>
      </c>
      <c r="D190" s="231" t="n">
        <v>8</v>
      </c>
      <c r="E190" s="231" t="inlineStr"/>
      <c r="F190" s="231" t="inlineStr">
        <is>
          <t>是</t>
        </is>
      </c>
      <c r="G190" s="231" t="inlineStr"/>
      <c r="H190" s="231" t="inlineStr"/>
      <c r="I190" s="231" t="inlineStr">
        <is>
          <t>是</t>
        </is>
      </c>
      <c r="J190" s="27" t="inlineStr"/>
      <c r="K190" s="27" t="inlineStr"/>
      <c r="L190" s="231" t="n">
        <v>100</v>
      </c>
      <c r="M190" s="19" t="inlineStr">
        <is>
          <t>Product-0B2EAF74</t>
        </is>
      </c>
      <c r="N190" s="231" t="n">
        <v>1</v>
      </c>
      <c r="O190" s="236">
        <f>IFERROR(ROUND(计划落实!O190/计划!O190,5),0)</f>
        <v/>
      </c>
      <c r="P190" s="237">
        <f>IFERROR(ROUND(计划落实!P190/计划!P190,5),0)</f>
        <v/>
      </c>
      <c r="Q190" s="237">
        <f>IFERROR(ROUND(计划落实!Q190/计划!Q190,5),0)</f>
        <v/>
      </c>
      <c r="R190" s="237">
        <f>IFERROR(ROUND(计划落实!R190/计划!R190,5),0)</f>
        <v/>
      </c>
      <c r="S190" s="237">
        <f>IFERROR(ROUND(计划落实!S190/计划!S190,5),0)</f>
        <v/>
      </c>
      <c r="T190" s="237">
        <f>IFERROR(ROUND(计划落实!T190/计划!T190,5),0)</f>
        <v/>
      </c>
      <c r="U190" s="237">
        <f>IFERROR(ROUND(计划落实!U190/计划!U190,5),0)</f>
        <v/>
      </c>
      <c r="V190" s="237">
        <f>IFERROR(ROUND(计划落实!V190/计划!V190,5),0)</f>
        <v/>
      </c>
      <c r="W190" s="237">
        <f>IFERROR(ROUND(计划落实!W190/计划!W190,5),0)</f>
        <v/>
      </c>
      <c r="X190" s="237">
        <f>IFERROR(ROUND(计划落实!X190/计划!X190,5),0)</f>
        <v/>
      </c>
      <c r="Y190" s="237">
        <f>IFERROR(ROUND(计划落实!Y190/计划!Y190,5),0)</f>
        <v/>
      </c>
      <c r="Z190" s="237">
        <f>IFERROR(ROUND(计划落实!Z190/计划!Z190,5),0)</f>
        <v/>
      </c>
      <c r="AA190" s="237">
        <f>IFERROR(ROUND(计划落实!AA190/计划!AA190,5),0)</f>
        <v/>
      </c>
      <c r="AB190" s="237">
        <f>IFERROR(ROUND(计划落实!AB190/计划!AB190,5),0)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4" t="n"/>
      <c r="B191" s="231" t="inlineStr">
        <is>
          <t>SKU-19F38467</t>
        </is>
      </c>
      <c r="C191" s="231" t="inlineStr">
        <is>
          <t>是</t>
        </is>
      </c>
      <c r="D191" s="231" t="n">
        <v>10</v>
      </c>
      <c r="E191" s="231" t="inlineStr"/>
      <c r="F191" s="231" t="inlineStr"/>
      <c r="G191" s="231" t="inlineStr"/>
      <c r="H191" s="231" t="inlineStr"/>
      <c r="I191" s="231" t="inlineStr"/>
      <c r="J191" s="27" t="inlineStr">
        <is>
          <t>共</t>
        </is>
      </c>
      <c r="K191" s="27" t="inlineStr"/>
      <c r="L191" s="231" t="n">
        <v>100</v>
      </c>
      <c r="M191" s="19" t="inlineStr">
        <is>
          <t>Product-9435255B</t>
        </is>
      </c>
      <c r="N191" s="231" t="n">
        <v>1</v>
      </c>
      <c r="O191" s="236">
        <f>IFERROR(ROUND(计划落实!O191/计划!O191,5),0)</f>
        <v/>
      </c>
      <c r="P191" s="237">
        <f>IFERROR(ROUND(计划落实!P191/计划!P191,5),0)</f>
        <v/>
      </c>
      <c r="Q191" s="237">
        <f>IFERROR(ROUND(计划落实!Q191/计划!Q191,5),0)</f>
        <v/>
      </c>
      <c r="R191" s="237">
        <f>IFERROR(ROUND(计划落实!R191/计划!R191,5),0)</f>
        <v/>
      </c>
      <c r="S191" s="237">
        <f>IFERROR(ROUND(计划落实!S191/计划!S191,5),0)</f>
        <v/>
      </c>
      <c r="T191" s="237">
        <f>IFERROR(ROUND(计划落实!T191/计划!T191,5),0)</f>
        <v/>
      </c>
      <c r="U191" s="237">
        <f>IFERROR(ROUND(计划落实!U191/计划!U191,5),0)</f>
        <v/>
      </c>
      <c r="V191" s="237">
        <f>IFERROR(ROUND(计划落实!V191/计划!V191,5),0)</f>
        <v/>
      </c>
      <c r="W191" s="237">
        <f>IFERROR(ROUND(计划落实!W191/计划!W191,5),0)</f>
        <v/>
      </c>
      <c r="X191" s="237">
        <f>IFERROR(ROUND(计划落实!X191/计划!X191,5),0)</f>
        <v/>
      </c>
      <c r="Y191" s="237">
        <f>IFERROR(ROUND(计划落实!Y191/计划!Y191,5),0)</f>
        <v/>
      </c>
      <c r="Z191" s="237">
        <f>IFERROR(ROUND(计划落实!Z191/计划!Z191,5),0)</f>
        <v/>
      </c>
      <c r="AA191" s="237">
        <f>IFERROR(ROUND(计划落实!AA191/计划!AA191,5),0)</f>
        <v/>
      </c>
      <c r="AB191" s="237">
        <f>IFERROR(ROUND(计划落实!AB191/计划!AB191,5),0)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4" t="n"/>
      <c r="B192" s="231" t="inlineStr">
        <is>
          <t>SKU-07EAC1B8</t>
        </is>
      </c>
      <c r="C192" s="231" t="inlineStr">
        <is>
          <t>是</t>
        </is>
      </c>
      <c r="D192" s="231" t="n">
        <v>10</v>
      </c>
      <c r="E192" s="231" t="inlineStr"/>
      <c r="F192" s="231" t="inlineStr"/>
      <c r="G192" s="231" t="inlineStr"/>
      <c r="H192" s="231" t="inlineStr">
        <is>
          <t>是</t>
        </is>
      </c>
      <c r="I192" s="231" t="inlineStr">
        <is>
          <t>是</t>
        </is>
      </c>
      <c r="J192" s="27" t="inlineStr">
        <is>
          <t>共</t>
        </is>
      </c>
      <c r="K192" s="27" t="inlineStr"/>
      <c r="L192" s="231" t="n">
        <v>100</v>
      </c>
      <c r="M192" s="19" t="inlineStr">
        <is>
          <t>Product-E14FEADC</t>
        </is>
      </c>
      <c r="N192" s="231" t="n">
        <v>1</v>
      </c>
      <c r="O192" s="236">
        <f>IFERROR(ROUND(计划落实!O192/计划!O192,5),0)</f>
        <v/>
      </c>
      <c r="P192" s="237">
        <f>IFERROR(ROUND(计划落实!P192/计划!P192,5),0)</f>
        <v/>
      </c>
      <c r="Q192" s="237">
        <f>IFERROR(ROUND(计划落实!Q192/计划!Q192,5),0)</f>
        <v/>
      </c>
      <c r="R192" s="237">
        <f>IFERROR(ROUND(计划落实!R192/计划!R192,5),0)</f>
        <v/>
      </c>
      <c r="S192" s="237">
        <f>IFERROR(ROUND(计划落实!S192/计划!S192,5),0)</f>
        <v/>
      </c>
      <c r="T192" s="237">
        <f>IFERROR(ROUND(计划落实!T192/计划!T192,5),0)</f>
        <v/>
      </c>
      <c r="U192" s="237">
        <f>IFERROR(ROUND(计划落实!U192/计划!U192,5),0)</f>
        <v/>
      </c>
      <c r="V192" s="237">
        <f>IFERROR(ROUND(计划落实!V192/计划!V192,5),0)</f>
        <v/>
      </c>
      <c r="W192" s="237">
        <f>IFERROR(ROUND(计划落实!W192/计划!W192,5),0)</f>
        <v/>
      </c>
      <c r="X192" s="237">
        <f>IFERROR(ROUND(计划落实!X192/计划!X192,5),0)</f>
        <v/>
      </c>
      <c r="Y192" s="237">
        <f>IFERROR(ROUND(计划落实!Y192/计划!Y192,5),0)</f>
        <v/>
      </c>
      <c r="Z192" s="237">
        <f>IFERROR(ROUND(计划落实!Z192/计划!Z192,5),0)</f>
        <v/>
      </c>
      <c r="AA192" s="237">
        <f>IFERROR(ROUND(计划落实!AA192/计划!AA192,5),0)</f>
        <v/>
      </c>
      <c r="AB192" s="237">
        <f>IFERROR(ROUND(计划落实!AB192/计划!AB192,5),0)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4" t="n"/>
      <c r="B193" s="231" t="inlineStr">
        <is>
          <t>SKU-35C24552</t>
        </is>
      </c>
      <c r="C193" s="231" t="inlineStr">
        <is>
          <t>是</t>
        </is>
      </c>
      <c r="D193" s="231" t="n">
        <v>8</v>
      </c>
      <c r="E193" s="231" t="inlineStr"/>
      <c r="F193" s="231" t="inlineStr">
        <is>
          <t>是</t>
        </is>
      </c>
      <c r="G193" s="231" t="inlineStr"/>
      <c r="H193" s="231" t="inlineStr"/>
      <c r="I193" s="231" t="inlineStr">
        <is>
          <t>是</t>
        </is>
      </c>
      <c r="J193" s="27" t="inlineStr"/>
      <c r="K193" s="27" t="inlineStr"/>
      <c r="L193" s="231" t="n">
        <v>100</v>
      </c>
      <c r="M193" s="19" t="inlineStr">
        <is>
          <t>Product-37D16B86</t>
        </is>
      </c>
      <c r="N193" s="231" t="n">
        <v>1</v>
      </c>
      <c r="O193" s="236">
        <f>IFERROR(ROUND(计划落实!O193/计划!O193,5),0)</f>
        <v/>
      </c>
      <c r="P193" s="237">
        <f>IFERROR(ROUND(计划落实!P193/计划!P193,5),0)</f>
        <v/>
      </c>
      <c r="Q193" s="237">
        <f>IFERROR(ROUND(计划落实!Q193/计划!Q193,5),0)</f>
        <v/>
      </c>
      <c r="R193" s="237">
        <f>IFERROR(ROUND(计划落实!R193/计划!R193,5),0)</f>
        <v/>
      </c>
      <c r="S193" s="237">
        <f>IFERROR(ROUND(计划落实!S193/计划!S193,5),0)</f>
        <v/>
      </c>
      <c r="T193" s="237">
        <f>IFERROR(ROUND(计划落实!T193/计划!T193,5),0)</f>
        <v/>
      </c>
      <c r="U193" s="237">
        <f>IFERROR(ROUND(计划落实!U193/计划!U193,5),0)</f>
        <v/>
      </c>
      <c r="V193" s="237">
        <f>IFERROR(ROUND(计划落实!V193/计划!V193,5),0)</f>
        <v/>
      </c>
      <c r="W193" s="237">
        <f>IFERROR(ROUND(计划落实!W193/计划!W193,5),0)</f>
        <v/>
      </c>
      <c r="X193" s="237">
        <f>IFERROR(ROUND(计划落实!X193/计划!X193,5),0)</f>
        <v/>
      </c>
      <c r="Y193" s="237">
        <f>IFERROR(ROUND(计划落实!Y193/计划!Y193,5),0)</f>
        <v/>
      </c>
      <c r="Z193" s="237">
        <f>IFERROR(ROUND(计划落实!Z193/计划!Z193,5),0)</f>
        <v/>
      </c>
      <c r="AA193" s="237">
        <f>IFERROR(ROUND(计划落实!AA193/计划!AA193,5),0)</f>
        <v/>
      </c>
      <c r="AB193" s="237">
        <f>IFERROR(ROUND(计划落实!AB193/计划!AB193,5),0)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4" t="n"/>
      <c r="B194" s="231" t="inlineStr">
        <is>
          <t>SKU-2E4B7F7A</t>
        </is>
      </c>
      <c r="C194" s="231" t="inlineStr">
        <is>
          <t>是</t>
        </is>
      </c>
      <c r="D194" s="231" t="n">
        <v>8</v>
      </c>
      <c r="E194" s="231" t="inlineStr"/>
      <c r="F194" s="231" t="inlineStr">
        <is>
          <t>是</t>
        </is>
      </c>
      <c r="G194" s="231" t="inlineStr"/>
      <c r="H194" s="231" t="inlineStr"/>
      <c r="I194" s="231" t="inlineStr">
        <is>
          <t>是</t>
        </is>
      </c>
      <c r="J194" s="27" t="inlineStr"/>
      <c r="K194" s="27" t="inlineStr"/>
      <c r="L194" s="231" t="n">
        <v>100</v>
      </c>
      <c r="M194" s="19" t="inlineStr">
        <is>
          <t>Product-114C3CE1</t>
        </is>
      </c>
      <c r="N194" s="231" t="n">
        <v>1</v>
      </c>
      <c r="O194" s="236">
        <f>IFERROR(ROUND(计划落实!O194/计划!O194,5),0)</f>
        <v/>
      </c>
      <c r="P194" s="237">
        <f>IFERROR(ROUND(计划落实!P194/计划!P194,5),0)</f>
        <v/>
      </c>
      <c r="Q194" s="237">
        <f>IFERROR(ROUND(计划落实!Q194/计划!Q194,5),0)</f>
        <v/>
      </c>
      <c r="R194" s="237">
        <f>IFERROR(ROUND(计划落实!R194/计划!R194,5),0)</f>
        <v/>
      </c>
      <c r="S194" s="237">
        <f>IFERROR(ROUND(计划落实!S194/计划!S194,5),0)</f>
        <v/>
      </c>
      <c r="T194" s="237">
        <f>IFERROR(ROUND(计划落实!T194/计划!T194,5),0)</f>
        <v/>
      </c>
      <c r="U194" s="237">
        <f>IFERROR(ROUND(计划落实!U194/计划!U194,5),0)</f>
        <v/>
      </c>
      <c r="V194" s="237">
        <f>IFERROR(ROUND(计划落实!V194/计划!V194,5),0)</f>
        <v/>
      </c>
      <c r="W194" s="237">
        <f>IFERROR(ROUND(计划落实!W194/计划!W194,5),0)</f>
        <v/>
      </c>
      <c r="X194" s="237">
        <f>IFERROR(ROUND(计划落实!X194/计划!X194,5),0)</f>
        <v/>
      </c>
      <c r="Y194" s="237">
        <f>IFERROR(ROUND(计划落实!Y194/计划!Y194,5),0)</f>
        <v/>
      </c>
      <c r="Z194" s="237">
        <f>IFERROR(ROUND(计划落实!Z194/计划!Z194,5),0)</f>
        <v/>
      </c>
      <c r="AA194" s="237">
        <f>IFERROR(ROUND(计划落实!AA194/计划!AA194,5),0)</f>
        <v/>
      </c>
      <c r="AB194" s="237">
        <f>IFERROR(ROUND(计划落实!AB194/计划!AB194,5),0)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4" t="n"/>
      <c r="B195" s="231" t="inlineStr">
        <is>
          <t>SKU-C36EE9D8</t>
        </is>
      </c>
      <c r="C195" s="231" t="inlineStr">
        <is>
          <t>是</t>
        </is>
      </c>
      <c r="D195" s="231" t="n">
        <v>9</v>
      </c>
      <c r="E195" s="231" t="inlineStr"/>
      <c r="F195" s="231" t="inlineStr">
        <is>
          <t>是</t>
        </is>
      </c>
      <c r="G195" s="231" t="inlineStr"/>
      <c r="H195" s="231" t="inlineStr"/>
      <c r="I195" s="231" t="inlineStr">
        <is>
          <t>是</t>
        </is>
      </c>
      <c r="J195" s="27" t="inlineStr"/>
      <c r="K195" s="27" t="inlineStr"/>
      <c r="L195" s="231" t="n">
        <v>100</v>
      </c>
      <c r="M195" s="19" t="inlineStr">
        <is>
          <t>Product-63311DDA</t>
        </is>
      </c>
      <c r="N195" s="231" t="n">
        <v>1</v>
      </c>
      <c r="O195" s="236">
        <f>IFERROR(ROUND(计划落实!O195/计划!O195,5),0)</f>
        <v/>
      </c>
      <c r="P195" s="237">
        <f>IFERROR(ROUND(计划落实!P195/计划!P195,5),0)</f>
        <v/>
      </c>
      <c r="Q195" s="237">
        <f>IFERROR(ROUND(计划落实!Q195/计划!Q195,5),0)</f>
        <v/>
      </c>
      <c r="R195" s="237">
        <f>IFERROR(ROUND(计划落实!R195/计划!R195,5),0)</f>
        <v/>
      </c>
      <c r="S195" s="237">
        <f>IFERROR(ROUND(计划落实!S195/计划!S195,5),0)</f>
        <v/>
      </c>
      <c r="T195" s="237">
        <f>IFERROR(ROUND(计划落实!T195/计划!T195,5),0)</f>
        <v/>
      </c>
      <c r="U195" s="237">
        <f>IFERROR(ROUND(计划落实!U195/计划!U195,5),0)</f>
        <v/>
      </c>
      <c r="V195" s="237">
        <f>IFERROR(ROUND(计划落实!V195/计划!V195,5),0)</f>
        <v/>
      </c>
      <c r="W195" s="237">
        <f>IFERROR(ROUND(计划落实!W195/计划!W195,5),0)</f>
        <v/>
      </c>
      <c r="X195" s="237">
        <f>IFERROR(ROUND(计划落实!X195/计划!X195,5),0)</f>
        <v/>
      </c>
      <c r="Y195" s="237">
        <f>IFERROR(ROUND(计划落实!Y195/计划!Y195,5),0)</f>
        <v/>
      </c>
      <c r="Z195" s="237">
        <f>IFERROR(ROUND(计划落实!Z195/计划!Z195,5),0)</f>
        <v/>
      </c>
      <c r="AA195" s="237">
        <f>IFERROR(ROUND(计划落实!AA195/计划!AA195,5),0)</f>
        <v/>
      </c>
      <c r="AB195" s="237">
        <f>IFERROR(ROUND(计划落实!AB195/计划!AB195,5),0)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4" t="n"/>
      <c r="B196" s="231" t="inlineStr">
        <is>
          <t>SKU-0235E86E</t>
        </is>
      </c>
      <c r="C196" s="231" t="inlineStr">
        <is>
          <t>是</t>
        </is>
      </c>
      <c r="D196" s="231" t="n">
        <v>8</v>
      </c>
      <c r="E196" s="231" t="inlineStr">
        <is>
          <t>是</t>
        </is>
      </c>
      <c r="F196" s="231" t="inlineStr"/>
      <c r="G196" s="231" t="inlineStr"/>
      <c r="H196" s="231" t="inlineStr"/>
      <c r="I196" s="231" t="inlineStr">
        <is>
          <t>是</t>
        </is>
      </c>
      <c r="J196" s="27" t="inlineStr"/>
      <c r="K196" s="27" t="inlineStr"/>
      <c r="L196" s="231" t="n">
        <v>100</v>
      </c>
      <c r="M196" s="45" t="inlineStr">
        <is>
          <t>Product-985CF026</t>
        </is>
      </c>
      <c r="N196" s="231" t="n">
        <v>1</v>
      </c>
      <c r="O196" s="236">
        <f>IFERROR(ROUND(计划落实!O196/计划!O196,5),0)</f>
        <v/>
      </c>
      <c r="P196" s="237">
        <f>IFERROR(ROUND(计划落实!P196/计划!P196,5),0)</f>
        <v/>
      </c>
      <c r="Q196" s="237">
        <f>IFERROR(ROUND(计划落实!Q196/计划!Q196,5),0)</f>
        <v/>
      </c>
      <c r="R196" s="237">
        <f>IFERROR(ROUND(计划落实!R196/计划!R196,5),0)</f>
        <v/>
      </c>
      <c r="S196" s="237">
        <f>IFERROR(ROUND(计划落实!S196/计划!S196,5),0)</f>
        <v/>
      </c>
      <c r="T196" s="237">
        <f>IFERROR(ROUND(计划落实!T196/计划!T196,5),0)</f>
        <v/>
      </c>
      <c r="U196" s="237">
        <f>IFERROR(ROUND(计划落实!U196/计划!U196,5),0)</f>
        <v/>
      </c>
      <c r="V196" s="237">
        <f>IFERROR(ROUND(计划落实!V196/计划!V196,5),0)</f>
        <v/>
      </c>
      <c r="W196" s="237">
        <f>IFERROR(ROUND(计划落实!W196/计划!W196,5),0)</f>
        <v/>
      </c>
      <c r="X196" s="237">
        <f>IFERROR(ROUND(计划落实!X196/计划!X196,5),0)</f>
        <v/>
      </c>
      <c r="Y196" s="237">
        <f>IFERROR(ROUND(计划落实!Y196/计划!Y196,5),0)</f>
        <v/>
      </c>
      <c r="Z196" s="237">
        <f>IFERROR(ROUND(计划落实!Z196/计划!Z196,5),0)</f>
        <v/>
      </c>
      <c r="AA196" s="237">
        <f>IFERROR(ROUND(计划落实!AA196/计划!AA196,5),0)</f>
        <v/>
      </c>
      <c r="AB196" s="237">
        <f>IFERROR(ROUND(计划落实!AB196/计划!AB196,5),0)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5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239">
        <f>IFERROR(ROUND(计划落实!O197/计划!O197,5),0)</f>
        <v/>
      </c>
      <c r="P197" s="239">
        <f>IFERROR(ROUND(计划落实!P197/计划!P197,5),0)</f>
        <v/>
      </c>
      <c r="Q197" s="239">
        <f>IFERROR(ROUND(计划落实!Q197/计划!Q197,5),0)</f>
        <v/>
      </c>
      <c r="R197" s="239">
        <f>IFERROR(ROUND(计划落实!R197/计划!R197,5),0)</f>
        <v/>
      </c>
      <c r="S197" s="239">
        <f>IFERROR(ROUND(计划落实!S197/计划!S197,5),0)</f>
        <v/>
      </c>
      <c r="T197" s="239">
        <f>IFERROR(ROUND(计划落实!T197/计划!T197,5),0)</f>
        <v/>
      </c>
      <c r="U197" s="239">
        <f>IFERROR(ROUND(计划落实!U197/计划!U197,5),0)</f>
        <v/>
      </c>
      <c r="V197" s="239">
        <f>IFERROR(ROUND(计划落实!V197/计划!V197,5),0)</f>
        <v/>
      </c>
      <c r="W197" s="239">
        <f>IFERROR(ROUND(计划落实!W197/计划!W197,5),0)</f>
        <v/>
      </c>
      <c r="X197" s="239">
        <f>IFERROR(ROUND(计划落实!X197/计划!X197,5),0)</f>
        <v/>
      </c>
      <c r="Y197" s="239">
        <f>IFERROR(ROUND(计划落实!Y197/计划!Y197,5),0)</f>
        <v/>
      </c>
      <c r="Z197" s="239">
        <f>IFERROR(ROUND(计划落实!Z197/计划!Z197,5),0)</f>
        <v/>
      </c>
      <c r="AA197" s="239">
        <f>IFERROR(ROUND(计划落实!AA197/计划!AA197,5),0)</f>
        <v/>
      </c>
      <c r="AB197" s="239">
        <f>IFERROR(ROUND(计划落实!AB197/计划!AB197,5),0)</f>
        <v/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31" t="inlineStr">
        <is>
          <t>SKU-90D85FFD</t>
        </is>
      </c>
      <c r="C198" s="231" t="inlineStr">
        <is>
          <t>是</t>
        </is>
      </c>
      <c r="D198" s="231" t="n">
        <v>10</v>
      </c>
      <c r="E198" s="231" t="inlineStr"/>
      <c r="F198" s="231" t="inlineStr"/>
      <c r="G198" s="231" t="inlineStr"/>
      <c r="H198" s="231" t="inlineStr"/>
      <c r="I198" s="231" t="inlineStr"/>
      <c r="J198" s="27" t="inlineStr"/>
      <c r="K198" s="27" t="inlineStr"/>
      <c r="L198" s="231" t="n">
        <v>100</v>
      </c>
      <c r="M198" s="44" t="inlineStr">
        <is>
          <t>Product-8495CF82</t>
        </is>
      </c>
      <c r="N198" s="231" t="n">
        <v>3</v>
      </c>
      <c r="O198" s="236">
        <f>IFERROR(ROUND(计划落实!O198/计划!O198,5),0)</f>
        <v/>
      </c>
      <c r="P198" s="237">
        <f>IFERROR(ROUND(计划落实!P198/计划!P198,5),0)</f>
        <v/>
      </c>
      <c r="Q198" s="237">
        <f>IFERROR(ROUND(计划落实!Q198/计划!Q198,5),0)</f>
        <v/>
      </c>
      <c r="R198" s="237">
        <f>IFERROR(ROUND(计划落实!R198/计划!R198,5),0)</f>
        <v/>
      </c>
      <c r="S198" s="237">
        <f>IFERROR(ROUND(计划落实!S198/计划!S198,5),0)</f>
        <v/>
      </c>
      <c r="T198" s="237">
        <f>IFERROR(ROUND(计划落实!T198/计划!T198,5),0)</f>
        <v/>
      </c>
      <c r="U198" s="237">
        <f>IFERROR(ROUND(计划落实!U198/计划!U198,5),0)</f>
        <v/>
      </c>
      <c r="V198" s="237">
        <f>IFERROR(ROUND(计划落实!V198/计划!V198,5),0)</f>
        <v/>
      </c>
      <c r="W198" s="237">
        <f>IFERROR(ROUND(计划落实!W198/计划!W198,5),0)</f>
        <v/>
      </c>
      <c r="X198" s="237">
        <f>IFERROR(ROUND(计划落实!X198/计划!X198,5),0)</f>
        <v/>
      </c>
      <c r="Y198" s="237">
        <f>IFERROR(ROUND(计划落实!Y198/计划!Y198,5),0)</f>
        <v/>
      </c>
      <c r="Z198" s="237">
        <f>IFERROR(ROUND(计划落实!Z198/计划!Z198,5),0)</f>
        <v/>
      </c>
      <c r="AA198" s="237">
        <f>IFERROR(ROUND(计划落实!AA198/计划!AA198,5),0)</f>
        <v/>
      </c>
      <c r="AB198" s="237">
        <f>IFERROR(ROUND(计划落实!AB198/计划!AB198,5),0)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4" t="n"/>
      <c r="B199" s="231" t="inlineStr">
        <is>
          <t>SKU-0CA1EAE0</t>
        </is>
      </c>
      <c r="C199" s="231" t="inlineStr">
        <is>
          <t>是</t>
        </is>
      </c>
      <c r="D199" s="231" t="n">
        <v>10</v>
      </c>
      <c r="E199" s="231" t="inlineStr"/>
      <c r="F199" s="231" t="inlineStr"/>
      <c r="G199" s="231" t="inlineStr"/>
      <c r="H199" s="231" t="inlineStr"/>
      <c r="I199" s="231" t="inlineStr"/>
      <c r="J199" s="27" t="inlineStr"/>
      <c r="K199" s="27" t="inlineStr"/>
      <c r="L199" s="231" t="n">
        <v>100</v>
      </c>
      <c r="M199" s="19" t="inlineStr">
        <is>
          <t>Product-3E742E78</t>
        </is>
      </c>
      <c r="N199" s="231" t="n">
        <v>3</v>
      </c>
      <c r="O199" s="236">
        <f>IFERROR(ROUND(计划落实!O199/计划!O199,5),0)</f>
        <v/>
      </c>
      <c r="P199" s="237">
        <f>IFERROR(ROUND(计划落实!P199/计划!P199,5),0)</f>
        <v/>
      </c>
      <c r="Q199" s="237">
        <f>IFERROR(ROUND(计划落实!Q199/计划!Q199,5),0)</f>
        <v/>
      </c>
      <c r="R199" s="237">
        <f>IFERROR(ROUND(计划落实!R199/计划!R199,5),0)</f>
        <v/>
      </c>
      <c r="S199" s="237">
        <f>IFERROR(ROUND(计划落实!S199/计划!S199,5),0)</f>
        <v/>
      </c>
      <c r="T199" s="237">
        <f>IFERROR(ROUND(计划落实!T199/计划!T199,5),0)</f>
        <v/>
      </c>
      <c r="U199" s="237">
        <f>IFERROR(ROUND(计划落实!U199/计划!U199,5),0)</f>
        <v/>
      </c>
      <c r="V199" s="237">
        <f>IFERROR(ROUND(计划落实!V199/计划!V199,5),0)</f>
        <v/>
      </c>
      <c r="W199" s="237">
        <f>IFERROR(ROUND(计划落实!W199/计划!W199,5),0)</f>
        <v/>
      </c>
      <c r="X199" s="237">
        <f>IFERROR(ROUND(计划落实!X199/计划!X199,5),0)</f>
        <v/>
      </c>
      <c r="Y199" s="237">
        <f>IFERROR(ROUND(计划落实!Y199/计划!Y199,5),0)</f>
        <v/>
      </c>
      <c r="Z199" s="237">
        <f>IFERROR(ROUND(计划落实!Z199/计划!Z199,5),0)</f>
        <v/>
      </c>
      <c r="AA199" s="237">
        <f>IFERROR(ROUND(计划落实!AA199/计划!AA199,5),0)</f>
        <v/>
      </c>
      <c r="AB199" s="237">
        <f>IFERROR(ROUND(计划落实!AB199/计划!AB199,5),0)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4" t="n"/>
      <c r="B200" s="231" t="inlineStr">
        <is>
          <t>SKU-1A13518F</t>
        </is>
      </c>
      <c r="C200" s="231" t="inlineStr">
        <is>
          <t>是</t>
        </is>
      </c>
      <c r="D200" s="231" t="n">
        <v>8</v>
      </c>
      <c r="E200" s="231" t="inlineStr"/>
      <c r="F200" s="231" t="inlineStr">
        <is>
          <t>是</t>
        </is>
      </c>
      <c r="G200" s="231" t="inlineStr"/>
      <c r="H200" s="231" t="inlineStr"/>
      <c r="I200" s="231" t="inlineStr">
        <is>
          <t>是</t>
        </is>
      </c>
      <c r="J200" s="27" t="inlineStr"/>
      <c r="K200" s="27" t="inlineStr"/>
      <c r="L200" s="231" t="n">
        <v>100</v>
      </c>
      <c r="M200" s="19" t="inlineStr">
        <is>
          <t>Product-8FB93E92</t>
        </is>
      </c>
      <c r="N200" s="231" t="n">
        <v>1</v>
      </c>
      <c r="O200" s="236">
        <f>IFERROR(ROUND(计划落实!O200/计划!O200,5),0)</f>
        <v/>
      </c>
      <c r="P200" s="237">
        <f>IFERROR(ROUND(计划落实!P200/计划!P200,5),0)</f>
        <v/>
      </c>
      <c r="Q200" s="237">
        <f>IFERROR(ROUND(计划落实!Q200/计划!Q200,5),0)</f>
        <v/>
      </c>
      <c r="R200" s="237">
        <f>IFERROR(ROUND(计划落实!R200/计划!R200,5),0)</f>
        <v/>
      </c>
      <c r="S200" s="237">
        <f>IFERROR(ROUND(计划落实!S200/计划!S200,5),0)</f>
        <v/>
      </c>
      <c r="T200" s="237">
        <f>IFERROR(ROUND(计划落实!T200/计划!T200,5),0)</f>
        <v/>
      </c>
      <c r="U200" s="237">
        <f>IFERROR(ROUND(计划落实!U200/计划!U200,5),0)</f>
        <v/>
      </c>
      <c r="V200" s="237">
        <f>IFERROR(ROUND(计划落实!V200/计划!V200,5),0)</f>
        <v/>
      </c>
      <c r="W200" s="237">
        <f>IFERROR(ROUND(计划落实!W200/计划!W200,5),0)</f>
        <v/>
      </c>
      <c r="X200" s="237">
        <f>IFERROR(ROUND(计划落实!X200/计划!X200,5),0)</f>
        <v/>
      </c>
      <c r="Y200" s="237">
        <f>IFERROR(ROUND(计划落实!Y200/计划!Y200,5),0)</f>
        <v/>
      </c>
      <c r="Z200" s="237">
        <f>IFERROR(ROUND(计划落实!Z200/计划!Z200,5),0)</f>
        <v/>
      </c>
      <c r="AA200" s="237">
        <f>IFERROR(ROUND(计划落实!AA200/计划!AA200,5),0)</f>
        <v/>
      </c>
      <c r="AB200" s="237">
        <f>IFERROR(ROUND(计划落实!AB200/计划!AB200,5),0)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4" t="n"/>
      <c r="B201" s="231" t="inlineStr">
        <is>
          <t>SKU-ED5BD0B6</t>
        </is>
      </c>
      <c r="C201" s="231" t="inlineStr">
        <is>
          <t>是</t>
        </is>
      </c>
      <c r="D201" s="231" t="n">
        <v>11</v>
      </c>
      <c r="E201" s="231" t="inlineStr"/>
      <c r="F201" s="231" t="inlineStr"/>
      <c r="G201" s="231" t="inlineStr"/>
      <c r="H201" s="231" t="inlineStr"/>
      <c r="I201" s="231" t="inlineStr"/>
      <c r="J201" s="27" t="inlineStr">
        <is>
          <t>共</t>
        </is>
      </c>
      <c r="K201" s="27" t="inlineStr"/>
      <c r="L201" s="231" t="n">
        <v>100</v>
      </c>
      <c r="M201" s="19" t="inlineStr">
        <is>
          <t>Product-37500256</t>
        </is>
      </c>
      <c r="N201" s="231" t="n">
        <v>1</v>
      </c>
      <c r="O201" s="236">
        <f>IFERROR(ROUND(计划落实!O201/计划!O201,5),0)</f>
        <v/>
      </c>
      <c r="P201" s="237">
        <f>IFERROR(ROUND(计划落实!P201/计划!P201,5),0)</f>
        <v/>
      </c>
      <c r="Q201" s="237">
        <f>IFERROR(ROUND(计划落实!Q201/计划!Q201,5),0)</f>
        <v/>
      </c>
      <c r="R201" s="237">
        <f>IFERROR(ROUND(计划落实!R201/计划!R201,5),0)</f>
        <v/>
      </c>
      <c r="S201" s="237">
        <f>IFERROR(ROUND(计划落实!S201/计划!S201,5),0)</f>
        <v/>
      </c>
      <c r="T201" s="237">
        <f>IFERROR(ROUND(计划落实!T201/计划!T201,5),0)</f>
        <v/>
      </c>
      <c r="U201" s="237">
        <f>IFERROR(ROUND(计划落实!U201/计划!U201,5),0)</f>
        <v/>
      </c>
      <c r="V201" s="237">
        <f>IFERROR(ROUND(计划落实!V201/计划!V201,5),0)</f>
        <v/>
      </c>
      <c r="W201" s="237">
        <f>IFERROR(ROUND(计划落实!W201/计划!W201,5),0)</f>
        <v/>
      </c>
      <c r="X201" s="237">
        <f>IFERROR(ROUND(计划落实!X201/计划!X201,5),0)</f>
        <v/>
      </c>
      <c r="Y201" s="237">
        <f>IFERROR(ROUND(计划落实!Y201/计划!Y201,5),0)</f>
        <v/>
      </c>
      <c r="Z201" s="237">
        <f>IFERROR(ROUND(计划落实!Z201/计划!Z201,5),0)</f>
        <v/>
      </c>
      <c r="AA201" s="237">
        <f>IFERROR(ROUND(计划落实!AA201/计划!AA201,5),0)</f>
        <v/>
      </c>
      <c r="AB201" s="237">
        <f>IFERROR(ROUND(计划落实!AB201/计划!AB201,5),0)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4" t="n"/>
      <c r="B202" s="231" t="inlineStr">
        <is>
          <t>SKU-CC550B39</t>
        </is>
      </c>
      <c r="C202" s="231" t="inlineStr">
        <is>
          <t>是</t>
        </is>
      </c>
      <c r="D202" s="231" t="n">
        <v>8</v>
      </c>
      <c r="E202" s="231" t="inlineStr">
        <is>
          <t>是</t>
        </is>
      </c>
      <c r="F202" s="231" t="inlineStr"/>
      <c r="G202" s="231" t="inlineStr"/>
      <c r="H202" s="231" t="inlineStr"/>
      <c r="I202" s="231" t="inlineStr">
        <is>
          <t>是</t>
        </is>
      </c>
      <c r="J202" s="27" t="inlineStr"/>
      <c r="K202" s="27" t="inlineStr"/>
      <c r="L202" s="231" t="n">
        <v>100</v>
      </c>
      <c r="M202" s="19" t="inlineStr">
        <is>
          <t>Product-A79881AA</t>
        </is>
      </c>
      <c r="N202" s="231" t="n">
        <v>2</v>
      </c>
      <c r="O202" s="236">
        <f>IFERROR(ROUND(计划落实!O202/计划!O202,5),0)</f>
        <v/>
      </c>
      <c r="P202" s="237">
        <f>IFERROR(ROUND(计划落实!P202/计划!P202,5),0)</f>
        <v/>
      </c>
      <c r="Q202" s="237">
        <f>IFERROR(ROUND(计划落实!Q202/计划!Q202,5),0)</f>
        <v/>
      </c>
      <c r="R202" s="237">
        <f>IFERROR(ROUND(计划落实!R202/计划!R202,5),0)</f>
        <v/>
      </c>
      <c r="S202" s="237">
        <f>IFERROR(ROUND(计划落实!S202/计划!S202,5),0)</f>
        <v/>
      </c>
      <c r="T202" s="237">
        <f>IFERROR(ROUND(计划落实!T202/计划!T202,5),0)</f>
        <v/>
      </c>
      <c r="U202" s="237">
        <f>IFERROR(ROUND(计划落实!U202/计划!U202,5),0)</f>
        <v/>
      </c>
      <c r="V202" s="237">
        <f>IFERROR(ROUND(计划落实!V202/计划!V202,5),0)</f>
        <v/>
      </c>
      <c r="W202" s="237">
        <f>IFERROR(ROUND(计划落实!W202/计划!W202,5),0)</f>
        <v/>
      </c>
      <c r="X202" s="237">
        <f>IFERROR(ROUND(计划落实!X202/计划!X202,5),0)</f>
        <v/>
      </c>
      <c r="Y202" s="237">
        <f>IFERROR(ROUND(计划落实!Y202/计划!Y202,5),0)</f>
        <v/>
      </c>
      <c r="Z202" s="237">
        <f>IFERROR(ROUND(计划落实!Z202/计划!Z202,5),0)</f>
        <v/>
      </c>
      <c r="AA202" s="237">
        <f>IFERROR(ROUND(计划落实!AA202/计划!AA202,5),0)</f>
        <v/>
      </c>
      <c r="AB202" s="237">
        <f>IFERROR(ROUND(计划落实!AB202/计划!AB202,5),0)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4" t="n"/>
      <c r="B203" s="231" t="inlineStr">
        <is>
          <t>SKU-B8E6833E</t>
        </is>
      </c>
      <c r="C203" s="231" t="inlineStr">
        <is>
          <t>是</t>
        </is>
      </c>
      <c r="D203" s="231" t="n">
        <v>7</v>
      </c>
      <c r="E203" s="231" t="inlineStr">
        <is>
          <t>是</t>
        </is>
      </c>
      <c r="F203" s="231" t="inlineStr"/>
      <c r="G203" s="231" t="inlineStr"/>
      <c r="H203" s="231" t="inlineStr"/>
      <c r="I203" s="231" t="inlineStr">
        <is>
          <t>是</t>
        </is>
      </c>
      <c r="J203" s="27" t="inlineStr">
        <is>
          <t>共</t>
        </is>
      </c>
      <c r="K203" s="27" t="inlineStr"/>
      <c r="L203" s="231" t="n">
        <v>100</v>
      </c>
      <c r="M203" s="19" t="inlineStr">
        <is>
          <t>Product-54830959</t>
        </is>
      </c>
      <c r="N203" s="231" t="n">
        <v>1</v>
      </c>
      <c r="O203" s="236">
        <f>IFERROR(ROUND(计划落实!O203/计划!O203,5),0)</f>
        <v/>
      </c>
      <c r="P203" s="237">
        <f>IFERROR(ROUND(计划落实!P203/计划!P203,5),0)</f>
        <v/>
      </c>
      <c r="Q203" s="237">
        <f>IFERROR(ROUND(计划落实!Q203/计划!Q203,5),0)</f>
        <v/>
      </c>
      <c r="R203" s="237">
        <f>IFERROR(ROUND(计划落实!R203/计划!R203,5),0)</f>
        <v/>
      </c>
      <c r="S203" s="237">
        <f>IFERROR(ROUND(计划落实!S203/计划!S203,5),0)</f>
        <v/>
      </c>
      <c r="T203" s="237">
        <f>IFERROR(ROUND(计划落实!T203/计划!T203,5),0)</f>
        <v/>
      </c>
      <c r="U203" s="237">
        <f>IFERROR(ROUND(计划落实!U203/计划!U203,5),0)</f>
        <v/>
      </c>
      <c r="V203" s="237">
        <f>IFERROR(ROUND(计划落实!V203/计划!V203,5),0)</f>
        <v/>
      </c>
      <c r="W203" s="237">
        <f>IFERROR(ROUND(计划落实!W203/计划!W203,5),0)</f>
        <v/>
      </c>
      <c r="X203" s="237">
        <f>IFERROR(ROUND(计划落实!X203/计划!X203,5),0)</f>
        <v/>
      </c>
      <c r="Y203" s="237">
        <f>IFERROR(ROUND(计划落实!Y203/计划!Y203,5),0)</f>
        <v/>
      </c>
      <c r="Z203" s="237">
        <f>IFERROR(ROUND(计划落实!Z203/计划!Z203,5),0)</f>
        <v/>
      </c>
      <c r="AA203" s="237">
        <f>IFERROR(ROUND(计划落实!AA203/计划!AA203,5),0)</f>
        <v/>
      </c>
      <c r="AB203" s="237">
        <f>IFERROR(ROUND(计划落实!AB203/计划!AB203,5),0)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4" t="n"/>
      <c r="B204" s="231" t="inlineStr">
        <is>
          <t>SKU-BDBE5AF3</t>
        </is>
      </c>
      <c r="C204" s="231" t="inlineStr">
        <is>
          <t>是</t>
        </is>
      </c>
      <c r="D204" s="231" t="n">
        <v>10</v>
      </c>
      <c r="E204" s="231" t="inlineStr"/>
      <c r="F204" s="231" t="inlineStr"/>
      <c r="G204" s="231" t="inlineStr"/>
      <c r="H204" s="231" t="inlineStr"/>
      <c r="I204" s="231" t="inlineStr"/>
      <c r="J204" s="27" t="inlineStr">
        <is>
          <t>共</t>
        </is>
      </c>
      <c r="K204" s="27" t="inlineStr"/>
      <c r="L204" s="231" t="n">
        <v>100</v>
      </c>
      <c r="M204" s="19" t="inlineStr">
        <is>
          <t>Product-D0D1552E</t>
        </is>
      </c>
      <c r="N204" s="231" t="n">
        <v>1</v>
      </c>
      <c r="O204" s="236">
        <f>IFERROR(ROUND(计划落实!O204/计划!O204,5),0)</f>
        <v/>
      </c>
      <c r="P204" s="237">
        <f>IFERROR(ROUND(计划落实!P204/计划!P204,5),0)</f>
        <v/>
      </c>
      <c r="Q204" s="237">
        <f>IFERROR(ROUND(计划落实!Q204/计划!Q204,5),0)</f>
        <v/>
      </c>
      <c r="R204" s="237">
        <f>IFERROR(ROUND(计划落实!R204/计划!R204,5),0)</f>
        <v/>
      </c>
      <c r="S204" s="237">
        <f>IFERROR(ROUND(计划落实!S204/计划!S204,5),0)</f>
        <v/>
      </c>
      <c r="T204" s="237">
        <f>IFERROR(ROUND(计划落实!T204/计划!T204,5),0)</f>
        <v/>
      </c>
      <c r="U204" s="237">
        <f>IFERROR(ROUND(计划落实!U204/计划!U204,5),0)</f>
        <v/>
      </c>
      <c r="V204" s="237">
        <f>IFERROR(ROUND(计划落实!V204/计划!V204,5),0)</f>
        <v/>
      </c>
      <c r="W204" s="237">
        <f>IFERROR(ROUND(计划落实!W204/计划!W204,5),0)</f>
        <v/>
      </c>
      <c r="X204" s="237">
        <f>IFERROR(ROUND(计划落实!X204/计划!X204,5),0)</f>
        <v/>
      </c>
      <c r="Y204" s="237">
        <f>IFERROR(ROUND(计划落实!Y204/计划!Y204,5),0)</f>
        <v/>
      </c>
      <c r="Z204" s="237">
        <f>IFERROR(ROUND(计划落实!Z204/计划!Z204,5),0)</f>
        <v/>
      </c>
      <c r="AA204" s="237">
        <f>IFERROR(ROUND(计划落实!AA204/计划!AA204,5),0)</f>
        <v/>
      </c>
      <c r="AB204" s="237">
        <f>IFERROR(ROUND(计划落实!AB204/计划!AB204,5),0)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4" t="n"/>
      <c r="B205" s="231" t="inlineStr">
        <is>
          <t>SKU-79826401</t>
        </is>
      </c>
      <c r="C205" s="231" t="inlineStr">
        <is>
          <t>是</t>
        </is>
      </c>
      <c r="D205" s="231" t="n">
        <v>8</v>
      </c>
      <c r="E205" s="231" t="inlineStr"/>
      <c r="F205" s="231" t="inlineStr"/>
      <c r="G205" s="231" t="inlineStr"/>
      <c r="H205" s="231" t="inlineStr"/>
      <c r="I205" s="231" t="inlineStr"/>
      <c r="J205" s="27" t="inlineStr"/>
      <c r="K205" s="27" t="inlineStr"/>
      <c r="L205" s="231" t="n">
        <v>100</v>
      </c>
      <c r="M205" s="19" t="inlineStr">
        <is>
          <t>Product-452F733D</t>
        </is>
      </c>
      <c r="N205" s="231" t="n">
        <v>3</v>
      </c>
      <c r="O205" s="236">
        <f>IFERROR(ROUND(计划落实!O205/计划!O205,5),0)</f>
        <v/>
      </c>
      <c r="P205" s="237">
        <f>IFERROR(ROUND(计划落实!P205/计划!P205,5),0)</f>
        <v/>
      </c>
      <c r="Q205" s="237">
        <f>IFERROR(ROUND(计划落实!Q205/计划!Q205,5),0)</f>
        <v/>
      </c>
      <c r="R205" s="237">
        <f>IFERROR(ROUND(计划落实!R205/计划!R205,5),0)</f>
        <v/>
      </c>
      <c r="S205" s="237">
        <f>IFERROR(ROUND(计划落实!S205/计划!S205,5),0)</f>
        <v/>
      </c>
      <c r="T205" s="237">
        <f>IFERROR(ROUND(计划落实!T205/计划!T205,5),0)</f>
        <v/>
      </c>
      <c r="U205" s="237">
        <f>IFERROR(ROUND(计划落实!U205/计划!U205,5),0)</f>
        <v/>
      </c>
      <c r="V205" s="237">
        <f>IFERROR(ROUND(计划落实!V205/计划!V205,5),0)</f>
        <v/>
      </c>
      <c r="W205" s="237">
        <f>IFERROR(ROUND(计划落实!W205/计划!W205,5),0)</f>
        <v/>
      </c>
      <c r="X205" s="237">
        <f>IFERROR(ROUND(计划落实!X205/计划!X205,5),0)</f>
        <v/>
      </c>
      <c r="Y205" s="237">
        <f>IFERROR(ROUND(计划落实!Y205/计划!Y205,5),0)</f>
        <v/>
      </c>
      <c r="Z205" s="237">
        <f>IFERROR(ROUND(计划落实!Z205/计划!Z205,5),0)</f>
        <v/>
      </c>
      <c r="AA205" s="237">
        <f>IFERROR(ROUND(计划落实!AA205/计划!AA205,5),0)</f>
        <v/>
      </c>
      <c r="AB205" s="237">
        <f>IFERROR(ROUND(计划落实!AB205/计划!AB205,5),0)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4" t="n"/>
      <c r="B206" s="231" t="inlineStr">
        <is>
          <t>SKU-DB6C02A0</t>
        </is>
      </c>
      <c r="C206" s="231" t="inlineStr">
        <is>
          <t>是</t>
        </is>
      </c>
      <c r="D206" s="231" t="n">
        <v>10</v>
      </c>
      <c r="E206" s="231" t="inlineStr"/>
      <c r="F206" s="231" t="inlineStr"/>
      <c r="G206" s="231" t="inlineStr"/>
      <c r="H206" s="231" t="inlineStr"/>
      <c r="I206" s="231" t="inlineStr"/>
      <c r="J206" s="27" t="inlineStr"/>
      <c r="K206" s="27" t="inlineStr"/>
      <c r="L206" s="231" t="n">
        <v>100</v>
      </c>
      <c r="M206" s="19" t="inlineStr">
        <is>
          <t>Product-18DC03C1</t>
        </is>
      </c>
      <c r="N206" s="231" t="n">
        <v>2</v>
      </c>
      <c r="O206" s="236">
        <f>IFERROR(ROUND(计划落实!O206/计划!O206,5),0)</f>
        <v/>
      </c>
      <c r="P206" s="237">
        <f>IFERROR(ROUND(计划落实!P206/计划!P206,5),0)</f>
        <v/>
      </c>
      <c r="Q206" s="237">
        <f>IFERROR(ROUND(计划落实!Q206/计划!Q206,5),0)</f>
        <v/>
      </c>
      <c r="R206" s="237">
        <f>IFERROR(ROUND(计划落实!R206/计划!R206,5),0)</f>
        <v/>
      </c>
      <c r="S206" s="237">
        <f>IFERROR(ROUND(计划落实!S206/计划!S206,5),0)</f>
        <v/>
      </c>
      <c r="T206" s="237">
        <f>IFERROR(ROUND(计划落实!T206/计划!T206,5),0)</f>
        <v/>
      </c>
      <c r="U206" s="237">
        <f>IFERROR(ROUND(计划落实!U206/计划!U206,5),0)</f>
        <v/>
      </c>
      <c r="V206" s="237">
        <f>IFERROR(ROUND(计划落实!V206/计划!V206,5),0)</f>
        <v/>
      </c>
      <c r="W206" s="237">
        <f>IFERROR(ROUND(计划落实!W206/计划!W206,5),0)</f>
        <v/>
      </c>
      <c r="X206" s="237">
        <f>IFERROR(ROUND(计划落实!X206/计划!X206,5),0)</f>
        <v/>
      </c>
      <c r="Y206" s="237">
        <f>IFERROR(ROUND(计划落实!Y206/计划!Y206,5),0)</f>
        <v/>
      </c>
      <c r="Z206" s="237">
        <f>IFERROR(ROUND(计划落实!Z206/计划!Z206,5),0)</f>
        <v/>
      </c>
      <c r="AA206" s="237">
        <f>IFERROR(ROUND(计划落实!AA206/计划!AA206,5),0)</f>
        <v/>
      </c>
      <c r="AB206" s="237">
        <f>IFERROR(ROUND(计划落实!AB206/计划!AB206,5),0)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4" t="n"/>
      <c r="B207" s="231" t="inlineStr">
        <is>
          <t>SKU-E14497CA</t>
        </is>
      </c>
      <c r="C207" s="231" t="inlineStr">
        <is>
          <t>是</t>
        </is>
      </c>
      <c r="D207" s="231" t="n">
        <v>11</v>
      </c>
      <c r="E207" s="231" t="inlineStr"/>
      <c r="F207" s="231" t="inlineStr"/>
      <c r="G207" s="231" t="inlineStr"/>
      <c r="H207" s="231" t="inlineStr"/>
      <c r="I207" s="231" t="inlineStr"/>
      <c r="J207" s="27" t="inlineStr">
        <is>
          <t>共</t>
        </is>
      </c>
      <c r="K207" s="27" t="inlineStr"/>
      <c r="L207" s="231" t="n">
        <v>100</v>
      </c>
      <c r="M207" s="19" t="inlineStr">
        <is>
          <t>Product-AC3C224F</t>
        </is>
      </c>
      <c r="N207" s="231" t="n">
        <v>1</v>
      </c>
      <c r="O207" s="236">
        <f>IFERROR(ROUND(计划落实!O207/计划!O207,5),0)</f>
        <v/>
      </c>
      <c r="P207" s="237">
        <f>IFERROR(ROUND(计划落实!P207/计划!P207,5),0)</f>
        <v/>
      </c>
      <c r="Q207" s="237">
        <f>IFERROR(ROUND(计划落实!Q207/计划!Q207,5),0)</f>
        <v/>
      </c>
      <c r="R207" s="237">
        <f>IFERROR(ROUND(计划落实!R207/计划!R207,5),0)</f>
        <v/>
      </c>
      <c r="S207" s="237">
        <f>IFERROR(ROUND(计划落实!S207/计划!S207,5),0)</f>
        <v/>
      </c>
      <c r="T207" s="237">
        <f>IFERROR(ROUND(计划落实!T207/计划!T207,5),0)</f>
        <v/>
      </c>
      <c r="U207" s="237">
        <f>IFERROR(ROUND(计划落实!U207/计划!U207,5),0)</f>
        <v/>
      </c>
      <c r="V207" s="237">
        <f>IFERROR(ROUND(计划落实!V207/计划!V207,5),0)</f>
        <v/>
      </c>
      <c r="W207" s="237">
        <f>IFERROR(ROUND(计划落实!W207/计划!W207,5),0)</f>
        <v/>
      </c>
      <c r="X207" s="237">
        <f>IFERROR(ROUND(计划落实!X207/计划!X207,5),0)</f>
        <v/>
      </c>
      <c r="Y207" s="237">
        <f>IFERROR(ROUND(计划落实!Y207/计划!Y207,5),0)</f>
        <v/>
      </c>
      <c r="Z207" s="237">
        <f>IFERROR(ROUND(计划落实!Z207/计划!Z207,5),0)</f>
        <v/>
      </c>
      <c r="AA207" s="237">
        <f>IFERROR(ROUND(计划落实!AA207/计划!AA207,5),0)</f>
        <v/>
      </c>
      <c r="AB207" s="237">
        <f>IFERROR(ROUND(计划落实!AB207/计划!AB207,5),0)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4" t="n"/>
      <c r="B208" s="231" t="inlineStr">
        <is>
          <t>SKU-6CCA830B</t>
        </is>
      </c>
      <c r="C208" s="231" t="inlineStr">
        <is>
          <t>是</t>
        </is>
      </c>
      <c r="D208" s="231" t="n">
        <v>10</v>
      </c>
      <c r="E208" s="231" t="inlineStr"/>
      <c r="F208" s="231" t="inlineStr"/>
      <c r="G208" s="231" t="inlineStr"/>
      <c r="H208" s="231" t="inlineStr"/>
      <c r="I208" s="231" t="inlineStr"/>
      <c r="J208" s="27" t="inlineStr"/>
      <c r="K208" s="27" t="inlineStr"/>
      <c r="L208" s="231" t="n">
        <v>100</v>
      </c>
      <c r="M208" s="44" t="inlineStr">
        <is>
          <t>Product-CA7C0C7F</t>
        </is>
      </c>
      <c r="N208" s="231" t="n">
        <v>1</v>
      </c>
      <c r="O208" s="236">
        <f>IFERROR(ROUND(计划落实!O208/计划!O208,5),0)</f>
        <v/>
      </c>
      <c r="P208" s="237">
        <f>IFERROR(ROUND(计划落实!P208/计划!P208,5),0)</f>
        <v/>
      </c>
      <c r="Q208" s="237">
        <f>IFERROR(ROUND(计划落实!Q208/计划!Q208,5),0)</f>
        <v/>
      </c>
      <c r="R208" s="237">
        <f>IFERROR(ROUND(计划落实!R208/计划!R208,5),0)</f>
        <v/>
      </c>
      <c r="S208" s="237">
        <f>IFERROR(ROUND(计划落实!S208/计划!S208,5),0)</f>
        <v/>
      </c>
      <c r="T208" s="237">
        <f>IFERROR(ROUND(计划落实!T208/计划!T208,5),0)</f>
        <v/>
      </c>
      <c r="U208" s="237">
        <f>IFERROR(ROUND(计划落实!U208/计划!U208,5),0)</f>
        <v/>
      </c>
      <c r="V208" s="237">
        <f>IFERROR(ROUND(计划落实!V208/计划!V208,5),0)</f>
        <v/>
      </c>
      <c r="W208" s="237">
        <f>IFERROR(ROUND(计划落实!W208/计划!W208,5),0)</f>
        <v/>
      </c>
      <c r="X208" s="237">
        <f>IFERROR(ROUND(计划落实!X208/计划!X208,5),0)</f>
        <v/>
      </c>
      <c r="Y208" s="237">
        <f>IFERROR(ROUND(计划落实!Y208/计划!Y208,5),0)</f>
        <v/>
      </c>
      <c r="Z208" s="237">
        <f>IFERROR(ROUND(计划落实!Z208/计划!Z208,5),0)</f>
        <v/>
      </c>
      <c r="AA208" s="237">
        <f>IFERROR(ROUND(计划落实!AA208/计划!AA208,5),0)</f>
        <v/>
      </c>
      <c r="AB208" s="237">
        <f>IFERROR(ROUND(计划落实!AB208/计划!AB208,5),0)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4" t="n"/>
      <c r="B209" s="231" t="inlineStr">
        <is>
          <t>SKU-E3215199</t>
        </is>
      </c>
      <c r="C209" s="231" t="inlineStr">
        <is>
          <t>是</t>
        </is>
      </c>
      <c r="D209" s="231" t="n">
        <v>8</v>
      </c>
      <c r="E209" s="231" t="inlineStr">
        <is>
          <t>是</t>
        </is>
      </c>
      <c r="F209" s="231" t="inlineStr"/>
      <c r="G209" s="231" t="inlineStr"/>
      <c r="H209" s="231" t="inlineStr">
        <is>
          <t>是</t>
        </is>
      </c>
      <c r="I209" s="231" t="inlineStr">
        <is>
          <t>是</t>
        </is>
      </c>
      <c r="J209" s="27" t="inlineStr"/>
      <c r="K209" s="27" t="inlineStr"/>
      <c r="L209" s="231" t="n">
        <v>100</v>
      </c>
      <c r="M209" s="19" t="inlineStr">
        <is>
          <t>Product-785E134D</t>
        </is>
      </c>
      <c r="N209" s="231" t="n">
        <v>1</v>
      </c>
      <c r="O209" s="236">
        <f>IFERROR(ROUND(计划落实!O209/计划!O209,5),0)</f>
        <v/>
      </c>
      <c r="P209" s="237">
        <f>IFERROR(ROUND(计划落实!P209/计划!P209,5),0)</f>
        <v/>
      </c>
      <c r="Q209" s="237">
        <f>IFERROR(ROUND(计划落实!Q209/计划!Q209,5),0)</f>
        <v/>
      </c>
      <c r="R209" s="237">
        <f>IFERROR(ROUND(计划落实!R209/计划!R209,5),0)</f>
        <v/>
      </c>
      <c r="S209" s="237">
        <f>IFERROR(ROUND(计划落实!S209/计划!S209,5),0)</f>
        <v/>
      </c>
      <c r="T209" s="237">
        <f>IFERROR(ROUND(计划落实!T209/计划!T209,5),0)</f>
        <v/>
      </c>
      <c r="U209" s="237">
        <f>IFERROR(ROUND(计划落实!U209/计划!U209,5),0)</f>
        <v/>
      </c>
      <c r="V209" s="237">
        <f>IFERROR(ROUND(计划落实!V209/计划!V209,5),0)</f>
        <v/>
      </c>
      <c r="W209" s="237">
        <f>IFERROR(ROUND(计划落实!W209/计划!W209,5),0)</f>
        <v/>
      </c>
      <c r="X209" s="237">
        <f>IFERROR(ROUND(计划落实!X209/计划!X209,5),0)</f>
        <v/>
      </c>
      <c r="Y209" s="237">
        <f>IFERROR(ROUND(计划落实!Y209/计划!Y209,5),0)</f>
        <v/>
      </c>
      <c r="Z209" s="237">
        <f>IFERROR(ROUND(计划落实!Z209/计划!Z209,5),0)</f>
        <v/>
      </c>
      <c r="AA209" s="237">
        <f>IFERROR(ROUND(计划落实!AA209/计划!AA209,5),0)</f>
        <v/>
      </c>
      <c r="AB209" s="237">
        <f>IFERROR(ROUND(计划落实!AB209/计划!AB209,5),0)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4" t="n"/>
      <c r="B210" s="231" t="inlineStr">
        <is>
          <t>SKU-68F79613</t>
        </is>
      </c>
      <c r="C210" s="231" t="inlineStr">
        <is>
          <t>是</t>
        </is>
      </c>
      <c r="D210" s="231" t="n">
        <v>10</v>
      </c>
      <c r="E210" s="231" t="inlineStr"/>
      <c r="F210" s="231" t="inlineStr">
        <is>
          <t>是</t>
        </is>
      </c>
      <c r="G210" s="231" t="inlineStr"/>
      <c r="H210" s="231" t="inlineStr"/>
      <c r="I210" s="231" t="inlineStr">
        <is>
          <t>是</t>
        </is>
      </c>
      <c r="J210" s="27" t="inlineStr">
        <is>
          <t>共</t>
        </is>
      </c>
      <c r="K210" s="27" t="inlineStr"/>
      <c r="L210" s="231" t="n">
        <v>100</v>
      </c>
      <c r="M210" s="19" t="inlineStr">
        <is>
          <t>Product-4107E6DB</t>
        </is>
      </c>
      <c r="N210" s="231" t="n">
        <v>1</v>
      </c>
      <c r="O210" s="236">
        <f>IFERROR(ROUND(计划落实!O210/计划!O210,5),0)</f>
        <v/>
      </c>
      <c r="P210" s="237">
        <f>IFERROR(ROUND(计划落实!P210/计划!P210,5),0)</f>
        <v/>
      </c>
      <c r="Q210" s="237">
        <f>IFERROR(ROUND(计划落实!Q210/计划!Q210,5),0)</f>
        <v/>
      </c>
      <c r="R210" s="237">
        <f>IFERROR(ROUND(计划落实!R210/计划!R210,5),0)</f>
        <v/>
      </c>
      <c r="S210" s="237">
        <f>IFERROR(ROUND(计划落实!S210/计划!S210,5),0)</f>
        <v/>
      </c>
      <c r="T210" s="237">
        <f>IFERROR(ROUND(计划落实!T210/计划!T210,5),0)</f>
        <v/>
      </c>
      <c r="U210" s="237">
        <f>IFERROR(ROUND(计划落实!U210/计划!U210,5),0)</f>
        <v/>
      </c>
      <c r="V210" s="237">
        <f>IFERROR(ROUND(计划落实!V210/计划!V210,5),0)</f>
        <v/>
      </c>
      <c r="W210" s="237">
        <f>IFERROR(ROUND(计划落实!W210/计划!W210,5),0)</f>
        <v/>
      </c>
      <c r="X210" s="237">
        <f>IFERROR(ROUND(计划落实!X210/计划!X210,5),0)</f>
        <v/>
      </c>
      <c r="Y210" s="237">
        <f>IFERROR(ROUND(计划落实!Y210/计划!Y210,5),0)</f>
        <v/>
      </c>
      <c r="Z210" s="237">
        <f>IFERROR(ROUND(计划落实!Z210/计划!Z210,5),0)</f>
        <v/>
      </c>
      <c r="AA210" s="237">
        <f>IFERROR(ROUND(计划落实!AA210/计划!AA210,5),0)</f>
        <v/>
      </c>
      <c r="AB210" s="237">
        <f>IFERROR(ROUND(计划落实!AB210/计划!AB210,5),0)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4" t="n"/>
      <c r="B211" s="231" t="inlineStr">
        <is>
          <t>SKU-6E0FD480</t>
        </is>
      </c>
      <c r="C211" s="231" t="inlineStr">
        <is>
          <t>是</t>
        </is>
      </c>
      <c r="D211" s="231" t="n">
        <v>10</v>
      </c>
      <c r="E211" s="231" t="inlineStr"/>
      <c r="F211" s="231" t="inlineStr"/>
      <c r="G211" s="231" t="inlineStr"/>
      <c r="H211" s="231" t="inlineStr"/>
      <c r="I211" s="231" t="inlineStr"/>
      <c r="J211" s="27" t="inlineStr"/>
      <c r="K211" s="27" t="inlineStr"/>
      <c r="L211" s="231" t="n">
        <v>100</v>
      </c>
      <c r="M211" s="43" t="inlineStr">
        <is>
          <t>Product-0D40CFCC</t>
        </is>
      </c>
      <c r="N211" s="231" t="n">
        <v>1</v>
      </c>
      <c r="O211" s="236">
        <f>IFERROR(ROUND(计划落实!O211/计划!O211,5),0)</f>
        <v/>
      </c>
      <c r="P211" s="237">
        <f>IFERROR(ROUND(计划落实!P211/计划!P211,5),0)</f>
        <v/>
      </c>
      <c r="Q211" s="237">
        <f>IFERROR(ROUND(计划落实!Q211/计划!Q211,5),0)</f>
        <v/>
      </c>
      <c r="R211" s="237">
        <f>IFERROR(ROUND(计划落实!R211/计划!R211,5),0)</f>
        <v/>
      </c>
      <c r="S211" s="237">
        <f>IFERROR(ROUND(计划落实!S211/计划!S211,5),0)</f>
        <v/>
      </c>
      <c r="T211" s="237">
        <f>IFERROR(ROUND(计划落实!T211/计划!T211,5),0)</f>
        <v/>
      </c>
      <c r="U211" s="237">
        <f>IFERROR(ROUND(计划落实!U211/计划!U211,5),0)</f>
        <v/>
      </c>
      <c r="V211" s="237">
        <f>IFERROR(ROUND(计划落实!V211/计划!V211,5),0)</f>
        <v/>
      </c>
      <c r="W211" s="237">
        <f>IFERROR(ROUND(计划落实!W211/计划!W211,5),0)</f>
        <v/>
      </c>
      <c r="X211" s="237">
        <f>IFERROR(ROUND(计划落实!X211/计划!X211,5),0)</f>
        <v/>
      </c>
      <c r="Y211" s="237">
        <f>IFERROR(ROUND(计划落实!Y211/计划!Y211,5),0)</f>
        <v/>
      </c>
      <c r="Z211" s="237">
        <f>IFERROR(ROUND(计划落实!Z211/计划!Z211,5),0)</f>
        <v/>
      </c>
      <c r="AA211" s="237">
        <f>IFERROR(ROUND(计划落实!AA211/计划!AA211,5),0)</f>
        <v/>
      </c>
      <c r="AB211" s="237">
        <f>IFERROR(ROUND(计划落实!AB211/计划!AB211,5),0)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4" t="n"/>
      <c r="B212" s="231" t="inlineStr">
        <is>
          <t>SKU-72F9B4C9</t>
        </is>
      </c>
      <c r="C212" s="231" t="inlineStr">
        <is>
          <t>是</t>
        </is>
      </c>
      <c r="D212" s="231" t="n">
        <v>5</v>
      </c>
      <c r="E212" s="231" t="inlineStr">
        <is>
          <t>是</t>
        </is>
      </c>
      <c r="F212" s="231" t="inlineStr"/>
      <c r="G212" s="231" t="inlineStr"/>
      <c r="H212" s="231" t="inlineStr"/>
      <c r="I212" s="231" t="inlineStr">
        <is>
          <t>是</t>
        </is>
      </c>
      <c r="J212" s="27" t="inlineStr"/>
      <c r="K212" s="27" t="inlineStr"/>
      <c r="L212" s="231" t="n">
        <v>100</v>
      </c>
      <c r="M212" s="45" t="inlineStr">
        <is>
          <t>Product-3E6ACFC9</t>
        </is>
      </c>
      <c r="N212" s="231" t="n">
        <v>1</v>
      </c>
      <c r="O212" s="236">
        <f>IFERROR(ROUND(计划落实!O212/计划!O212,5),0)</f>
        <v/>
      </c>
      <c r="P212" s="237">
        <f>IFERROR(ROUND(计划落实!P212/计划!P212,5),0)</f>
        <v/>
      </c>
      <c r="Q212" s="237">
        <f>IFERROR(ROUND(计划落实!Q212/计划!Q212,5),0)</f>
        <v/>
      </c>
      <c r="R212" s="237">
        <f>IFERROR(ROUND(计划落实!R212/计划!R212,5),0)</f>
        <v/>
      </c>
      <c r="S212" s="237">
        <f>IFERROR(ROUND(计划落实!S212/计划!S212,5),0)</f>
        <v/>
      </c>
      <c r="T212" s="237">
        <f>IFERROR(ROUND(计划落实!T212/计划!T212,5),0)</f>
        <v/>
      </c>
      <c r="U212" s="237">
        <f>IFERROR(ROUND(计划落实!U212/计划!U212,5),0)</f>
        <v/>
      </c>
      <c r="V212" s="237">
        <f>IFERROR(ROUND(计划落实!V212/计划!V212,5),0)</f>
        <v/>
      </c>
      <c r="W212" s="237">
        <f>IFERROR(ROUND(计划落实!W212/计划!W212,5),0)</f>
        <v/>
      </c>
      <c r="X212" s="237">
        <f>IFERROR(ROUND(计划落实!X212/计划!X212,5),0)</f>
        <v/>
      </c>
      <c r="Y212" s="237">
        <f>IFERROR(ROUND(计划落实!Y212/计划!Y212,5),0)</f>
        <v/>
      </c>
      <c r="Z212" s="237">
        <f>IFERROR(ROUND(计划落实!Z212/计划!Z212,5),0)</f>
        <v/>
      </c>
      <c r="AA212" s="237">
        <f>IFERROR(ROUND(计划落实!AA212/计划!AA212,5),0)</f>
        <v/>
      </c>
      <c r="AB212" s="237">
        <f>IFERROR(ROUND(计划落实!AB212/计划!AB212,5),0)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4" t="n"/>
      <c r="B213" s="231" t="inlineStr">
        <is>
          <t>SKU-1F2C7CE6</t>
        </is>
      </c>
      <c r="C213" s="231" t="inlineStr">
        <is>
          <t>是</t>
        </is>
      </c>
      <c r="D213" s="231" t="n">
        <v>5</v>
      </c>
      <c r="E213" s="231" t="inlineStr">
        <is>
          <t>是</t>
        </is>
      </c>
      <c r="F213" s="231" t="inlineStr"/>
      <c r="G213" s="231" t="inlineStr"/>
      <c r="H213" s="231" t="inlineStr"/>
      <c r="I213" s="231" t="inlineStr">
        <is>
          <t>是</t>
        </is>
      </c>
      <c r="J213" s="27" t="inlineStr"/>
      <c r="K213" s="27" t="inlineStr"/>
      <c r="L213" s="231" t="n">
        <v>100</v>
      </c>
      <c r="M213" s="45" t="inlineStr">
        <is>
          <t>Product-54D1E3E5</t>
        </is>
      </c>
      <c r="N213" s="231" t="n">
        <v>1</v>
      </c>
      <c r="O213" s="236">
        <f>IFERROR(ROUND(计划落实!O213/计划!O213,5),0)</f>
        <v/>
      </c>
      <c r="P213" s="237">
        <f>IFERROR(ROUND(计划落实!P213/计划!P213,5),0)</f>
        <v/>
      </c>
      <c r="Q213" s="237">
        <f>IFERROR(ROUND(计划落实!Q213/计划!Q213,5),0)</f>
        <v/>
      </c>
      <c r="R213" s="237">
        <f>IFERROR(ROUND(计划落实!R213/计划!R213,5),0)</f>
        <v/>
      </c>
      <c r="S213" s="237">
        <f>IFERROR(ROUND(计划落实!S213/计划!S213,5),0)</f>
        <v/>
      </c>
      <c r="T213" s="237">
        <f>IFERROR(ROUND(计划落实!T213/计划!T213,5),0)</f>
        <v/>
      </c>
      <c r="U213" s="237">
        <f>IFERROR(ROUND(计划落实!U213/计划!U213,5),0)</f>
        <v/>
      </c>
      <c r="V213" s="237">
        <f>IFERROR(ROUND(计划落实!V213/计划!V213,5),0)</f>
        <v/>
      </c>
      <c r="W213" s="237">
        <f>IFERROR(ROUND(计划落实!W213/计划!W213,5),0)</f>
        <v/>
      </c>
      <c r="X213" s="237">
        <f>IFERROR(ROUND(计划落实!X213/计划!X213,5),0)</f>
        <v/>
      </c>
      <c r="Y213" s="237">
        <f>IFERROR(ROUND(计划落实!Y213/计划!Y213,5),0)</f>
        <v/>
      </c>
      <c r="Z213" s="237">
        <f>IFERROR(ROUND(计划落实!Z213/计划!Z213,5),0)</f>
        <v/>
      </c>
      <c r="AA213" s="237">
        <f>IFERROR(ROUND(计划落实!AA213/计划!AA213,5),0)</f>
        <v/>
      </c>
      <c r="AB213" s="237">
        <f>IFERROR(ROUND(计划落实!AB213/计划!AB213,5),0)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4" t="n"/>
      <c r="B214" s="231" t="inlineStr">
        <is>
          <t>SKU-BA48AA06</t>
        </is>
      </c>
      <c r="C214" s="231" t="inlineStr">
        <is>
          <t>是</t>
        </is>
      </c>
      <c r="D214" s="231" t="n">
        <v>8</v>
      </c>
      <c r="E214" s="231" t="inlineStr"/>
      <c r="F214" s="231" t="inlineStr"/>
      <c r="G214" s="231" t="inlineStr"/>
      <c r="H214" s="231" t="inlineStr"/>
      <c r="I214" s="231" t="inlineStr"/>
      <c r="J214" s="27" t="inlineStr"/>
      <c r="K214" s="27" t="inlineStr"/>
      <c r="L214" s="231" t="n">
        <v>100</v>
      </c>
      <c r="M214" s="45" t="inlineStr">
        <is>
          <t>Product-51A3BAAC</t>
        </is>
      </c>
      <c r="N214" s="231" t="n">
        <v>1</v>
      </c>
      <c r="O214" s="236">
        <f>IFERROR(ROUND(计划落实!O214/计划!O214,5),0)</f>
        <v/>
      </c>
      <c r="P214" s="237">
        <f>IFERROR(ROUND(计划落实!P214/计划!P214,5),0)</f>
        <v/>
      </c>
      <c r="Q214" s="237">
        <f>IFERROR(ROUND(计划落实!Q214/计划!Q214,5),0)</f>
        <v/>
      </c>
      <c r="R214" s="237">
        <f>IFERROR(ROUND(计划落实!R214/计划!R214,5),0)</f>
        <v/>
      </c>
      <c r="S214" s="237">
        <f>IFERROR(ROUND(计划落实!S214/计划!S214,5),0)</f>
        <v/>
      </c>
      <c r="T214" s="237">
        <f>IFERROR(ROUND(计划落实!T214/计划!T214,5),0)</f>
        <v/>
      </c>
      <c r="U214" s="237">
        <f>IFERROR(ROUND(计划落实!U214/计划!U214,5),0)</f>
        <v/>
      </c>
      <c r="V214" s="237">
        <f>IFERROR(ROUND(计划落实!V214/计划!V214,5),0)</f>
        <v/>
      </c>
      <c r="W214" s="237">
        <f>IFERROR(ROUND(计划落实!W214/计划!W214,5),0)</f>
        <v/>
      </c>
      <c r="X214" s="237">
        <f>IFERROR(ROUND(计划落实!X214/计划!X214,5),0)</f>
        <v/>
      </c>
      <c r="Y214" s="237">
        <f>IFERROR(ROUND(计划落实!Y214/计划!Y214,5),0)</f>
        <v/>
      </c>
      <c r="Z214" s="237">
        <f>IFERROR(ROUND(计划落实!Z214/计划!Z214,5),0)</f>
        <v/>
      </c>
      <c r="AA214" s="237">
        <f>IFERROR(ROUND(计划落实!AA214/计划!AA214,5),0)</f>
        <v/>
      </c>
      <c r="AB214" s="237">
        <f>IFERROR(ROUND(计划落实!AB214/计划!AB214,5),0)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5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239">
        <f>IFERROR(ROUND(计划落实!O215/计划!O215,5),0)</f>
        <v/>
      </c>
      <c r="P215" s="239">
        <f>IFERROR(ROUND(计划落实!P215/计划!P215,5),0)</f>
        <v/>
      </c>
      <c r="Q215" s="239">
        <f>IFERROR(ROUND(计划落实!Q215/计划!Q215,5),0)</f>
        <v/>
      </c>
      <c r="R215" s="239">
        <f>IFERROR(ROUND(计划落实!R215/计划!R215,5),0)</f>
        <v/>
      </c>
      <c r="S215" s="239">
        <f>IFERROR(ROUND(计划落实!S215/计划!S215,5),0)</f>
        <v/>
      </c>
      <c r="T215" s="239">
        <f>IFERROR(ROUND(计划落实!T215/计划!T215,5),0)</f>
        <v/>
      </c>
      <c r="U215" s="239">
        <f>IFERROR(ROUND(计划落实!U215/计划!U215,5),0)</f>
        <v/>
      </c>
      <c r="V215" s="239">
        <f>IFERROR(ROUND(计划落实!V215/计划!V215,5),0)</f>
        <v/>
      </c>
      <c r="W215" s="239">
        <f>IFERROR(ROUND(计划落实!W215/计划!W215,5),0)</f>
        <v/>
      </c>
      <c r="X215" s="239">
        <f>IFERROR(ROUND(计划落实!X215/计划!X215,5),0)</f>
        <v/>
      </c>
      <c r="Y215" s="239">
        <f>IFERROR(ROUND(计划落实!Y215/计划!Y215,5),0)</f>
        <v/>
      </c>
      <c r="Z215" s="239">
        <f>IFERROR(ROUND(计划落实!Z215/计划!Z215,5),0)</f>
        <v/>
      </c>
      <c r="AA215" s="239">
        <f>IFERROR(ROUND(计划落实!AA215/计划!AA215,5),0)</f>
        <v/>
      </c>
      <c r="AB215" s="239">
        <f>IFERROR(ROUND(计划落实!AB215/计划!AB215,5),0)</f>
        <v/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31" t="inlineStr">
        <is>
          <t>SKU-CD13E71E</t>
        </is>
      </c>
      <c r="C216" s="231" t="inlineStr">
        <is>
          <t>是</t>
        </is>
      </c>
      <c r="D216" s="231" t="n">
        <v>10</v>
      </c>
      <c r="E216" s="231" t="inlineStr"/>
      <c r="F216" s="231" t="inlineStr"/>
      <c r="G216" s="231" t="inlineStr"/>
      <c r="H216" s="231" t="inlineStr"/>
      <c r="I216" s="231" t="inlineStr"/>
      <c r="J216" s="27" t="inlineStr">
        <is>
          <t>共</t>
        </is>
      </c>
      <c r="K216" s="27" t="inlineStr"/>
      <c r="L216" s="231" t="n">
        <v>100</v>
      </c>
      <c r="M216" s="19" t="inlineStr">
        <is>
          <t>Product-EA59DDCC</t>
        </is>
      </c>
      <c r="N216" s="231" t="n">
        <v>2</v>
      </c>
      <c r="O216" s="236">
        <f>IFERROR(ROUND(计划落实!O216/计划!O216,5),0)</f>
        <v/>
      </c>
      <c r="P216" s="237">
        <f>IFERROR(ROUND(计划落实!P216/计划!P216,5),0)</f>
        <v/>
      </c>
      <c r="Q216" s="237">
        <f>IFERROR(ROUND(计划落实!Q216/计划!Q216,5),0)</f>
        <v/>
      </c>
      <c r="R216" s="237">
        <f>IFERROR(ROUND(计划落实!R216/计划!R216,5),0)</f>
        <v/>
      </c>
      <c r="S216" s="237">
        <f>IFERROR(ROUND(计划落实!S216/计划!S216,5),0)</f>
        <v/>
      </c>
      <c r="T216" s="237">
        <f>IFERROR(ROUND(计划落实!T216/计划!T216,5),0)</f>
        <v/>
      </c>
      <c r="U216" s="237">
        <f>IFERROR(ROUND(计划落实!U216/计划!U216,5),0)</f>
        <v/>
      </c>
      <c r="V216" s="237">
        <f>IFERROR(ROUND(计划落实!V216/计划!V216,5),0)</f>
        <v/>
      </c>
      <c r="W216" s="237">
        <f>IFERROR(ROUND(计划落实!W216/计划!W216,5),0)</f>
        <v/>
      </c>
      <c r="X216" s="237">
        <f>IFERROR(ROUND(计划落实!X216/计划!X216,5),0)</f>
        <v/>
      </c>
      <c r="Y216" s="237">
        <f>IFERROR(ROUND(计划落实!Y216/计划!Y216,5),0)</f>
        <v/>
      </c>
      <c r="Z216" s="237">
        <f>IFERROR(ROUND(计划落实!Z216/计划!Z216,5),0)</f>
        <v/>
      </c>
      <c r="AA216" s="237">
        <f>IFERROR(ROUND(计划落实!AA216/计划!AA216,5),0)</f>
        <v/>
      </c>
      <c r="AB216" s="237">
        <f>IFERROR(ROUND(计划落实!AB216/计划!AB216,5),0)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4" t="n"/>
      <c r="B217" s="231" t="inlineStr">
        <is>
          <t>SKU-682BAA5A</t>
        </is>
      </c>
      <c r="C217" s="231" t="inlineStr">
        <is>
          <t>是</t>
        </is>
      </c>
      <c r="D217" s="231" t="n">
        <v>10</v>
      </c>
      <c r="E217" s="231" t="inlineStr"/>
      <c r="F217" s="231" t="inlineStr"/>
      <c r="G217" s="231" t="inlineStr"/>
      <c r="H217" s="231" t="inlineStr"/>
      <c r="I217" s="231" t="inlineStr"/>
      <c r="J217" s="27" t="inlineStr"/>
      <c r="K217" s="27" t="inlineStr"/>
      <c r="L217" s="231" t="n">
        <v>100</v>
      </c>
      <c r="M217" s="19" t="inlineStr">
        <is>
          <t>Product-7E3AF14A</t>
        </is>
      </c>
      <c r="N217" s="231" t="n">
        <v>2</v>
      </c>
      <c r="O217" s="236">
        <f>IFERROR(ROUND(计划落实!O217/计划!O217,5),0)</f>
        <v/>
      </c>
      <c r="P217" s="237">
        <f>IFERROR(ROUND(计划落实!P217/计划!P217,5),0)</f>
        <v/>
      </c>
      <c r="Q217" s="237">
        <f>IFERROR(ROUND(计划落实!Q217/计划!Q217,5),0)</f>
        <v/>
      </c>
      <c r="R217" s="237">
        <f>IFERROR(ROUND(计划落实!R217/计划!R217,5),0)</f>
        <v/>
      </c>
      <c r="S217" s="237">
        <f>IFERROR(ROUND(计划落实!S217/计划!S217,5),0)</f>
        <v/>
      </c>
      <c r="T217" s="237">
        <f>IFERROR(ROUND(计划落实!T217/计划!T217,5),0)</f>
        <v/>
      </c>
      <c r="U217" s="237">
        <f>IFERROR(ROUND(计划落实!U217/计划!U217,5),0)</f>
        <v/>
      </c>
      <c r="V217" s="237">
        <f>IFERROR(ROUND(计划落实!V217/计划!V217,5),0)</f>
        <v/>
      </c>
      <c r="W217" s="237">
        <f>IFERROR(ROUND(计划落实!W217/计划!W217,5),0)</f>
        <v/>
      </c>
      <c r="X217" s="237">
        <f>IFERROR(ROUND(计划落实!X217/计划!X217,5),0)</f>
        <v/>
      </c>
      <c r="Y217" s="237">
        <f>IFERROR(ROUND(计划落实!Y217/计划!Y217,5),0)</f>
        <v/>
      </c>
      <c r="Z217" s="237">
        <f>IFERROR(ROUND(计划落实!Z217/计划!Z217,5),0)</f>
        <v/>
      </c>
      <c r="AA217" s="237">
        <f>IFERROR(ROUND(计划落实!AA217/计划!AA217,5),0)</f>
        <v/>
      </c>
      <c r="AB217" s="237">
        <f>IFERROR(ROUND(计划落实!AB217/计划!AB217,5),0)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4" t="n"/>
      <c r="B218" s="231" t="inlineStr">
        <is>
          <t>SKU-101252A9</t>
        </is>
      </c>
      <c r="C218" s="231" t="inlineStr">
        <is>
          <t>是</t>
        </is>
      </c>
      <c r="D218" s="231" t="n">
        <v>10</v>
      </c>
      <c r="E218" s="231" t="inlineStr"/>
      <c r="F218" s="231" t="inlineStr"/>
      <c r="G218" s="231" t="inlineStr"/>
      <c r="H218" s="231" t="inlineStr"/>
      <c r="I218" s="231" t="inlineStr"/>
      <c r="J218" s="27" t="inlineStr"/>
      <c r="K218" s="27" t="inlineStr"/>
      <c r="L218" s="231" t="n">
        <v>100</v>
      </c>
      <c r="M218" s="33" t="inlineStr">
        <is>
          <t>Product-7A8380EF</t>
        </is>
      </c>
      <c r="N218" s="231" t="n">
        <v>1</v>
      </c>
      <c r="O218" s="236">
        <f>IFERROR(ROUND(计划落实!O218/计划!O218,5),0)</f>
        <v/>
      </c>
      <c r="P218" s="237">
        <f>IFERROR(ROUND(计划落实!P218/计划!P218,5),0)</f>
        <v/>
      </c>
      <c r="Q218" s="237">
        <f>IFERROR(ROUND(计划落实!Q218/计划!Q218,5),0)</f>
        <v/>
      </c>
      <c r="R218" s="237">
        <f>IFERROR(ROUND(计划落实!R218/计划!R218,5),0)</f>
        <v/>
      </c>
      <c r="S218" s="237">
        <f>IFERROR(ROUND(计划落实!S218/计划!S218,5),0)</f>
        <v/>
      </c>
      <c r="T218" s="237">
        <f>IFERROR(ROUND(计划落实!T218/计划!T218,5),0)</f>
        <v/>
      </c>
      <c r="U218" s="237">
        <f>IFERROR(ROUND(计划落实!U218/计划!U218,5),0)</f>
        <v/>
      </c>
      <c r="V218" s="237">
        <f>IFERROR(ROUND(计划落实!V218/计划!V218,5),0)</f>
        <v/>
      </c>
      <c r="W218" s="237">
        <f>IFERROR(ROUND(计划落实!W218/计划!W218,5),0)</f>
        <v/>
      </c>
      <c r="X218" s="237">
        <f>IFERROR(ROUND(计划落实!X218/计划!X218,5),0)</f>
        <v/>
      </c>
      <c r="Y218" s="237">
        <f>IFERROR(ROUND(计划落实!Y218/计划!Y218,5),0)</f>
        <v/>
      </c>
      <c r="Z218" s="237">
        <f>IFERROR(ROUND(计划落实!Z218/计划!Z218,5),0)</f>
        <v/>
      </c>
      <c r="AA218" s="237">
        <f>IFERROR(ROUND(计划落实!AA218/计划!AA218,5),0)</f>
        <v/>
      </c>
      <c r="AB218" s="237">
        <f>IFERROR(ROUND(计划落实!AB218/计划!AB218,5),0)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4" t="n"/>
      <c r="B219" s="231" t="inlineStr">
        <is>
          <t>SKU-77C0CC77</t>
        </is>
      </c>
      <c r="C219" s="231" t="inlineStr">
        <is>
          <t>是</t>
        </is>
      </c>
      <c r="D219" s="231" t="n">
        <v>6</v>
      </c>
      <c r="E219" s="231" t="inlineStr">
        <is>
          <t>是</t>
        </is>
      </c>
      <c r="F219" s="231" t="inlineStr"/>
      <c r="G219" s="231" t="inlineStr"/>
      <c r="H219" s="231" t="inlineStr"/>
      <c r="I219" s="231" t="inlineStr">
        <is>
          <t>是</t>
        </is>
      </c>
      <c r="J219" s="27" t="inlineStr"/>
      <c r="K219" s="27" t="inlineStr"/>
      <c r="L219" s="231" t="n">
        <v>100</v>
      </c>
      <c r="M219" s="19" t="inlineStr">
        <is>
          <t>Product-429E8612</t>
        </is>
      </c>
      <c r="N219" s="231" t="n">
        <v>1</v>
      </c>
      <c r="O219" s="236">
        <f>IFERROR(ROUND(计划落实!O219/计划!O219,5),0)</f>
        <v/>
      </c>
      <c r="P219" s="237">
        <f>IFERROR(ROUND(计划落实!P219/计划!P219,5),0)</f>
        <v/>
      </c>
      <c r="Q219" s="237">
        <f>IFERROR(ROUND(计划落实!Q219/计划!Q219,5),0)</f>
        <v/>
      </c>
      <c r="R219" s="237">
        <f>IFERROR(ROUND(计划落实!R219/计划!R219,5),0)</f>
        <v/>
      </c>
      <c r="S219" s="237">
        <f>IFERROR(ROUND(计划落实!S219/计划!S219,5),0)</f>
        <v/>
      </c>
      <c r="T219" s="237">
        <f>IFERROR(ROUND(计划落实!T219/计划!T219,5),0)</f>
        <v/>
      </c>
      <c r="U219" s="237">
        <f>IFERROR(ROUND(计划落实!U219/计划!U219,5),0)</f>
        <v/>
      </c>
      <c r="V219" s="237">
        <f>IFERROR(ROUND(计划落实!V219/计划!V219,5),0)</f>
        <v/>
      </c>
      <c r="W219" s="237">
        <f>IFERROR(ROUND(计划落实!W219/计划!W219,5),0)</f>
        <v/>
      </c>
      <c r="X219" s="237">
        <f>IFERROR(ROUND(计划落实!X219/计划!X219,5),0)</f>
        <v/>
      </c>
      <c r="Y219" s="237">
        <f>IFERROR(ROUND(计划落实!Y219/计划!Y219,5),0)</f>
        <v/>
      </c>
      <c r="Z219" s="237">
        <f>IFERROR(ROUND(计划落实!Z219/计划!Z219,5),0)</f>
        <v/>
      </c>
      <c r="AA219" s="237">
        <f>IFERROR(ROUND(计划落实!AA219/计划!AA219,5),0)</f>
        <v/>
      </c>
      <c r="AB219" s="237">
        <f>IFERROR(ROUND(计划落实!AB219/计划!AB219,5),0)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5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239">
        <f>IFERROR(ROUND(计划落实!O220/计划!O220,5),0)</f>
        <v/>
      </c>
      <c r="P220" s="239">
        <f>IFERROR(ROUND(计划落实!P220/计划!P220,5),0)</f>
        <v/>
      </c>
      <c r="Q220" s="239">
        <f>IFERROR(ROUND(计划落实!Q220/计划!Q220,5),0)</f>
        <v/>
      </c>
      <c r="R220" s="239">
        <f>IFERROR(ROUND(计划落实!R220/计划!R220,5),0)</f>
        <v/>
      </c>
      <c r="S220" s="239">
        <f>IFERROR(ROUND(计划落实!S220/计划!S220,5),0)</f>
        <v/>
      </c>
      <c r="T220" s="239">
        <f>IFERROR(ROUND(计划落实!T220/计划!T220,5),0)</f>
        <v/>
      </c>
      <c r="U220" s="239">
        <f>IFERROR(ROUND(计划落实!U220/计划!U220,5),0)</f>
        <v/>
      </c>
      <c r="V220" s="239">
        <f>IFERROR(ROUND(计划落实!V220/计划!V220,5),0)</f>
        <v/>
      </c>
      <c r="W220" s="239">
        <f>IFERROR(ROUND(计划落实!W220/计划!W220,5),0)</f>
        <v/>
      </c>
      <c r="X220" s="239">
        <f>IFERROR(ROUND(计划落实!X220/计划!X220,5),0)</f>
        <v/>
      </c>
      <c r="Y220" s="239">
        <f>IFERROR(ROUND(计划落实!Y220/计划!Y220,5),0)</f>
        <v/>
      </c>
      <c r="Z220" s="239">
        <f>IFERROR(ROUND(计划落实!Z220/计划!Z220,5),0)</f>
        <v/>
      </c>
      <c r="AA220" s="239">
        <f>IFERROR(ROUND(计划落实!AA220/计划!AA220,5),0)</f>
        <v/>
      </c>
      <c r="AB220" s="239">
        <f>IFERROR(ROUND(计划落实!AB220/计划!AB220,5),0)</f>
        <v/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31" t="inlineStr">
        <is>
          <t>SKU-3BA438F1</t>
        </is>
      </c>
      <c r="C221" s="231" t="inlineStr">
        <is>
          <t>是</t>
        </is>
      </c>
      <c r="D221" s="231" t="n">
        <v>8</v>
      </c>
      <c r="E221" s="231" t="inlineStr">
        <is>
          <t>是</t>
        </is>
      </c>
      <c r="F221" s="231" t="inlineStr"/>
      <c r="G221" s="231" t="inlineStr"/>
      <c r="H221" s="231" t="inlineStr"/>
      <c r="I221" s="231" t="inlineStr">
        <is>
          <t>是</t>
        </is>
      </c>
      <c r="J221" s="27" t="inlineStr"/>
      <c r="K221" s="27" t="inlineStr"/>
      <c r="L221" s="231" t="n">
        <v>100</v>
      </c>
      <c r="M221" s="19" t="inlineStr">
        <is>
          <t>Product-775BB8DC</t>
        </is>
      </c>
      <c r="N221" s="231" t="n">
        <v>2</v>
      </c>
      <c r="O221" s="236">
        <f>IFERROR(ROUND(计划落实!O221/计划!O221,5),0)</f>
        <v/>
      </c>
      <c r="P221" s="237">
        <f>IFERROR(ROUND(计划落实!P221/计划!P221,5),0)</f>
        <v/>
      </c>
      <c r="Q221" s="237">
        <f>IFERROR(ROUND(计划落实!Q221/计划!Q221,5),0)</f>
        <v/>
      </c>
      <c r="R221" s="237">
        <f>IFERROR(ROUND(计划落实!R221/计划!R221,5),0)</f>
        <v/>
      </c>
      <c r="S221" s="237">
        <f>IFERROR(ROUND(计划落实!S221/计划!S221,5),0)</f>
        <v/>
      </c>
      <c r="T221" s="237">
        <f>IFERROR(ROUND(计划落实!T221/计划!T221,5),0)</f>
        <v/>
      </c>
      <c r="U221" s="237">
        <f>IFERROR(ROUND(计划落实!U221/计划!U221,5),0)</f>
        <v/>
      </c>
      <c r="V221" s="237">
        <f>IFERROR(ROUND(计划落实!V221/计划!V221,5),0)</f>
        <v/>
      </c>
      <c r="W221" s="237">
        <f>IFERROR(ROUND(计划落实!W221/计划!W221,5),0)</f>
        <v/>
      </c>
      <c r="X221" s="237">
        <f>IFERROR(ROUND(计划落实!X221/计划!X221,5),0)</f>
        <v/>
      </c>
      <c r="Y221" s="237">
        <f>IFERROR(ROUND(计划落实!Y221/计划!Y221,5),0)</f>
        <v/>
      </c>
      <c r="Z221" s="237">
        <f>IFERROR(ROUND(计划落实!Z221/计划!Z221,5),0)</f>
        <v/>
      </c>
      <c r="AA221" s="237">
        <f>IFERROR(ROUND(计划落实!AA221/计划!AA221,5),0)</f>
        <v/>
      </c>
      <c r="AB221" s="237">
        <f>IFERROR(ROUND(计划落实!AB221/计划!AB221,5),0)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4" t="n"/>
      <c r="B222" s="231" t="inlineStr">
        <is>
          <t>SKU-D2E77FA5</t>
        </is>
      </c>
      <c r="C222" s="231" t="inlineStr">
        <is>
          <t>是</t>
        </is>
      </c>
      <c r="D222" s="231" t="n">
        <v>6</v>
      </c>
      <c r="E222" s="231" t="inlineStr">
        <is>
          <t>是</t>
        </is>
      </c>
      <c r="F222" s="231" t="inlineStr"/>
      <c r="G222" s="231" t="inlineStr"/>
      <c r="H222" s="231" t="inlineStr">
        <is>
          <t>是</t>
        </is>
      </c>
      <c r="I222" s="231" t="inlineStr">
        <is>
          <t>是</t>
        </is>
      </c>
      <c r="J222" s="27" t="inlineStr"/>
      <c r="K222" s="27" t="inlineStr"/>
      <c r="L222" s="231" t="n">
        <v>100</v>
      </c>
      <c r="M222" s="19" t="inlineStr">
        <is>
          <t>Product-A722DB58</t>
        </is>
      </c>
      <c r="N222" s="231" t="n">
        <v>1</v>
      </c>
      <c r="O222" s="236">
        <f>IFERROR(ROUND(计划落实!O222/计划!O222,5),0)</f>
        <v/>
      </c>
      <c r="P222" s="237">
        <f>IFERROR(ROUND(计划落实!P222/计划!P222,5),0)</f>
        <v/>
      </c>
      <c r="Q222" s="237">
        <f>IFERROR(ROUND(计划落实!Q222/计划!Q222,5),0)</f>
        <v/>
      </c>
      <c r="R222" s="237">
        <f>IFERROR(ROUND(计划落实!R222/计划!R222,5),0)</f>
        <v/>
      </c>
      <c r="S222" s="237">
        <f>IFERROR(ROUND(计划落实!S222/计划!S222,5),0)</f>
        <v/>
      </c>
      <c r="T222" s="237">
        <f>IFERROR(ROUND(计划落实!T222/计划!T222,5),0)</f>
        <v/>
      </c>
      <c r="U222" s="237">
        <f>IFERROR(ROUND(计划落实!U222/计划!U222,5),0)</f>
        <v/>
      </c>
      <c r="V222" s="237">
        <f>IFERROR(ROUND(计划落实!V222/计划!V222,5),0)</f>
        <v/>
      </c>
      <c r="W222" s="237">
        <f>IFERROR(ROUND(计划落实!W222/计划!W222,5),0)</f>
        <v/>
      </c>
      <c r="X222" s="237">
        <f>IFERROR(ROUND(计划落实!X222/计划!X222,5),0)</f>
        <v/>
      </c>
      <c r="Y222" s="237">
        <f>IFERROR(ROUND(计划落实!Y222/计划!Y222,5),0)</f>
        <v/>
      </c>
      <c r="Z222" s="237">
        <f>IFERROR(ROUND(计划落实!Z222/计划!Z222,5),0)</f>
        <v/>
      </c>
      <c r="AA222" s="237">
        <f>IFERROR(ROUND(计划落实!AA222/计划!AA222,5),0)</f>
        <v/>
      </c>
      <c r="AB222" s="237">
        <f>IFERROR(ROUND(计划落实!AB222/计划!AB222,5),0)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5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239">
        <f>IFERROR(ROUND(计划落实!O223/计划!O223,5),0)</f>
        <v/>
      </c>
      <c r="P223" s="239">
        <f>IFERROR(ROUND(计划落实!P223/计划!P223,5),0)</f>
        <v/>
      </c>
      <c r="Q223" s="239">
        <f>IFERROR(ROUND(计划落实!Q223/计划!Q223,5),0)</f>
        <v/>
      </c>
      <c r="R223" s="239">
        <f>IFERROR(ROUND(计划落实!R223/计划!R223,5),0)</f>
        <v/>
      </c>
      <c r="S223" s="239">
        <f>IFERROR(ROUND(计划落实!S223/计划!S223,5),0)</f>
        <v/>
      </c>
      <c r="T223" s="239">
        <f>IFERROR(ROUND(计划落实!T223/计划!T223,5),0)</f>
        <v/>
      </c>
      <c r="U223" s="239">
        <f>IFERROR(ROUND(计划落实!U223/计划!U223,5),0)</f>
        <v/>
      </c>
      <c r="V223" s="239">
        <f>IFERROR(ROUND(计划落实!V223/计划!V223,5),0)</f>
        <v/>
      </c>
      <c r="W223" s="239">
        <f>IFERROR(ROUND(计划落实!W223/计划!W223,5),0)</f>
        <v/>
      </c>
      <c r="X223" s="239">
        <f>IFERROR(ROUND(计划落实!X223/计划!X223,5),0)</f>
        <v/>
      </c>
      <c r="Y223" s="239">
        <f>IFERROR(ROUND(计划落实!Y223/计划!Y223,5),0)</f>
        <v/>
      </c>
      <c r="Z223" s="239">
        <f>IFERROR(ROUND(计划落实!Z223/计划!Z223,5),0)</f>
        <v/>
      </c>
      <c r="AA223" s="239">
        <f>IFERROR(ROUND(计划落实!AA223/计划!AA223,5),0)</f>
        <v/>
      </c>
      <c r="AB223" s="239">
        <f>IFERROR(ROUND(计划落实!AB223/计划!AB223,5),0)</f>
        <v/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31" t="inlineStr">
        <is>
          <t>SKU-9FDA4198</t>
        </is>
      </c>
      <c r="C224" s="231" t="inlineStr">
        <is>
          <t>是</t>
        </is>
      </c>
      <c r="D224" s="231" t="n">
        <v>11</v>
      </c>
      <c r="E224" s="231" t="inlineStr"/>
      <c r="F224" s="231" t="inlineStr"/>
      <c r="G224" s="231" t="inlineStr"/>
      <c r="H224" s="231" t="inlineStr"/>
      <c r="I224" s="231" t="inlineStr"/>
      <c r="J224" s="27" t="inlineStr"/>
      <c r="K224" s="27" t="inlineStr"/>
      <c r="L224" s="231" t="n">
        <v>100</v>
      </c>
      <c r="M224" s="19" t="inlineStr">
        <is>
          <t>Product-662CAB3A</t>
        </is>
      </c>
      <c r="N224" s="231" t="n">
        <v>1</v>
      </c>
      <c r="O224" s="236">
        <f>IFERROR(ROUND(计划落实!O224/计划!O224,5),0)</f>
        <v/>
      </c>
      <c r="P224" s="237">
        <f>IFERROR(ROUND(计划落实!P224/计划!P224,5),0)</f>
        <v/>
      </c>
      <c r="Q224" s="237">
        <f>IFERROR(ROUND(计划落实!Q224/计划!Q224,5),0)</f>
        <v/>
      </c>
      <c r="R224" s="237">
        <f>IFERROR(ROUND(计划落实!R224/计划!R224,5),0)</f>
        <v/>
      </c>
      <c r="S224" s="237">
        <f>IFERROR(ROUND(计划落实!S224/计划!S224,5),0)</f>
        <v/>
      </c>
      <c r="T224" s="237">
        <f>IFERROR(ROUND(计划落实!T224/计划!T224,5),0)</f>
        <v/>
      </c>
      <c r="U224" s="237">
        <f>IFERROR(ROUND(计划落实!U224/计划!U224,5),0)</f>
        <v/>
      </c>
      <c r="V224" s="237">
        <f>IFERROR(ROUND(计划落实!V224/计划!V224,5),0)</f>
        <v/>
      </c>
      <c r="W224" s="237">
        <f>IFERROR(ROUND(计划落实!W224/计划!W224,5),0)</f>
        <v/>
      </c>
      <c r="X224" s="237">
        <f>IFERROR(ROUND(计划落实!X224/计划!X224,5),0)</f>
        <v/>
      </c>
      <c r="Y224" s="237">
        <f>IFERROR(ROUND(计划落实!Y224/计划!Y224,5),0)</f>
        <v/>
      </c>
      <c r="Z224" s="237">
        <f>IFERROR(ROUND(计划落实!Z224/计划!Z224,5),0)</f>
        <v/>
      </c>
      <c r="AA224" s="237">
        <f>IFERROR(ROUND(计划落实!AA224/计划!AA224,5),0)</f>
        <v/>
      </c>
      <c r="AB224" s="237">
        <f>IFERROR(ROUND(计划落实!AB224/计划!AB224,5),0)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4" t="n"/>
      <c r="B225" s="231" t="inlineStr">
        <is>
          <t>SKU-7B3ED901</t>
        </is>
      </c>
      <c r="C225" s="231" t="inlineStr">
        <is>
          <t>是</t>
        </is>
      </c>
      <c r="D225" s="231" t="n">
        <v>8</v>
      </c>
      <c r="E225" s="231" t="inlineStr">
        <is>
          <t>是</t>
        </is>
      </c>
      <c r="F225" s="231" t="inlineStr"/>
      <c r="G225" s="231" t="inlineStr"/>
      <c r="H225" s="231" t="inlineStr">
        <is>
          <t>是</t>
        </is>
      </c>
      <c r="I225" s="231" t="inlineStr">
        <is>
          <t>是</t>
        </is>
      </c>
      <c r="J225" s="27" t="inlineStr"/>
      <c r="K225" s="27" t="inlineStr"/>
      <c r="L225" s="231" t="n">
        <v>100</v>
      </c>
      <c r="M225" s="19" t="inlineStr">
        <is>
          <t>Product-98EF7A51</t>
        </is>
      </c>
      <c r="N225" s="231" t="n">
        <v>1</v>
      </c>
      <c r="O225" s="236">
        <f>IFERROR(ROUND(计划落实!O225/计划!O225,5),0)</f>
        <v/>
      </c>
      <c r="P225" s="237">
        <f>IFERROR(ROUND(计划落实!P225/计划!P225,5),0)</f>
        <v/>
      </c>
      <c r="Q225" s="237">
        <f>IFERROR(ROUND(计划落实!Q225/计划!Q225,5),0)</f>
        <v/>
      </c>
      <c r="R225" s="237">
        <f>IFERROR(ROUND(计划落实!R225/计划!R225,5),0)</f>
        <v/>
      </c>
      <c r="S225" s="237">
        <f>IFERROR(ROUND(计划落实!S225/计划!S225,5),0)</f>
        <v/>
      </c>
      <c r="T225" s="237">
        <f>IFERROR(ROUND(计划落实!T225/计划!T225,5),0)</f>
        <v/>
      </c>
      <c r="U225" s="237">
        <f>IFERROR(ROUND(计划落实!U225/计划!U225,5),0)</f>
        <v/>
      </c>
      <c r="V225" s="237">
        <f>IFERROR(ROUND(计划落实!V225/计划!V225,5),0)</f>
        <v/>
      </c>
      <c r="W225" s="237">
        <f>IFERROR(ROUND(计划落实!W225/计划!W225,5),0)</f>
        <v/>
      </c>
      <c r="X225" s="237">
        <f>IFERROR(ROUND(计划落实!X225/计划!X225,5),0)</f>
        <v/>
      </c>
      <c r="Y225" s="237">
        <f>IFERROR(ROUND(计划落实!Y225/计划!Y225,5),0)</f>
        <v/>
      </c>
      <c r="Z225" s="237">
        <f>IFERROR(ROUND(计划落实!Z225/计划!Z225,5),0)</f>
        <v/>
      </c>
      <c r="AA225" s="237">
        <f>IFERROR(ROUND(计划落实!AA225/计划!AA225,5),0)</f>
        <v/>
      </c>
      <c r="AB225" s="237">
        <f>IFERROR(ROUND(计划落实!AB225/计划!AB225,5),0)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4" t="n"/>
      <c r="B226" s="231" t="inlineStr">
        <is>
          <t>SKU-9285E4A0</t>
        </is>
      </c>
      <c r="C226" s="231" t="inlineStr">
        <is>
          <t>是</t>
        </is>
      </c>
      <c r="D226" s="231" t="n">
        <v>10</v>
      </c>
      <c r="E226" s="231" t="inlineStr"/>
      <c r="F226" s="231" t="inlineStr">
        <is>
          <t>是</t>
        </is>
      </c>
      <c r="G226" s="231" t="inlineStr"/>
      <c r="H226" s="231" t="inlineStr"/>
      <c r="I226" s="231" t="inlineStr">
        <is>
          <t>是</t>
        </is>
      </c>
      <c r="J226" s="27" t="inlineStr">
        <is>
          <t>共</t>
        </is>
      </c>
      <c r="K226" s="27" t="inlineStr"/>
      <c r="L226" s="231" t="n">
        <v>100</v>
      </c>
      <c r="M226" s="19" t="inlineStr">
        <is>
          <t>Product-CCB8A5AE</t>
        </is>
      </c>
      <c r="N226" s="231" t="n">
        <v>1</v>
      </c>
      <c r="O226" s="236">
        <f>IFERROR(ROUND(计划落实!O226/计划!O226,5),0)</f>
        <v/>
      </c>
      <c r="P226" s="237">
        <f>IFERROR(ROUND(计划落实!P226/计划!P226,5),0)</f>
        <v/>
      </c>
      <c r="Q226" s="237">
        <f>IFERROR(ROUND(计划落实!Q226/计划!Q226,5),0)</f>
        <v/>
      </c>
      <c r="R226" s="237">
        <f>IFERROR(ROUND(计划落实!R226/计划!R226,5),0)</f>
        <v/>
      </c>
      <c r="S226" s="237">
        <f>IFERROR(ROUND(计划落实!S226/计划!S226,5),0)</f>
        <v/>
      </c>
      <c r="T226" s="237">
        <f>IFERROR(ROUND(计划落实!T226/计划!T226,5),0)</f>
        <v/>
      </c>
      <c r="U226" s="237">
        <f>IFERROR(ROUND(计划落实!U226/计划!U226,5),0)</f>
        <v/>
      </c>
      <c r="V226" s="237">
        <f>IFERROR(ROUND(计划落实!V226/计划!V226,5),0)</f>
        <v/>
      </c>
      <c r="W226" s="237">
        <f>IFERROR(ROUND(计划落实!W226/计划!W226,5),0)</f>
        <v/>
      </c>
      <c r="X226" s="237">
        <f>IFERROR(ROUND(计划落实!X226/计划!X226,5),0)</f>
        <v/>
      </c>
      <c r="Y226" s="237">
        <f>IFERROR(ROUND(计划落实!Y226/计划!Y226,5),0)</f>
        <v/>
      </c>
      <c r="Z226" s="237">
        <f>IFERROR(ROUND(计划落实!Z226/计划!Z226,5),0)</f>
        <v/>
      </c>
      <c r="AA226" s="237">
        <f>IFERROR(ROUND(计划落实!AA226/计划!AA226,5),0)</f>
        <v/>
      </c>
      <c r="AB226" s="237">
        <f>IFERROR(ROUND(计划落实!AB226/计划!AB226,5),0)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5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239">
        <f>IFERROR(ROUND(计划落实!O227/计划!O227,5),0)</f>
        <v/>
      </c>
      <c r="P227" s="239">
        <f>IFERROR(ROUND(计划落实!P227/计划!P227,5),0)</f>
        <v/>
      </c>
      <c r="Q227" s="239">
        <f>IFERROR(ROUND(计划落实!Q227/计划!Q227,5),0)</f>
        <v/>
      </c>
      <c r="R227" s="239">
        <f>IFERROR(ROUND(计划落实!R227/计划!R227,5),0)</f>
        <v/>
      </c>
      <c r="S227" s="239">
        <f>IFERROR(ROUND(计划落实!S227/计划!S227,5),0)</f>
        <v/>
      </c>
      <c r="T227" s="239">
        <f>IFERROR(ROUND(计划落实!T227/计划!T227,5),0)</f>
        <v/>
      </c>
      <c r="U227" s="239">
        <f>IFERROR(ROUND(计划落实!U227/计划!U227,5),0)</f>
        <v/>
      </c>
      <c r="V227" s="239">
        <f>IFERROR(ROUND(计划落实!V227/计划!V227,5),0)</f>
        <v/>
      </c>
      <c r="W227" s="239">
        <f>IFERROR(ROUND(计划落实!W227/计划!W227,5),0)</f>
        <v/>
      </c>
      <c r="X227" s="239">
        <f>IFERROR(ROUND(计划落实!X227/计划!X227,5),0)</f>
        <v/>
      </c>
      <c r="Y227" s="239">
        <f>IFERROR(ROUND(计划落实!Y227/计划!Y227,5),0)</f>
        <v/>
      </c>
      <c r="Z227" s="239">
        <f>IFERROR(ROUND(计划落实!Z227/计划!Z227,5),0)</f>
        <v/>
      </c>
      <c r="AA227" s="239">
        <f>IFERROR(ROUND(计划落实!AA227/计划!AA227,5),0)</f>
        <v/>
      </c>
      <c r="AB227" s="239">
        <f>IFERROR(ROUND(计划落实!AB227/计划!AB227,5),0)</f>
        <v/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31" t="inlineStr">
        <is>
          <t>SKU-29633089</t>
        </is>
      </c>
      <c r="C228" s="231" t="inlineStr">
        <is>
          <t>是</t>
        </is>
      </c>
      <c r="D228" s="231" t="n">
        <v>6</v>
      </c>
      <c r="E228" s="231" t="inlineStr"/>
      <c r="F228" s="231" t="inlineStr">
        <is>
          <t>是</t>
        </is>
      </c>
      <c r="G228" s="231" t="inlineStr"/>
      <c r="H228" s="231" t="inlineStr"/>
      <c r="I228" s="231" t="inlineStr">
        <is>
          <t>是</t>
        </is>
      </c>
      <c r="J228" s="27" t="inlineStr"/>
      <c r="K228" s="27" t="inlineStr"/>
      <c r="L228" s="231" t="n">
        <v>100</v>
      </c>
      <c r="M228" s="44" t="inlineStr">
        <is>
          <t>Product-719E196F</t>
        </is>
      </c>
      <c r="N228" s="231" t="n">
        <v>3</v>
      </c>
      <c r="O228" s="236">
        <f>IFERROR(ROUND(计划落实!O228/计划!O228,5),0)</f>
        <v/>
      </c>
      <c r="P228" s="237">
        <f>IFERROR(ROUND(计划落实!P228/计划!P228,5),0)</f>
        <v/>
      </c>
      <c r="Q228" s="237">
        <f>IFERROR(ROUND(计划落实!Q228/计划!Q228,5),0)</f>
        <v/>
      </c>
      <c r="R228" s="237">
        <f>IFERROR(ROUND(计划落实!R228/计划!R228,5),0)</f>
        <v/>
      </c>
      <c r="S228" s="237">
        <f>IFERROR(ROUND(计划落实!S228/计划!S228,5),0)</f>
        <v/>
      </c>
      <c r="T228" s="237">
        <f>IFERROR(ROUND(计划落实!T228/计划!T228,5),0)</f>
        <v/>
      </c>
      <c r="U228" s="237">
        <f>IFERROR(ROUND(计划落实!U228/计划!U228,5),0)</f>
        <v/>
      </c>
      <c r="V228" s="237">
        <f>IFERROR(ROUND(计划落实!V228/计划!V228,5),0)</f>
        <v/>
      </c>
      <c r="W228" s="237">
        <f>IFERROR(ROUND(计划落实!W228/计划!W228,5),0)</f>
        <v/>
      </c>
      <c r="X228" s="237">
        <f>IFERROR(ROUND(计划落实!X228/计划!X228,5),0)</f>
        <v/>
      </c>
      <c r="Y228" s="237">
        <f>IFERROR(ROUND(计划落实!Y228/计划!Y228,5),0)</f>
        <v/>
      </c>
      <c r="Z228" s="237">
        <f>IFERROR(ROUND(计划落实!Z228/计划!Z228,5),0)</f>
        <v/>
      </c>
      <c r="AA228" s="237">
        <f>IFERROR(ROUND(计划落实!AA228/计划!AA228,5),0)</f>
        <v/>
      </c>
      <c r="AB228" s="237">
        <f>IFERROR(ROUND(计划落实!AB228/计划!AB228,5),0)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4" t="n"/>
      <c r="B229" s="231" t="inlineStr">
        <is>
          <t>SKU-5FFC4FAB</t>
        </is>
      </c>
      <c r="C229" s="231" t="inlineStr">
        <is>
          <t>是</t>
        </is>
      </c>
      <c r="D229" s="231" t="n">
        <v>8</v>
      </c>
      <c r="E229" s="231" t="inlineStr">
        <is>
          <t>是</t>
        </is>
      </c>
      <c r="F229" s="231" t="inlineStr"/>
      <c r="G229" s="231" t="inlineStr"/>
      <c r="H229" s="231" t="inlineStr"/>
      <c r="I229" s="231" t="inlineStr">
        <is>
          <t>是</t>
        </is>
      </c>
      <c r="J229" s="27" t="inlineStr"/>
      <c r="K229" s="27" t="inlineStr"/>
      <c r="L229" s="231" t="n">
        <v>100</v>
      </c>
      <c r="M229" s="19" t="inlineStr">
        <is>
          <t>Product-0DACD2F6</t>
        </is>
      </c>
      <c r="N229" s="231" t="n">
        <v>2</v>
      </c>
      <c r="O229" s="236">
        <f>IFERROR(ROUND(计划落实!O229/计划!O229,5),0)</f>
        <v/>
      </c>
      <c r="P229" s="237">
        <f>IFERROR(ROUND(计划落实!P229/计划!P229,5),0)</f>
        <v/>
      </c>
      <c r="Q229" s="237">
        <f>IFERROR(ROUND(计划落实!Q229/计划!Q229,5),0)</f>
        <v/>
      </c>
      <c r="R229" s="237">
        <f>IFERROR(ROUND(计划落实!R229/计划!R229,5),0)</f>
        <v/>
      </c>
      <c r="S229" s="237">
        <f>IFERROR(ROUND(计划落实!S229/计划!S229,5),0)</f>
        <v/>
      </c>
      <c r="T229" s="237">
        <f>IFERROR(ROUND(计划落实!T229/计划!T229,5),0)</f>
        <v/>
      </c>
      <c r="U229" s="237">
        <f>IFERROR(ROUND(计划落实!U229/计划!U229,5),0)</f>
        <v/>
      </c>
      <c r="V229" s="237">
        <f>IFERROR(ROUND(计划落实!V229/计划!V229,5),0)</f>
        <v/>
      </c>
      <c r="W229" s="237">
        <f>IFERROR(ROUND(计划落实!W229/计划!W229,5),0)</f>
        <v/>
      </c>
      <c r="X229" s="237">
        <f>IFERROR(ROUND(计划落实!X229/计划!X229,5),0)</f>
        <v/>
      </c>
      <c r="Y229" s="237">
        <f>IFERROR(ROUND(计划落实!Y229/计划!Y229,5),0)</f>
        <v/>
      </c>
      <c r="Z229" s="237">
        <f>IFERROR(ROUND(计划落实!Z229/计划!Z229,5),0)</f>
        <v/>
      </c>
      <c r="AA229" s="237">
        <f>IFERROR(ROUND(计划落实!AA229/计划!AA229,5),0)</f>
        <v/>
      </c>
      <c r="AB229" s="237">
        <f>IFERROR(ROUND(计划落实!AB229/计划!AB229,5),0)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4" t="n"/>
      <c r="B230" s="231" t="inlineStr">
        <is>
          <t>SKU-B633AD53</t>
        </is>
      </c>
      <c r="C230" s="231" t="inlineStr">
        <is>
          <t>是</t>
        </is>
      </c>
      <c r="D230" s="231" t="n">
        <v>8</v>
      </c>
      <c r="E230" s="231" t="inlineStr">
        <is>
          <t>是</t>
        </is>
      </c>
      <c r="F230" s="231" t="inlineStr"/>
      <c r="G230" s="231" t="inlineStr"/>
      <c r="H230" s="231" t="inlineStr">
        <is>
          <t>是</t>
        </is>
      </c>
      <c r="I230" s="231" t="inlineStr">
        <is>
          <t>是</t>
        </is>
      </c>
      <c r="J230" s="27" t="inlineStr"/>
      <c r="K230" s="27" t="inlineStr"/>
      <c r="L230" s="231" t="n">
        <v>100</v>
      </c>
      <c r="M230" s="19" t="inlineStr">
        <is>
          <t>Product-A5C01E33</t>
        </is>
      </c>
      <c r="N230" s="231" t="n">
        <v>1</v>
      </c>
      <c r="O230" s="236">
        <f>IFERROR(ROUND(计划落实!O230/计划!O230,5),0)</f>
        <v/>
      </c>
      <c r="P230" s="237">
        <f>IFERROR(ROUND(计划落实!P230/计划!P230,5),0)</f>
        <v/>
      </c>
      <c r="Q230" s="237">
        <f>IFERROR(ROUND(计划落实!Q230/计划!Q230,5),0)</f>
        <v/>
      </c>
      <c r="R230" s="237">
        <f>IFERROR(ROUND(计划落实!R230/计划!R230,5),0)</f>
        <v/>
      </c>
      <c r="S230" s="237">
        <f>IFERROR(ROUND(计划落实!S230/计划!S230,5),0)</f>
        <v/>
      </c>
      <c r="T230" s="237">
        <f>IFERROR(ROUND(计划落实!T230/计划!T230,5),0)</f>
        <v/>
      </c>
      <c r="U230" s="237">
        <f>IFERROR(ROUND(计划落实!U230/计划!U230,5),0)</f>
        <v/>
      </c>
      <c r="V230" s="237">
        <f>IFERROR(ROUND(计划落实!V230/计划!V230,5),0)</f>
        <v/>
      </c>
      <c r="W230" s="237">
        <f>IFERROR(ROUND(计划落实!W230/计划!W230,5),0)</f>
        <v/>
      </c>
      <c r="X230" s="237">
        <f>IFERROR(ROUND(计划落实!X230/计划!X230,5),0)</f>
        <v/>
      </c>
      <c r="Y230" s="237">
        <f>IFERROR(ROUND(计划落实!Y230/计划!Y230,5),0)</f>
        <v/>
      </c>
      <c r="Z230" s="237">
        <f>IFERROR(ROUND(计划落实!Z230/计划!Z230,5),0)</f>
        <v/>
      </c>
      <c r="AA230" s="237">
        <f>IFERROR(ROUND(计划落实!AA230/计划!AA230,5),0)</f>
        <v/>
      </c>
      <c r="AB230" s="237">
        <f>IFERROR(ROUND(计划落实!AB230/计划!AB230,5),0)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4" t="n"/>
      <c r="B231" s="231" t="inlineStr">
        <is>
          <t>SKU-F5C809B2</t>
        </is>
      </c>
      <c r="C231" s="231" t="inlineStr">
        <is>
          <t>是</t>
        </is>
      </c>
      <c r="D231" s="231" t="n">
        <v>10</v>
      </c>
      <c r="E231" s="231" t="inlineStr"/>
      <c r="F231" s="231" t="inlineStr">
        <is>
          <t>是</t>
        </is>
      </c>
      <c r="G231" s="231" t="inlineStr"/>
      <c r="H231" s="231" t="inlineStr"/>
      <c r="I231" s="231" t="inlineStr">
        <is>
          <t>是</t>
        </is>
      </c>
      <c r="J231" s="27" t="inlineStr"/>
      <c r="K231" s="27" t="inlineStr"/>
      <c r="L231" s="231" t="n">
        <v>100</v>
      </c>
      <c r="M231" s="19" t="inlineStr">
        <is>
          <t>Product-5A7B99C4</t>
        </is>
      </c>
      <c r="N231" s="231" t="n">
        <v>1</v>
      </c>
      <c r="O231" s="236">
        <f>IFERROR(ROUND(计划落实!O231/计划!O231,5),0)</f>
        <v/>
      </c>
      <c r="P231" s="237">
        <f>IFERROR(ROUND(计划落实!P231/计划!P231,5),0)</f>
        <v/>
      </c>
      <c r="Q231" s="237">
        <f>IFERROR(ROUND(计划落实!Q231/计划!Q231,5),0)</f>
        <v/>
      </c>
      <c r="R231" s="237">
        <f>IFERROR(ROUND(计划落实!R231/计划!R231,5),0)</f>
        <v/>
      </c>
      <c r="S231" s="237">
        <f>IFERROR(ROUND(计划落实!S231/计划!S231,5),0)</f>
        <v/>
      </c>
      <c r="T231" s="237">
        <f>IFERROR(ROUND(计划落实!T231/计划!T231,5),0)</f>
        <v/>
      </c>
      <c r="U231" s="237">
        <f>IFERROR(ROUND(计划落实!U231/计划!U231,5),0)</f>
        <v/>
      </c>
      <c r="V231" s="237">
        <f>IFERROR(ROUND(计划落实!V231/计划!V231,5),0)</f>
        <v/>
      </c>
      <c r="W231" s="237">
        <f>IFERROR(ROUND(计划落实!W231/计划!W231,5),0)</f>
        <v/>
      </c>
      <c r="X231" s="237">
        <f>IFERROR(ROUND(计划落实!X231/计划!X231,5),0)</f>
        <v/>
      </c>
      <c r="Y231" s="237">
        <f>IFERROR(ROUND(计划落实!Y231/计划!Y231,5),0)</f>
        <v/>
      </c>
      <c r="Z231" s="237">
        <f>IFERROR(ROUND(计划落实!Z231/计划!Z231,5),0)</f>
        <v/>
      </c>
      <c r="AA231" s="237">
        <f>IFERROR(ROUND(计划落实!AA231/计划!AA231,5),0)</f>
        <v/>
      </c>
      <c r="AB231" s="237">
        <f>IFERROR(ROUND(计划落实!AB231/计划!AB231,5),0)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4" t="n"/>
      <c r="B232" s="231" t="inlineStr">
        <is>
          <t>SKU-85450BFD</t>
        </is>
      </c>
      <c r="C232" s="231" t="inlineStr">
        <is>
          <t>是</t>
        </is>
      </c>
      <c r="D232" s="231" t="n">
        <v>10</v>
      </c>
      <c r="E232" s="231" t="inlineStr"/>
      <c r="F232" s="231" t="inlineStr">
        <is>
          <t>是</t>
        </is>
      </c>
      <c r="G232" s="231" t="inlineStr"/>
      <c r="H232" s="231" t="inlineStr">
        <is>
          <t>是</t>
        </is>
      </c>
      <c r="I232" s="231" t="inlineStr">
        <is>
          <t>是</t>
        </is>
      </c>
      <c r="J232" s="27" t="inlineStr"/>
      <c r="K232" s="27" t="inlineStr"/>
      <c r="L232" s="231" t="n">
        <v>100</v>
      </c>
      <c r="M232" s="59" t="inlineStr">
        <is>
          <t>Product-91F0DC53</t>
        </is>
      </c>
      <c r="N232" s="231" t="n">
        <v>1</v>
      </c>
      <c r="O232" s="236">
        <f>IFERROR(ROUND(计划落实!O232/计划!O232,5),0)</f>
        <v/>
      </c>
      <c r="P232" s="237">
        <f>IFERROR(ROUND(计划落实!P232/计划!P232,5),0)</f>
        <v/>
      </c>
      <c r="Q232" s="237">
        <f>IFERROR(ROUND(计划落实!Q232/计划!Q232,5),0)</f>
        <v/>
      </c>
      <c r="R232" s="237">
        <f>IFERROR(ROUND(计划落实!R232/计划!R232,5),0)</f>
        <v/>
      </c>
      <c r="S232" s="237">
        <f>IFERROR(ROUND(计划落实!S232/计划!S232,5),0)</f>
        <v/>
      </c>
      <c r="T232" s="237">
        <f>IFERROR(ROUND(计划落实!T232/计划!T232,5),0)</f>
        <v/>
      </c>
      <c r="U232" s="237">
        <f>IFERROR(ROUND(计划落实!U232/计划!U232,5),0)</f>
        <v/>
      </c>
      <c r="V232" s="237">
        <f>IFERROR(ROUND(计划落实!V232/计划!V232,5),0)</f>
        <v/>
      </c>
      <c r="W232" s="237">
        <f>IFERROR(ROUND(计划落实!W232/计划!W232,5),0)</f>
        <v/>
      </c>
      <c r="X232" s="237">
        <f>IFERROR(ROUND(计划落实!X232/计划!X232,5),0)</f>
        <v/>
      </c>
      <c r="Y232" s="237">
        <f>IFERROR(ROUND(计划落实!Y232/计划!Y232,5),0)</f>
        <v/>
      </c>
      <c r="Z232" s="237">
        <f>IFERROR(ROUND(计划落实!Z232/计划!Z232,5),0)</f>
        <v/>
      </c>
      <c r="AA232" s="237">
        <f>IFERROR(ROUND(计划落实!AA232/计划!AA232,5),0)</f>
        <v/>
      </c>
      <c r="AB232" s="237">
        <f>IFERROR(ROUND(计划落实!AB232/计划!AB232,5),0)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4" t="n"/>
      <c r="B233" s="231" t="inlineStr">
        <is>
          <t>SKU-EDF7920D</t>
        </is>
      </c>
      <c r="C233" s="231" t="inlineStr">
        <is>
          <t>是</t>
        </is>
      </c>
      <c r="D233" s="231" t="n">
        <v>10</v>
      </c>
      <c r="E233" s="231" t="inlineStr"/>
      <c r="F233" s="231" t="inlineStr">
        <is>
          <t>是</t>
        </is>
      </c>
      <c r="G233" s="231" t="inlineStr"/>
      <c r="H233" s="231" t="inlineStr"/>
      <c r="I233" s="231" t="inlineStr">
        <is>
          <t>是</t>
        </is>
      </c>
      <c r="J233" s="27" t="inlineStr"/>
      <c r="K233" s="27" t="inlineStr"/>
      <c r="L233" s="231" t="n">
        <v>100</v>
      </c>
      <c r="M233" s="59" t="inlineStr">
        <is>
          <t>Product-CE4C0A22</t>
        </is>
      </c>
      <c r="N233" s="231" t="n">
        <v>1</v>
      </c>
      <c r="O233" s="236">
        <f>IFERROR(ROUND(计划落实!O233/计划!O233,5),0)</f>
        <v/>
      </c>
      <c r="P233" s="237">
        <f>IFERROR(ROUND(计划落实!P233/计划!P233,5),0)</f>
        <v/>
      </c>
      <c r="Q233" s="237">
        <f>IFERROR(ROUND(计划落实!Q233/计划!Q233,5),0)</f>
        <v/>
      </c>
      <c r="R233" s="237">
        <f>IFERROR(ROUND(计划落实!R233/计划!R233,5),0)</f>
        <v/>
      </c>
      <c r="S233" s="237">
        <f>IFERROR(ROUND(计划落实!S233/计划!S233,5),0)</f>
        <v/>
      </c>
      <c r="T233" s="237">
        <f>IFERROR(ROUND(计划落实!T233/计划!T233,5),0)</f>
        <v/>
      </c>
      <c r="U233" s="237">
        <f>IFERROR(ROUND(计划落实!U233/计划!U233,5),0)</f>
        <v/>
      </c>
      <c r="V233" s="237">
        <f>IFERROR(ROUND(计划落实!V233/计划!V233,5),0)</f>
        <v/>
      </c>
      <c r="W233" s="237">
        <f>IFERROR(ROUND(计划落实!W233/计划!W233,5),0)</f>
        <v/>
      </c>
      <c r="X233" s="237">
        <f>IFERROR(ROUND(计划落实!X233/计划!X233,5),0)</f>
        <v/>
      </c>
      <c r="Y233" s="237">
        <f>IFERROR(ROUND(计划落实!Y233/计划!Y233,5),0)</f>
        <v/>
      </c>
      <c r="Z233" s="237">
        <f>IFERROR(ROUND(计划落实!Z233/计划!Z233,5),0)</f>
        <v/>
      </c>
      <c r="AA233" s="237">
        <f>IFERROR(ROUND(计划落实!AA233/计划!AA233,5),0)</f>
        <v/>
      </c>
      <c r="AB233" s="237">
        <f>IFERROR(ROUND(计划落实!AB233/计划!AB233,5),0)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4" t="n"/>
      <c r="B234" s="231" t="inlineStr">
        <is>
          <t>SKU-DD4DEF4E</t>
        </is>
      </c>
      <c r="C234" s="231" t="inlineStr">
        <is>
          <t>是</t>
        </is>
      </c>
      <c r="D234" s="231" t="n">
        <v>10</v>
      </c>
      <c r="E234" s="231" t="inlineStr"/>
      <c r="F234" s="231" t="inlineStr"/>
      <c r="G234" s="231" t="inlineStr"/>
      <c r="H234" s="231" t="inlineStr"/>
      <c r="I234" s="231" t="inlineStr"/>
      <c r="J234" s="27" t="inlineStr">
        <is>
          <t>共</t>
        </is>
      </c>
      <c r="K234" s="27" t="inlineStr"/>
      <c r="L234" s="231" t="n">
        <v>100</v>
      </c>
      <c r="M234" s="59" t="inlineStr">
        <is>
          <t>Product-F3C53F7F</t>
        </is>
      </c>
      <c r="N234" s="231" t="n">
        <v>1</v>
      </c>
      <c r="O234" s="236">
        <f>IFERROR(ROUND(计划落实!O234/计划!O234,5),0)</f>
        <v/>
      </c>
      <c r="P234" s="237">
        <f>IFERROR(ROUND(计划落实!P234/计划!P234,5),0)</f>
        <v/>
      </c>
      <c r="Q234" s="237">
        <f>IFERROR(ROUND(计划落实!Q234/计划!Q234,5),0)</f>
        <v/>
      </c>
      <c r="R234" s="237">
        <f>IFERROR(ROUND(计划落实!R234/计划!R234,5),0)</f>
        <v/>
      </c>
      <c r="S234" s="237">
        <f>IFERROR(ROUND(计划落实!S234/计划!S234,5),0)</f>
        <v/>
      </c>
      <c r="T234" s="237">
        <f>IFERROR(ROUND(计划落实!T234/计划!T234,5),0)</f>
        <v/>
      </c>
      <c r="U234" s="237">
        <f>IFERROR(ROUND(计划落实!U234/计划!U234,5),0)</f>
        <v/>
      </c>
      <c r="V234" s="237">
        <f>IFERROR(ROUND(计划落实!V234/计划!V234,5),0)</f>
        <v/>
      </c>
      <c r="W234" s="237">
        <f>IFERROR(ROUND(计划落实!W234/计划!W234,5),0)</f>
        <v/>
      </c>
      <c r="X234" s="237">
        <f>IFERROR(ROUND(计划落实!X234/计划!X234,5),0)</f>
        <v/>
      </c>
      <c r="Y234" s="237">
        <f>IFERROR(ROUND(计划落实!Y234/计划!Y234,5),0)</f>
        <v/>
      </c>
      <c r="Z234" s="237">
        <f>IFERROR(ROUND(计划落实!Z234/计划!Z234,5),0)</f>
        <v/>
      </c>
      <c r="AA234" s="237">
        <f>IFERROR(ROUND(计划落实!AA234/计划!AA234,5),0)</f>
        <v/>
      </c>
      <c r="AB234" s="237">
        <f>IFERROR(ROUND(计划落实!AB234/计划!AB234,5),0)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4" t="n"/>
      <c r="B235" s="231" t="inlineStr">
        <is>
          <t>SKU-05047315</t>
        </is>
      </c>
      <c r="C235" s="231" t="inlineStr">
        <is>
          <t>是</t>
        </is>
      </c>
      <c r="D235" s="231" t="n">
        <v>11</v>
      </c>
      <c r="E235" s="231" t="inlineStr"/>
      <c r="F235" s="231" t="inlineStr"/>
      <c r="G235" s="231" t="inlineStr"/>
      <c r="H235" s="231" t="inlineStr"/>
      <c r="I235" s="231" t="inlineStr"/>
      <c r="J235" s="27" t="inlineStr"/>
      <c r="K235" s="27" t="inlineStr"/>
      <c r="L235" s="231" t="n">
        <v>100</v>
      </c>
      <c r="M235" s="33" t="inlineStr">
        <is>
          <t>Product-81383D73</t>
        </is>
      </c>
      <c r="N235" s="231" t="n">
        <v>3</v>
      </c>
      <c r="O235" s="236">
        <f>IFERROR(ROUND(计划落实!O235/计划!O235,5),0)</f>
        <v/>
      </c>
      <c r="P235" s="237">
        <f>IFERROR(ROUND(计划落实!P235/计划!P235,5),0)</f>
        <v/>
      </c>
      <c r="Q235" s="237">
        <f>IFERROR(ROUND(计划落实!Q235/计划!Q235,5),0)</f>
        <v/>
      </c>
      <c r="R235" s="237">
        <f>IFERROR(ROUND(计划落实!R235/计划!R235,5),0)</f>
        <v/>
      </c>
      <c r="S235" s="237">
        <f>IFERROR(ROUND(计划落实!S235/计划!S235,5),0)</f>
        <v/>
      </c>
      <c r="T235" s="237">
        <f>IFERROR(ROUND(计划落实!T235/计划!T235,5),0)</f>
        <v/>
      </c>
      <c r="U235" s="237">
        <f>IFERROR(ROUND(计划落实!U235/计划!U235,5),0)</f>
        <v/>
      </c>
      <c r="V235" s="237">
        <f>IFERROR(ROUND(计划落实!V235/计划!V235,5),0)</f>
        <v/>
      </c>
      <c r="W235" s="237">
        <f>IFERROR(ROUND(计划落实!W235/计划!W235,5),0)</f>
        <v/>
      </c>
      <c r="X235" s="237">
        <f>IFERROR(ROUND(计划落实!X235/计划!X235,5),0)</f>
        <v/>
      </c>
      <c r="Y235" s="237">
        <f>IFERROR(ROUND(计划落实!Y235/计划!Y235,5),0)</f>
        <v/>
      </c>
      <c r="Z235" s="237">
        <f>IFERROR(ROUND(计划落实!Z235/计划!Z235,5),0)</f>
        <v/>
      </c>
      <c r="AA235" s="237">
        <f>IFERROR(ROUND(计划落实!AA235/计划!AA235,5),0)</f>
        <v/>
      </c>
      <c r="AB235" s="237">
        <f>IFERROR(ROUND(计划落实!AB235/计划!AB235,5),0)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4" t="n"/>
      <c r="B236" s="231" t="inlineStr">
        <is>
          <t>SKU-9CAB8B44</t>
        </is>
      </c>
      <c r="C236" s="231" t="inlineStr">
        <is>
          <t>是</t>
        </is>
      </c>
      <c r="D236" s="231" t="n">
        <v>10</v>
      </c>
      <c r="E236" s="231" t="inlineStr"/>
      <c r="F236" s="231" t="inlineStr">
        <is>
          <t>是</t>
        </is>
      </c>
      <c r="G236" s="231" t="inlineStr"/>
      <c r="H236" s="231" t="inlineStr"/>
      <c r="I236" s="231" t="inlineStr">
        <is>
          <t>是</t>
        </is>
      </c>
      <c r="J236" s="27" t="inlineStr"/>
      <c r="K236" s="27" t="inlineStr"/>
      <c r="L236" s="231" t="n">
        <v>100</v>
      </c>
      <c r="M236" s="43" t="inlineStr">
        <is>
          <t>Product-410E9D24</t>
        </is>
      </c>
      <c r="N236" s="231" t="n">
        <v>1</v>
      </c>
      <c r="O236" s="236">
        <f>IFERROR(ROUND(计划落实!O236/计划!O236,5),0)</f>
        <v/>
      </c>
      <c r="P236" s="237">
        <f>IFERROR(ROUND(计划落实!P236/计划!P236,5),0)</f>
        <v/>
      </c>
      <c r="Q236" s="237">
        <f>IFERROR(ROUND(计划落实!Q236/计划!Q236,5),0)</f>
        <v/>
      </c>
      <c r="R236" s="237">
        <f>IFERROR(ROUND(计划落实!R236/计划!R236,5),0)</f>
        <v/>
      </c>
      <c r="S236" s="237">
        <f>IFERROR(ROUND(计划落实!S236/计划!S236,5),0)</f>
        <v/>
      </c>
      <c r="T236" s="237">
        <f>IFERROR(ROUND(计划落实!T236/计划!T236,5),0)</f>
        <v/>
      </c>
      <c r="U236" s="237">
        <f>IFERROR(ROUND(计划落实!U236/计划!U236,5),0)</f>
        <v/>
      </c>
      <c r="V236" s="237">
        <f>IFERROR(ROUND(计划落实!V236/计划!V236,5),0)</f>
        <v/>
      </c>
      <c r="W236" s="237">
        <f>IFERROR(ROUND(计划落实!W236/计划!W236,5),0)</f>
        <v/>
      </c>
      <c r="X236" s="237">
        <f>IFERROR(ROUND(计划落实!X236/计划!X236,5),0)</f>
        <v/>
      </c>
      <c r="Y236" s="237">
        <f>IFERROR(ROUND(计划落实!Y236/计划!Y236,5),0)</f>
        <v/>
      </c>
      <c r="Z236" s="237">
        <f>IFERROR(ROUND(计划落实!Z236/计划!Z236,5),0)</f>
        <v/>
      </c>
      <c r="AA236" s="237">
        <f>IFERROR(ROUND(计划落实!AA236/计划!AA236,5),0)</f>
        <v/>
      </c>
      <c r="AB236" s="237">
        <f>IFERROR(ROUND(计划落实!AB236/计划!AB236,5),0)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4" t="n"/>
      <c r="B237" s="231" t="inlineStr">
        <is>
          <t>SKU-2AAB30A8</t>
        </is>
      </c>
      <c r="C237" s="231" t="inlineStr">
        <is>
          <t>是</t>
        </is>
      </c>
      <c r="D237" s="231" t="n">
        <v>10</v>
      </c>
      <c r="E237" s="231" t="inlineStr"/>
      <c r="F237" s="231" t="inlineStr"/>
      <c r="G237" s="231" t="inlineStr"/>
      <c r="H237" s="231" t="inlineStr"/>
      <c r="I237" s="231" t="inlineStr"/>
      <c r="J237" s="27" t="inlineStr"/>
      <c r="K237" s="27" t="inlineStr"/>
      <c r="L237" s="231" t="n">
        <v>100</v>
      </c>
      <c r="M237" s="19" t="inlineStr">
        <is>
          <t>Product-81383D73</t>
        </is>
      </c>
      <c r="N237" s="231" t="n">
        <v>3</v>
      </c>
      <c r="O237" s="236">
        <f>IFERROR(ROUND(计划落实!O237/计划!O237,5),0)</f>
        <v/>
      </c>
      <c r="P237" s="237">
        <f>IFERROR(ROUND(计划落实!P237/计划!P237,5),0)</f>
        <v/>
      </c>
      <c r="Q237" s="237">
        <f>IFERROR(ROUND(计划落实!Q237/计划!Q237,5),0)</f>
        <v/>
      </c>
      <c r="R237" s="237">
        <f>IFERROR(ROUND(计划落实!R237/计划!R237,5),0)</f>
        <v/>
      </c>
      <c r="S237" s="237">
        <f>IFERROR(ROUND(计划落实!S237/计划!S237,5),0)</f>
        <v/>
      </c>
      <c r="T237" s="237">
        <f>IFERROR(ROUND(计划落实!T237/计划!T237,5),0)</f>
        <v/>
      </c>
      <c r="U237" s="237">
        <f>IFERROR(ROUND(计划落实!U237/计划!U237,5),0)</f>
        <v/>
      </c>
      <c r="V237" s="237">
        <f>IFERROR(ROUND(计划落实!V237/计划!V237,5),0)</f>
        <v/>
      </c>
      <c r="W237" s="237">
        <f>IFERROR(ROUND(计划落实!W237/计划!W237,5),0)</f>
        <v/>
      </c>
      <c r="X237" s="237">
        <f>IFERROR(ROUND(计划落实!X237/计划!X237,5),0)</f>
        <v/>
      </c>
      <c r="Y237" s="237">
        <f>IFERROR(ROUND(计划落实!Y237/计划!Y237,5),0)</f>
        <v/>
      </c>
      <c r="Z237" s="237">
        <f>IFERROR(ROUND(计划落实!Z237/计划!Z237,5),0)</f>
        <v/>
      </c>
      <c r="AA237" s="237">
        <f>IFERROR(ROUND(计划落实!AA237/计划!AA237,5),0)</f>
        <v/>
      </c>
      <c r="AB237" s="237">
        <f>IFERROR(ROUND(计划落实!AB237/计划!AB237,5),0)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4" t="n"/>
      <c r="B238" s="231" t="inlineStr">
        <is>
          <t>SKU-56549691</t>
        </is>
      </c>
      <c r="C238" s="231" t="inlineStr">
        <is>
          <t>是</t>
        </is>
      </c>
      <c r="D238" s="231" t="n">
        <v>7</v>
      </c>
      <c r="E238" s="231" t="inlineStr">
        <is>
          <t>是</t>
        </is>
      </c>
      <c r="F238" s="231" t="inlineStr"/>
      <c r="G238" s="231" t="inlineStr"/>
      <c r="H238" s="231" t="inlineStr">
        <is>
          <t>是</t>
        </is>
      </c>
      <c r="I238" s="231" t="inlineStr">
        <is>
          <t>是</t>
        </is>
      </c>
      <c r="J238" s="27" t="inlineStr"/>
      <c r="K238" s="27" t="inlineStr"/>
      <c r="L238" s="231" t="n">
        <v>100</v>
      </c>
      <c r="M238" s="45" t="inlineStr">
        <is>
          <t>Product-A2BB61CB</t>
        </is>
      </c>
      <c r="N238" s="231" t="n">
        <v>1</v>
      </c>
      <c r="O238" s="236">
        <f>IFERROR(ROUND(计划落实!O238/计划!O238,5),0)</f>
        <v/>
      </c>
      <c r="P238" s="237">
        <f>IFERROR(ROUND(计划落实!P238/计划!P238,5),0)</f>
        <v/>
      </c>
      <c r="Q238" s="237">
        <f>IFERROR(ROUND(计划落实!Q238/计划!Q238,5),0)</f>
        <v/>
      </c>
      <c r="R238" s="237">
        <f>IFERROR(ROUND(计划落实!R238/计划!R238,5),0)</f>
        <v/>
      </c>
      <c r="S238" s="237">
        <f>IFERROR(ROUND(计划落实!S238/计划!S238,5),0)</f>
        <v/>
      </c>
      <c r="T238" s="237">
        <f>IFERROR(ROUND(计划落实!T238/计划!T238,5),0)</f>
        <v/>
      </c>
      <c r="U238" s="237">
        <f>IFERROR(ROUND(计划落实!U238/计划!U238,5),0)</f>
        <v/>
      </c>
      <c r="V238" s="237">
        <f>IFERROR(ROUND(计划落实!V238/计划!V238,5),0)</f>
        <v/>
      </c>
      <c r="W238" s="237">
        <f>IFERROR(ROUND(计划落实!W238/计划!W238,5),0)</f>
        <v/>
      </c>
      <c r="X238" s="237">
        <f>IFERROR(ROUND(计划落实!X238/计划!X238,5),0)</f>
        <v/>
      </c>
      <c r="Y238" s="237">
        <f>IFERROR(ROUND(计划落实!Y238/计划!Y238,5),0)</f>
        <v/>
      </c>
      <c r="Z238" s="237">
        <f>IFERROR(ROUND(计划落实!Z238/计划!Z238,5),0)</f>
        <v/>
      </c>
      <c r="AA238" s="237">
        <f>IFERROR(ROUND(计划落实!AA238/计划!AA238,5),0)</f>
        <v/>
      </c>
      <c r="AB238" s="237">
        <f>IFERROR(ROUND(计划落实!AB238/计划!AB238,5),0)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5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239">
        <f>IFERROR(ROUND(计划落实!O239/计划!O239,5),0)</f>
        <v/>
      </c>
      <c r="P239" s="239">
        <f>IFERROR(ROUND(计划落实!P239/计划!P239,5),0)</f>
        <v/>
      </c>
      <c r="Q239" s="239">
        <f>IFERROR(ROUND(计划落实!Q239/计划!Q239,5),0)</f>
        <v/>
      </c>
      <c r="R239" s="239">
        <f>IFERROR(ROUND(计划落实!R239/计划!R239,5),0)</f>
        <v/>
      </c>
      <c r="S239" s="239">
        <f>IFERROR(ROUND(计划落实!S239/计划!S239,5),0)</f>
        <v/>
      </c>
      <c r="T239" s="239">
        <f>IFERROR(ROUND(计划落实!T239/计划!T239,5),0)</f>
        <v/>
      </c>
      <c r="U239" s="239">
        <f>IFERROR(ROUND(计划落实!U239/计划!U239,5),0)</f>
        <v/>
      </c>
      <c r="V239" s="239">
        <f>IFERROR(ROUND(计划落实!V239/计划!V239,5),0)</f>
        <v/>
      </c>
      <c r="W239" s="239">
        <f>IFERROR(ROUND(计划落实!W239/计划!W239,5),0)</f>
        <v/>
      </c>
      <c r="X239" s="239">
        <f>IFERROR(ROUND(计划落实!X239/计划!X239,5),0)</f>
        <v/>
      </c>
      <c r="Y239" s="239">
        <f>IFERROR(ROUND(计划落实!Y239/计划!Y239,5),0)</f>
        <v/>
      </c>
      <c r="Z239" s="239">
        <f>IFERROR(ROUND(计划落实!Z239/计划!Z239,5),0)</f>
        <v/>
      </c>
      <c r="AA239" s="239">
        <f>IFERROR(ROUND(计划落实!AA239/计划!AA239,5),0)</f>
        <v/>
      </c>
      <c r="AB239" s="239">
        <f>IFERROR(ROUND(计划落实!AB239/计划!AB239,5),0)</f>
        <v/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31" t="inlineStr">
        <is>
          <t>SKU-96A04697</t>
        </is>
      </c>
      <c r="C240" s="231" t="inlineStr">
        <is>
          <t>是</t>
        </is>
      </c>
      <c r="D240" s="231" t="n">
        <v>10</v>
      </c>
      <c r="E240" s="231" t="inlineStr"/>
      <c r="F240" s="231" t="inlineStr"/>
      <c r="G240" s="231" t="inlineStr"/>
      <c r="H240" s="231" t="inlineStr">
        <is>
          <t>是</t>
        </is>
      </c>
      <c r="I240" s="231" t="inlineStr">
        <is>
          <t>是</t>
        </is>
      </c>
      <c r="J240" s="27" t="inlineStr"/>
      <c r="K240" s="27" t="inlineStr"/>
      <c r="L240" s="231" t="n">
        <v>100</v>
      </c>
      <c r="M240" s="19" t="inlineStr">
        <is>
          <t>Product-28EE2E14</t>
        </is>
      </c>
      <c r="N240" s="231" t="n">
        <v>1</v>
      </c>
      <c r="O240" s="236">
        <f>IFERROR(ROUND(计划落实!O240/计划!O240,5),0)</f>
        <v/>
      </c>
      <c r="P240" s="237">
        <f>IFERROR(ROUND(计划落实!P240/计划!P240,5),0)</f>
        <v/>
      </c>
      <c r="Q240" s="237">
        <f>IFERROR(ROUND(计划落实!Q240/计划!Q240,5),0)</f>
        <v/>
      </c>
      <c r="R240" s="237">
        <f>IFERROR(ROUND(计划落实!R240/计划!R240,5),0)</f>
        <v/>
      </c>
      <c r="S240" s="237">
        <f>IFERROR(ROUND(计划落实!S240/计划!S240,5),0)</f>
        <v/>
      </c>
      <c r="T240" s="237">
        <f>IFERROR(ROUND(计划落实!T240/计划!T240,5),0)</f>
        <v/>
      </c>
      <c r="U240" s="237">
        <f>IFERROR(ROUND(计划落实!U240/计划!U240,5),0)</f>
        <v/>
      </c>
      <c r="V240" s="237">
        <f>IFERROR(ROUND(计划落实!V240/计划!V240,5),0)</f>
        <v/>
      </c>
      <c r="W240" s="237">
        <f>IFERROR(ROUND(计划落实!W240/计划!W240,5),0)</f>
        <v/>
      </c>
      <c r="X240" s="237">
        <f>IFERROR(ROUND(计划落实!X240/计划!X240,5),0)</f>
        <v/>
      </c>
      <c r="Y240" s="237">
        <f>IFERROR(ROUND(计划落实!Y240/计划!Y240,5),0)</f>
        <v/>
      </c>
      <c r="Z240" s="237">
        <f>IFERROR(ROUND(计划落实!Z240/计划!Z240,5),0)</f>
        <v/>
      </c>
      <c r="AA240" s="237">
        <f>IFERROR(ROUND(计划落实!AA240/计划!AA240,5),0)</f>
        <v/>
      </c>
      <c r="AB240" s="237">
        <f>IFERROR(ROUND(计划落实!AB240/计划!AB240,5),0)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4" t="n"/>
      <c r="B241" s="231" t="inlineStr">
        <is>
          <t>SKU-D5EF4CB5</t>
        </is>
      </c>
      <c r="C241" s="231" t="inlineStr">
        <is>
          <t>是</t>
        </is>
      </c>
      <c r="D241" s="231" t="n">
        <v>11</v>
      </c>
      <c r="E241" s="231" t="inlineStr"/>
      <c r="F241" s="231" t="inlineStr"/>
      <c r="G241" s="231" t="inlineStr"/>
      <c r="H241" s="231" t="inlineStr"/>
      <c r="I241" s="231" t="inlineStr"/>
      <c r="J241" s="27" t="inlineStr"/>
      <c r="K241" s="27" t="inlineStr"/>
      <c r="L241" s="231" t="n">
        <v>100</v>
      </c>
      <c r="M241" s="19" t="inlineStr">
        <is>
          <t>Product-37275E77</t>
        </is>
      </c>
      <c r="N241" s="231" t="n">
        <v>3</v>
      </c>
      <c r="O241" s="236">
        <f>IFERROR(ROUND(计划落实!O241/计划!O241,5),0)</f>
        <v/>
      </c>
      <c r="P241" s="237">
        <f>IFERROR(ROUND(计划落实!P241/计划!P241,5),0)</f>
        <v/>
      </c>
      <c r="Q241" s="237">
        <f>IFERROR(ROUND(计划落实!Q241/计划!Q241,5),0)</f>
        <v/>
      </c>
      <c r="R241" s="237">
        <f>IFERROR(ROUND(计划落实!R241/计划!R241,5),0)</f>
        <v/>
      </c>
      <c r="S241" s="237">
        <f>IFERROR(ROUND(计划落实!S241/计划!S241,5),0)</f>
        <v/>
      </c>
      <c r="T241" s="237">
        <f>IFERROR(ROUND(计划落实!T241/计划!T241,5),0)</f>
        <v/>
      </c>
      <c r="U241" s="237">
        <f>IFERROR(ROUND(计划落实!U241/计划!U241,5),0)</f>
        <v/>
      </c>
      <c r="V241" s="237">
        <f>IFERROR(ROUND(计划落实!V241/计划!V241,5),0)</f>
        <v/>
      </c>
      <c r="W241" s="237">
        <f>IFERROR(ROUND(计划落实!W241/计划!W241,5),0)</f>
        <v/>
      </c>
      <c r="X241" s="237">
        <f>IFERROR(ROUND(计划落实!X241/计划!X241,5),0)</f>
        <v/>
      </c>
      <c r="Y241" s="237">
        <f>IFERROR(ROUND(计划落实!Y241/计划!Y241,5),0)</f>
        <v/>
      </c>
      <c r="Z241" s="237">
        <f>IFERROR(ROUND(计划落实!Z241/计划!Z241,5),0)</f>
        <v/>
      </c>
      <c r="AA241" s="237">
        <f>IFERROR(ROUND(计划落实!AA241/计划!AA241,5),0)</f>
        <v/>
      </c>
      <c r="AB241" s="237">
        <f>IFERROR(ROUND(计划落实!AB241/计划!AB241,5),0)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4" t="n"/>
      <c r="B242" s="231" t="inlineStr">
        <is>
          <t>SKU-74022443</t>
        </is>
      </c>
      <c r="C242" s="231" t="inlineStr">
        <is>
          <t>是</t>
        </is>
      </c>
      <c r="D242" s="231" t="n">
        <v>7</v>
      </c>
      <c r="E242" s="231" t="inlineStr">
        <is>
          <t>是</t>
        </is>
      </c>
      <c r="F242" s="231" t="inlineStr"/>
      <c r="G242" s="231" t="inlineStr"/>
      <c r="H242" s="231" t="inlineStr">
        <is>
          <t>是</t>
        </is>
      </c>
      <c r="I242" s="231" t="inlineStr">
        <is>
          <t>是</t>
        </is>
      </c>
      <c r="J242" s="27" t="inlineStr">
        <is>
          <t>共</t>
        </is>
      </c>
      <c r="K242" s="27" t="inlineStr"/>
      <c r="L242" s="231" t="n">
        <v>100</v>
      </c>
      <c r="M242" s="19" t="inlineStr">
        <is>
          <t>Product-FC598C42</t>
        </is>
      </c>
      <c r="N242" s="231" t="n">
        <v>1</v>
      </c>
      <c r="O242" s="236">
        <f>IFERROR(ROUND(计划落实!O242/计划!O242,5),0)</f>
        <v/>
      </c>
      <c r="P242" s="237">
        <f>IFERROR(ROUND(计划落实!P242/计划!P242,5),0)</f>
        <v/>
      </c>
      <c r="Q242" s="237">
        <f>IFERROR(ROUND(计划落实!Q242/计划!Q242,5),0)</f>
        <v/>
      </c>
      <c r="R242" s="237">
        <f>IFERROR(ROUND(计划落实!R242/计划!R242,5),0)</f>
        <v/>
      </c>
      <c r="S242" s="237">
        <f>IFERROR(ROUND(计划落实!S242/计划!S242,5),0)</f>
        <v/>
      </c>
      <c r="T242" s="237">
        <f>IFERROR(ROUND(计划落实!T242/计划!T242,5),0)</f>
        <v/>
      </c>
      <c r="U242" s="237">
        <f>IFERROR(ROUND(计划落实!U242/计划!U242,5),0)</f>
        <v/>
      </c>
      <c r="V242" s="237">
        <f>IFERROR(ROUND(计划落实!V242/计划!V242,5),0)</f>
        <v/>
      </c>
      <c r="W242" s="237">
        <f>IFERROR(ROUND(计划落实!W242/计划!W242,5),0)</f>
        <v/>
      </c>
      <c r="X242" s="237">
        <f>IFERROR(ROUND(计划落实!X242/计划!X242,5),0)</f>
        <v/>
      </c>
      <c r="Y242" s="237">
        <f>IFERROR(ROUND(计划落实!Y242/计划!Y242,5),0)</f>
        <v/>
      </c>
      <c r="Z242" s="237">
        <f>IFERROR(ROUND(计划落实!Z242/计划!Z242,5),0)</f>
        <v/>
      </c>
      <c r="AA242" s="237">
        <f>IFERROR(ROUND(计划落实!AA242/计划!AA242,5),0)</f>
        <v/>
      </c>
      <c r="AB242" s="237">
        <f>IFERROR(ROUND(计划落实!AB242/计划!AB242,5),0)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4" t="n"/>
      <c r="B243" s="231" t="inlineStr">
        <is>
          <t>SKU-6F1556A7</t>
        </is>
      </c>
      <c r="C243" s="231" t="inlineStr">
        <is>
          <t>是</t>
        </is>
      </c>
      <c r="D243" s="231" t="n">
        <v>6</v>
      </c>
      <c r="E243" s="231" t="inlineStr">
        <is>
          <t>是</t>
        </is>
      </c>
      <c r="F243" s="231" t="inlineStr"/>
      <c r="G243" s="231" t="inlineStr"/>
      <c r="H243" s="231" t="inlineStr">
        <is>
          <t>是</t>
        </is>
      </c>
      <c r="I243" s="231" t="inlineStr">
        <is>
          <t>是</t>
        </is>
      </c>
      <c r="J243" s="27" t="inlineStr"/>
      <c r="K243" s="27" t="inlineStr"/>
      <c r="L243" s="231" t="n">
        <v>100</v>
      </c>
      <c r="M243" s="19" t="inlineStr">
        <is>
          <t>Product-76A9C072</t>
        </is>
      </c>
      <c r="N243" s="231" t="n">
        <v>1</v>
      </c>
      <c r="O243" s="236">
        <f>IFERROR(ROUND(计划落实!O243/计划!O243,5),0)</f>
        <v/>
      </c>
      <c r="P243" s="237">
        <f>IFERROR(ROUND(计划落实!P243/计划!P243,5),0)</f>
        <v/>
      </c>
      <c r="Q243" s="237">
        <f>IFERROR(ROUND(计划落实!Q243/计划!Q243,5),0)</f>
        <v/>
      </c>
      <c r="R243" s="237">
        <f>IFERROR(ROUND(计划落实!R243/计划!R243,5),0)</f>
        <v/>
      </c>
      <c r="S243" s="237">
        <f>IFERROR(ROUND(计划落实!S243/计划!S243,5),0)</f>
        <v/>
      </c>
      <c r="T243" s="237">
        <f>IFERROR(ROUND(计划落实!T243/计划!T243,5),0)</f>
        <v/>
      </c>
      <c r="U243" s="237">
        <f>IFERROR(ROUND(计划落实!U243/计划!U243,5),0)</f>
        <v/>
      </c>
      <c r="V243" s="237">
        <f>IFERROR(ROUND(计划落实!V243/计划!V243,5),0)</f>
        <v/>
      </c>
      <c r="W243" s="237">
        <f>IFERROR(ROUND(计划落实!W243/计划!W243,5),0)</f>
        <v/>
      </c>
      <c r="X243" s="237">
        <f>IFERROR(ROUND(计划落实!X243/计划!X243,5),0)</f>
        <v/>
      </c>
      <c r="Y243" s="237">
        <f>IFERROR(ROUND(计划落实!Y243/计划!Y243,5),0)</f>
        <v/>
      </c>
      <c r="Z243" s="237">
        <f>IFERROR(ROUND(计划落实!Z243/计划!Z243,5),0)</f>
        <v/>
      </c>
      <c r="AA243" s="237">
        <f>IFERROR(ROUND(计划落实!AA243/计划!AA243,5),0)</f>
        <v/>
      </c>
      <c r="AB243" s="237">
        <f>IFERROR(ROUND(计划落实!AB243/计划!AB243,5),0)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4" t="n"/>
      <c r="B244" s="231" t="inlineStr">
        <is>
          <t>SKU-D9263F39</t>
        </is>
      </c>
      <c r="C244" s="231" t="inlineStr">
        <is>
          <t>是</t>
        </is>
      </c>
      <c r="D244" s="231" t="n">
        <v>8</v>
      </c>
      <c r="E244" s="231" t="inlineStr">
        <is>
          <t>是</t>
        </is>
      </c>
      <c r="F244" s="231" t="inlineStr"/>
      <c r="G244" s="231" t="inlineStr"/>
      <c r="H244" s="231" t="inlineStr">
        <is>
          <t>是</t>
        </is>
      </c>
      <c r="I244" s="231" t="inlineStr">
        <is>
          <t>是</t>
        </is>
      </c>
      <c r="J244" s="27" t="inlineStr"/>
      <c r="K244" s="27" t="inlineStr"/>
      <c r="L244" s="231" t="n">
        <v>100</v>
      </c>
      <c r="M244" s="19" t="inlineStr">
        <is>
          <t>Product-D1698B4E</t>
        </is>
      </c>
      <c r="N244" s="231" t="n">
        <v>1</v>
      </c>
      <c r="O244" s="236">
        <f>IFERROR(ROUND(计划落实!O244/计划!O244,5),0)</f>
        <v/>
      </c>
      <c r="P244" s="237">
        <f>IFERROR(ROUND(计划落实!P244/计划!P244,5),0)</f>
        <v/>
      </c>
      <c r="Q244" s="237">
        <f>IFERROR(ROUND(计划落实!Q244/计划!Q244,5),0)</f>
        <v/>
      </c>
      <c r="R244" s="237">
        <f>IFERROR(ROUND(计划落实!R244/计划!R244,5),0)</f>
        <v/>
      </c>
      <c r="S244" s="237">
        <f>IFERROR(ROUND(计划落实!S244/计划!S244,5),0)</f>
        <v/>
      </c>
      <c r="T244" s="237">
        <f>IFERROR(ROUND(计划落实!T244/计划!T244,5),0)</f>
        <v/>
      </c>
      <c r="U244" s="237">
        <f>IFERROR(ROUND(计划落实!U244/计划!U244,5),0)</f>
        <v/>
      </c>
      <c r="V244" s="237">
        <f>IFERROR(ROUND(计划落实!V244/计划!V244,5),0)</f>
        <v/>
      </c>
      <c r="W244" s="237">
        <f>IFERROR(ROUND(计划落实!W244/计划!W244,5),0)</f>
        <v/>
      </c>
      <c r="X244" s="237">
        <f>IFERROR(ROUND(计划落实!X244/计划!X244,5),0)</f>
        <v/>
      </c>
      <c r="Y244" s="237">
        <f>IFERROR(ROUND(计划落实!Y244/计划!Y244,5),0)</f>
        <v/>
      </c>
      <c r="Z244" s="237">
        <f>IFERROR(ROUND(计划落实!Z244/计划!Z244,5),0)</f>
        <v/>
      </c>
      <c r="AA244" s="237">
        <f>IFERROR(ROUND(计划落实!AA244/计划!AA244,5),0)</f>
        <v/>
      </c>
      <c r="AB244" s="237">
        <f>IFERROR(ROUND(计划落实!AB244/计划!AB244,5),0)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4" t="n"/>
      <c r="B245" s="231" t="inlineStr">
        <is>
          <t>SKU-A2042F81</t>
        </is>
      </c>
      <c r="C245" s="231" t="inlineStr">
        <is>
          <t>是</t>
        </is>
      </c>
      <c r="D245" s="231" t="n">
        <v>8</v>
      </c>
      <c r="E245" s="231" t="inlineStr"/>
      <c r="F245" s="231" t="inlineStr">
        <is>
          <t>是</t>
        </is>
      </c>
      <c r="G245" s="231" t="inlineStr"/>
      <c r="H245" s="231" t="inlineStr"/>
      <c r="I245" s="231" t="inlineStr">
        <is>
          <t>是</t>
        </is>
      </c>
      <c r="J245" s="27" t="inlineStr"/>
      <c r="K245" s="27" t="inlineStr"/>
      <c r="L245" s="231" t="n">
        <v>100</v>
      </c>
      <c r="M245" s="19" t="inlineStr">
        <is>
          <t>Product-1E515825</t>
        </is>
      </c>
      <c r="N245" s="231" t="n">
        <v>1</v>
      </c>
      <c r="O245" s="236">
        <f>IFERROR(ROUND(计划落实!O245/计划!O245,5),0)</f>
        <v/>
      </c>
      <c r="P245" s="237">
        <f>IFERROR(ROUND(计划落实!P245/计划!P245,5),0)</f>
        <v/>
      </c>
      <c r="Q245" s="237">
        <f>IFERROR(ROUND(计划落实!Q245/计划!Q245,5),0)</f>
        <v/>
      </c>
      <c r="R245" s="237">
        <f>IFERROR(ROUND(计划落实!R245/计划!R245,5),0)</f>
        <v/>
      </c>
      <c r="S245" s="237">
        <f>IFERROR(ROUND(计划落实!S245/计划!S245,5),0)</f>
        <v/>
      </c>
      <c r="T245" s="237">
        <f>IFERROR(ROUND(计划落实!T245/计划!T245,5),0)</f>
        <v/>
      </c>
      <c r="U245" s="237">
        <f>IFERROR(ROUND(计划落实!U245/计划!U245,5),0)</f>
        <v/>
      </c>
      <c r="V245" s="237">
        <f>IFERROR(ROUND(计划落实!V245/计划!V245,5),0)</f>
        <v/>
      </c>
      <c r="W245" s="237">
        <f>IFERROR(ROUND(计划落实!W245/计划!W245,5),0)</f>
        <v/>
      </c>
      <c r="X245" s="237">
        <f>IFERROR(ROUND(计划落实!X245/计划!X245,5),0)</f>
        <v/>
      </c>
      <c r="Y245" s="237">
        <f>IFERROR(ROUND(计划落实!Y245/计划!Y245,5),0)</f>
        <v/>
      </c>
      <c r="Z245" s="237">
        <f>IFERROR(ROUND(计划落实!Z245/计划!Z245,5),0)</f>
        <v/>
      </c>
      <c r="AA245" s="237">
        <f>IFERROR(ROUND(计划落实!AA245/计划!AA245,5),0)</f>
        <v/>
      </c>
      <c r="AB245" s="237">
        <f>IFERROR(ROUND(计划落实!AB245/计划!AB245,5),0)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4" t="n"/>
      <c r="B246" s="231" t="inlineStr">
        <is>
          <t>SKU-0A2F7001</t>
        </is>
      </c>
      <c r="C246" s="231" t="inlineStr"/>
      <c r="D246" s="231" t="n">
        <v>10</v>
      </c>
      <c r="E246" s="231" t="inlineStr"/>
      <c r="F246" s="231" t="inlineStr"/>
      <c r="G246" s="231" t="inlineStr"/>
      <c r="H246" s="231" t="inlineStr"/>
      <c r="I246" s="231" t="inlineStr"/>
      <c r="J246" s="27" t="inlineStr"/>
      <c r="K246" s="27" t="inlineStr"/>
      <c r="L246" s="231" t="n">
        <v>100</v>
      </c>
      <c r="M246" s="19" t="inlineStr">
        <is>
          <t>Product-FCAC2E38</t>
        </is>
      </c>
      <c r="N246" s="231" t="n">
        <v>3</v>
      </c>
      <c r="O246" s="236">
        <f>IFERROR(ROUND(计划落实!O246/计划!O246,5),0)</f>
        <v/>
      </c>
      <c r="P246" s="237">
        <f>IFERROR(ROUND(计划落实!P246/计划!P246,5),0)</f>
        <v/>
      </c>
      <c r="Q246" s="237">
        <f>IFERROR(ROUND(计划落实!Q246/计划!Q246,5),0)</f>
        <v/>
      </c>
      <c r="R246" s="237">
        <f>IFERROR(ROUND(计划落实!R246/计划!R246,5),0)</f>
        <v/>
      </c>
      <c r="S246" s="237">
        <f>IFERROR(ROUND(计划落实!S246/计划!S246,5),0)</f>
        <v/>
      </c>
      <c r="T246" s="237">
        <f>IFERROR(ROUND(计划落实!T246/计划!T246,5),0)</f>
        <v/>
      </c>
      <c r="U246" s="237">
        <f>IFERROR(ROUND(计划落实!U246/计划!U246,5),0)</f>
        <v/>
      </c>
      <c r="V246" s="237">
        <f>IFERROR(ROUND(计划落实!V246/计划!V246,5),0)</f>
        <v/>
      </c>
      <c r="W246" s="237">
        <f>IFERROR(ROUND(计划落实!W246/计划!W246,5),0)</f>
        <v/>
      </c>
      <c r="X246" s="237">
        <f>IFERROR(ROUND(计划落实!X246/计划!X246,5),0)</f>
        <v/>
      </c>
      <c r="Y246" s="237">
        <f>IFERROR(ROUND(计划落实!Y246/计划!Y246,5),0)</f>
        <v/>
      </c>
      <c r="Z246" s="237">
        <f>IFERROR(ROUND(计划落实!Z246/计划!Z246,5),0)</f>
        <v/>
      </c>
      <c r="AA246" s="237">
        <f>IFERROR(ROUND(计划落实!AA246/计划!AA246,5),0)</f>
        <v/>
      </c>
      <c r="AB246" s="237">
        <f>IFERROR(ROUND(计划落实!AB246/计划!AB246,5),0)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5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239">
        <f>IFERROR(ROUND(计划落实!O247/计划!O247,5),0)</f>
        <v/>
      </c>
      <c r="P247" s="239">
        <f>IFERROR(ROUND(计划落实!P247/计划!P247,5),0)</f>
        <v/>
      </c>
      <c r="Q247" s="239">
        <f>IFERROR(ROUND(计划落实!Q247/计划!Q247,5),0)</f>
        <v/>
      </c>
      <c r="R247" s="239">
        <f>IFERROR(ROUND(计划落实!R247/计划!R247,5),0)</f>
        <v/>
      </c>
      <c r="S247" s="239">
        <f>IFERROR(ROUND(计划落实!S247/计划!S247,5),0)</f>
        <v/>
      </c>
      <c r="T247" s="239">
        <f>IFERROR(ROUND(计划落实!T247/计划!T247,5),0)</f>
        <v/>
      </c>
      <c r="U247" s="239">
        <f>IFERROR(ROUND(计划落实!U247/计划!U247,5),0)</f>
        <v/>
      </c>
      <c r="V247" s="239">
        <f>IFERROR(ROUND(计划落实!V247/计划!V247,5),0)</f>
        <v/>
      </c>
      <c r="W247" s="239">
        <f>IFERROR(ROUND(计划落实!W247/计划!W247,5),0)</f>
        <v/>
      </c>
      <c r="X247" s="239">
        <f>IFERROR(ROUND(计划落实!X247/计划!X247,5),0)</f>
        <v/>
      </c>
      <c r="Y247" s="239">
        <f>IFERROR(ROUND(计划落实!Y247/计划!Y247,5),0)</f>
        <v/>
      </c>
      <c r="Z247" s="239">
        <f>IFERROR(ROUND(计划落实!Z247/计划!Z247,5),0)</f>
        <v/>
      </c>
      <c r="AA247" s="239">
        <f>IFERROR(ROUND(计划落实!AA247/计划!AA247,5),0)</f>
        <v/>
      </c>
      <c r="AB247" s="239">
        <f>IFERROR(ROUND(计划落实!AB247/计划!AB247,5),0)</f>
        <v/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31" t="inlineStr">
        <is>
          <t>SKU-ED222C1F</t>
        </is>
      </c>
      <c r="C248" s="231" t="inlineStr">
        <is>
          <t>是</t>
        </is>
      </c>
      <c r="D248" s="231" t="n">
        <v>11</v>
      </c>
      <c r="E248" s="231" t="inlineStr"/>
      <c r="F248" s="231" t="inlineStr"/>
      <c r="G248" s="231" t="inlineStr"/>
      <c r="H248" s="231" t="inlineStr"/>
      <c r="I248" s="231" t="inlineStr"/>
      <c r="J248" s="27" t="inlineStr">
        <is>
          <t>共</t>
        </is>
      </c>
      <c r="K248" s="27" t="inlineStr"/>
      <c r="L248" s="231" t="n">
        <v>100</v>
      </c>
      <c r="M248" s="19" t="inlineStr">
        <is>
          <t>Product-7064CA4A</t>
        </is>
      </c>
      <c r="N248" s="231" t="n">
        <v>1</v>
      </c>
      <c r="O248" s="236">
        <f>IFERROR(ROUND(计划落实!O248/计划!O248,5),0)</f>
        <v/>
      </c>
      <c r="P248" s="237">
        <f>IFERROR(ROUND(计划落实!P248/计划!P248,5),0)</f>
        <v/>
      </c>
      <c r="Q248" s="237">
        <f>IFERROR(ROUND(计划落实!Q248/计划!Q248,5),0)</f>
        <v/>
      </c>
      <c r="R248" s="237">
        <f>IFERROR(ROUND(计划落实!R248/计划!R248,5),0)</f>
        <v/>
      </c>
      <c r="S248" s="237">
        <f>IFERROR(ROUND(计划落实!S248/计划!S248,5),0)</f>
        <v/>
      </c>
      <c r="T248" s="237">
        <f>IFERROR(ROUND(计划落实!T248/计划!T248,5),0)</f>
        <v/>
      </c>
      <c r="U248" s="237">
        <f>IFERROR(ROUND(计划落实!U248/计划!U248,5),0)</f>
        <v/>
      </c>
      <c r="V248" s="237">
        <f>IFERROR(ROUND(计划落实!V248/计划!V248,5),0)</f>
        <v/>
      </c>
      <c r="W248" s="237">
        <f>IFERROR(ROUND(计划落实!W248/计划!W248,5),0)</f>
        <v/>
      </c>
      <c r="X248" s="237">
        <f>IFERROR(ROUND(计划落实!X248/计划!X248,5),0)</f>
        <v/>
      </c>
      <c r="Y248" s="237">
        <f>IFERROR(ROUND(计划落实!Y248/计划!Y248,5),0)</f>
        <v/>
      </c>
      <c r="Z248" s="237">
        <f>IFERROR(ROUND(计划落实!Z248/计划!Z248,5),0)</f>
        <v/>
      </c>
      <c r="AA248" s="237">
        <f>IFERROR(ROUND(计划落实!AA248/计划!AA248,5),0)</f>
        <v/>
      </c>
      <c r="AB248" s="237">
        <f>IFERROR(ROUND(计划落实!AB248/计划!AB248,5),0)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4" t="n"/>
      <c r="B249" s="231" t="inlineStr">
        <is>
          <t>SKU-0B9EE4CD</t>
        </is>
      </c>
      <c r="C249" s="231" t="inlineStr">
        <is>
          <t>是</t>
        </is>
      </c>
      <c r="D249" s="231" t="n">
        <v>10</v>
      </c>
      <c r="E249" s="231" t="inlineStr"/>
      <c r="F249" s="231" t="inlineStr"/>
      <c r="G249" s="231" t="inlineStr"/>
      <c r="H249" s="231" t="inlineStr"/>
      <c r="I249" s="231" t="inlineStr"/>
      <c r="J249" s="27" t="inlineStr"/>
      <c r="K249" s="27" t="inlineStr"/>
      <c r="L249" s="231" t="n">
        <v>100</v>
      </c>
      <c r="M249" s="19" t="inlineStr">
        <is>
          <t>Product-326C7E91</t>
        </is>
      </c>
      <c r="N249" s="231" t="n">
        <v>2</v>
      </c>
      <c r="O249" s="236">
        <f>IFERROR(ROUND(计划落实!O249/计划!O249,5),0)</f>
        <v/>
      </c>
      <c r="P249" s="237">
        <f>IFERROR(ROUND(计划落实!P249/计划!P249,5),0)</f>
        <v/>
      </c>
      <c r="Q249" s="237">
        <f>IFERROR(ROUND(计划落实!Q249/计划!Q249,5),0)</f>
        <v/>
      </c>
      <c r="R249" s="237">
        <f>IFERROR(ROUND(计划落实!R249/计划!R249,5),0)</f>
        <v/>
      </c>
      <c r="S249" s="237">
        <f>IFERROR(ROUND(计划落实!S249/计划!S249,5),0)</f>
        <v/>
      </c>
      <c r="T249" s="237">
        <f>IFERROR(ROUND(计划落实!T249/计划!T249,5),0)</f>
        <v/>
      </c>
      <c r="U249" s="237">
        <f>IFERROR(ROUND(计划落实!U249/计划!U249,5),0)</f>
        <v/>
      </c>
      <c r="V249" s="237">
        <f>IFERROR(ROUND(计划落实!V249/计划!V249,5),0)</f>
        <v/>
      </c>
      <c r="W249" s="237">
        <f>IFERROR(ROUND(计划落实!W249/计划!W249,5),0)</f>
        <v/>
      </c>
      <c r="X249" s="237">
        <f>IFERROR(ROUND(计划落实!X249/计划!X249,5),0)</f>
        <v/>
      </c>
      <c r="Y249" s="237">
        <f>IFERROR(ROUND(计划落实!Y249/计划!Y249,5),0)</f>
        <v/>
      </c>
      <c r="Z249" s="237">
        <f>IFERROR(ROUND(计划落实!Z249/计划!Z249,5),0)</f>
        <v/>
      </c>
      <c r="AA249" s="237">
        <f>IFERROR(ROUND(计划落实!AA249/计划!AA249,5),0)</f>
        <v/>
      </c>
      <c r="AB249" s="237">
        <f>IFERROR(ROUND(计划落实!AB249/计划!AB249,5),0)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4" t="n"/>
      <c r="B250" s="231" t="inlineStr">
        <is>
          <t>SKU-92F9812B</t>
        </is>
      </c>
      <c r="C250" s="231" t="inlineStr">
        <is>
          <t>是</t>
        </is>
      </c>
      <c r="D250" s="231" t="n">
        <v>8</v>
      </c>
      <c r="E250" s="231" t="inlineStr"/>
      <c r="F250" s="231" t="inlineStr"/>
      <c r="G250" s="231" t="inlineStr"/>
      <c r="H250" s="231" t="inlineStr"/>
      <c r="I250" s="231" t="inlineStr"/>
      <c r="J250" s="27" t="inlineStr"/>
      <c r="K250" s="27" t="inlineStr"/>
      <c r="L250" s="231" t="n">
        <v>100</v>
      </c>
      <c r="M250" s="19" t="inlineStr">
        <is>
          <t>Product-68B82AAE</t>
        </is>
      </c>
      <c r="N250" s="231" t="n">
        <v>3</v>
      </c>
      <c r="O250" s="236">
        <f>IFERROR(ROUND(计划落实!O250/计划!O250,5),0)</f>
        <v/>
      </c>
      <c r="P250" s="237">
        <f>IFERROR(ROUND(计划落实!P250/计划!P250,5),0)</f>
        <v/>
      </c>
      <c r="Q250" s="237">
        <f>IFERROR(ROUND(计划落实!Q250/计划!Q250,5),0)</f>
        <v/>
      </c>
      <c r="R250" s="237">
        <f>IFERROR(ROUND(计划落实!R250/计划!R250,5),0)</f>
        <v/>
      </c>
      <c r="S250" s="237">
        <f>IFERROR(ROUND(计划落实!S250/计划!S250,5),0)</f>
        <v/>
      </c>
      <c r="T250" s="237">
        <f>IFERROR(ROUND(计划落实!T250/计划!T250,5),0)</f>
        <v/>
      </c>
      <c r="U250" s="237">
        <f>IFERROR(ROUND(计划落实!U250/计划!U250,5),0)</f>
        <v/>
      </c>
      <c r="V250" s="237">
        <f>IFERROR(ROUND(计划落实!V250/计划!V250,5),0)</f>
        <v/>
      </c>
      <c r="W250" s="237">
        <f>IFERROR(ROUND(计划落实!W250/计划!W250,5),0)</f>
        <v/>
      </c>
      <c r="X250" s="237">
        <f>IFERROR(ROUND(计划落实!X250/计划!X250,5),0)</f>
        <v/>
      </c>
      <c r="Y250" s="237">
        <f>IFERROR(ROUND(计划落实!Y250/计划!Y250,5),0)</f>
        <v/>
      </c>
      <c r="Z250" s="237">
        <f>IFERROR(ROUND(计划落实!Z250/计划!Z250,5),0)</f>
        <v/>
      </c>
      <c r="AA250" s="237">
        <f>IFERROR(ROUND(计划落实!AA250/计划!AA250,5),0)</f>
        <v/>
      </c>
      <c r="AB250" s="237">
        <f>IFERROR(ROUND(计划落实!AB250/计划!AB250,5),0)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4" t="n"/>
      <c r="B251" s="231" t="inlineStr">
        <is>
          <t>SKU-6D767F9B</t>
        </is>
      </c>
      <c r="C251" s="231" t="inlineStr">
        <is>
          <t>是</t>
        </is>
      </c>
      <c r="D251" s="231" t="n">
        <v>8</v>
      </c>
      <c r="E251" s="231" t="inlineStr"/>
      <c r="F251" s="231" t="inlineStr"/>
      <c r="G251" s="231" t="inlineStr"/>
      <c r="H251" s="231" t="inlineStr"/>
      <c r="I251" s="231" t="inlineStr"/>
      <c r="J251" s="27" t="inlineStr">
        <is>
          <t>共</t>
        </is>
      </c>
      <c r="K251" s="27" t="inlineStr"/>
      <c r="L251" s="231" t="n">
        <v>100</v>
      </c>
      <c r="M251" s="19" t="inlineStr">
        <is>
          <t>Product-1D13312B</t>
        </is>
      </c>
      <c r="N251" s="231" t="n">
        <v>1</v>
      </c>
      <c r="O251" s="236">
        <f>IFERROR(ROUND(计划落实!O251/计划!O251,5),0)</f>
        <v/>
      </c>
      <c r="P251" s="237">
        <f>IFERROR(ROUND(计划落实!P251/计划!P251,5),0)</f>
        <v/>
      </c>
      <c r="Q251" s="237">
        <f>IFERROR(ROUND(计划落实!Q251/计划!Q251,5),0)</f>
        <v/>
      </c>
      <c r="R251" s="237">
        <f>IFERROR(ROUND(计划落实!R251/计划!R251,5),0)</f>
        <v/>
      </c>
      <c r="S251" s="237">
        <f>IFERROR(ROUND(计划落实!S251/计划!S251,5),0)</f>
        <v/>
      </c>
      <c r="T251" s="237">
        <f>IFERROR(ROUND(计划落实!T251/计划!T251,5),0)</f>
        <v/>
      </c>
      <c r="U251" s="237">
        <f>IFERROR(ROUND(计划落实!U251/计划!U251,5),0)</f>
        <v/>
      </c>
      <c r="V251" s="237">
        <f>IFERROR(ROUND(计划落实!V251/计划!V251,5),0)</f>
        <v/>
      </c>
      <c r="W251" s="237">
        <f>IFERROR(ROUND(计划落实!W251/计划!W251,5),0)</f>
        <v/>
      </c>
      <c r="X251" s="237">
        <f>IFERROR(ROUND(计划落实!X251/计划!X251,5),0)</f>
        <v/>
      </c>
      <c r="Y251" s="237">
        <f>IFERROR(ROUND(计划落实!Y251/计划!Y251,5),0)</f>
        <v/>
      </c>
      <c r="Z251" s="237">
        <f>IFERROR(ROUND(计划落实!Z251/计划!Z251,5),0)</f>
        <v/>
      </c>
      <c r="AA251" s="237">
        <f>IFERROR(ROUND(计划落实!AA251/计划!AA251,5),0)</f>
        <v/>
      </c>
      <c r="AB251" s="237">
        <f>IFERROR(ROUND(计划落实!AB251/计划!AB251,5),0)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4" t="n"/>
      <c r="B252" s="231" t="inlineStr">
        <is>
          <t>SKU-863FBBD8</t>
        </is>
      </c>
      <c r="C252" s="231" t="inlineStr">
        <is>
          <t>是</t>
        </is>
      </c>
      <c r="D252" s="231" t="n">
        <v>8</v>
      </c>
      <c r="E252" s="231" t="inlineStr">
        <is>
          <t>是</t>
        </is>
      </c>
      <c r="F252" s="231" t="inlineStr"/>
      <c r="G252" s="231" t="inlineStr"/>
      <c r="H252" s="231" t="inlineStr"/>
      <c r="I252" s="231" t="inlineStr">
        <is>
          <t>是</t>
        </is>
      </c>
      <c r="J252" s="27" t="inlineStr"/>
      <c r="K252" s="27" t="inlineStr"/>
      <c r="L252" s="231" t="n">
        <v>100</v>
      </c>
      <c r="M252" s="19" t="inlineStr">
        <is>
          <t>Product-377B2B0D</t>
        </is>
      </c>
      <c r="N252" s="231" t="n">
        <v>1</v>
      </c>
      <c r="O252" s="236">
        <f>IFERROR(ROUND(计划落实!O252/计划!O252,5),0)</f>
        <v/>
      </c>
      <c r="P252" s="237">
        <f>IFERROR(ROUND(计划落实!P252/计划!P252,5),0)</f>
        <v/>
      </c>
      <c r="Q252" s="237">
        <f>IFERROR(ROUND(计划落实!Q252/计划!Q252,5),0)</f>
        <v/>
      </c>
      <c r="R252" s="237">
        <f>IFERROR(ROUND(计划落实!R252/计划!R252,5),0)</f>
        <v/>
      </c>
      <c r="S252" s="237">
        <f>IFERROR(ROUND(计划落实!S252/计划!S252,5),0)</f>
        <v/>
      </c>
      <c r="T252" s="237">
        <f>IFERROR(ROUND(计划落实!T252/计划!T252,5),0)</f>
        <v/>
      </c>
      <c r="U252" s="237">
        <f>IFERROR(ROUND(计划落实!U252/计划!U252,5),0)</f>
        <v/>
      </c>
      <c r="V252" s="237">
        <f>IFERROR(ROUND(计划落实!V252/计划!V252,5),0)</f>
        <v/>
      </c>
      <c r="W252" s="237">
        <f>IFERROR(ROUND(计划落实!W252/计划!W252,5),0)</f>
        <v/>
      </c>
      <c r="X252" s="237">
        <f>IFERROR(ROUND(计划落实!X252/计划!X252,5),0)</f>
        <v/>
      </c>
      <c r="Y252" s="237">
        <f>IFERROR(ROUND(计划落实!Y252/计划!Y252,5),0)</f>
        <v/>
      </c>
      <c r="Z252" s="237">
        <f>IFERROR(ROUND(计划落实!Z252/计划!Z252,5),0)</f>
        <v/>
      </c>
      <c r="AA252" s="237">
        <f>IFERROR(ROUND(计划落实!AA252/计划!AA252,5),0)</f>
        <v/>
      </c>
      <c r="AB252" s="237">
        <f>IFERROR(ROUND(计划落实!AB252/计划!AB252,5),0)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4" t="n"/>
      <c r="B253" s="231" t="inlineStr">
        <is>
          <t>SKU-FFD87C9A</t>
        </is>
      </c>
      <c r="C253" s="231" t="inlineStr">
        <is>
          <t>是</t>
        </is>
      </c>
      <c r="D253" s="231" t="n">
        <v>8</v>
      </c>
      <c r="E253" s="231" t="inlineStr">
        <is>
          <t>是</t>
        </is>
      </c>
      <c r="F253" s="231" t="inlineStr"/>
      <c r="G253" s="231" t="inlineStr"/>
      <c r="H253" s="231" t="inlineStr"/>
      <c r="I253" s="231" t="inlineStr">
        <is>
          <t>是</t>
        </is>
      </c>
      <c r="J253" s="27" t="inlineStr">
        <is>
          <t>共</t>
        </is>
      </c>
      <c r="K253" s="27" t="inlineStr"/>
      <c r="L253" s="231" t="n">
        <v>100</v>
      </c>
      <c r="M253" s="19" t="inlineStr">
        <is>
          <t>Product-5C6F883D</t>
        </is>
      </c>
      <c r="N253" s="231" t="n">
        <v>1</v>
      </c>
      <c r="O253" s="236">
        <f>IFERROR(ROUND(计划落实!O253/计划!O253,5),0)</f>
        <v/>
      </c>
      <c r="P253" s="237">
        <f>IFERROR(ROUND(计划落实!P253/计划!P253,5),0)</f>
        <v/>
      </c>
      <c r="Q253" s="237">
        <f>IFERROR(ROUND(计划落实!Q253/计划!Q253,5),0)</f>
        <v/>
      </c>
      <c r="R253" s="237">
        <f>IFERROR(ROUND(计划落实!R253/计划!R253,5),0)</f>
        <v/>
      </c>
      <c r="S253" s="237">
        <f>IFERROR(ROUND(计划落实!S253/计划!S253,5),0)</f>
        <v/>
      </c>
      <c r="T253" s="237">
        <f>IFERROR(ROUND(计划落实!T253/计划!T253,5),0)</f>
        <v/>
      </c>
      <c r="U253" s="237">
        <f>IFERROR(ROUND(计划落实!U253/计划!U253,5),0)</f>
        <v/>
      </c>
      <c r="V253" s="237">
        <f>IFERROR(ROUND(计划落实!V253/计划!V253,5),0)</f>
        <v/>
      </c>
      <c r="W253" s="237">
        <f>IFERROR(ROUND(计划落实!W253/计划!W253,5),0)</f>
        <v/>
      </c>
      <c r="X253" s="237">
        <f>IFERROR(ROUND(计划落实!X253/计划!X253,5),0)</f>
        <v/>
      </c>
      <c r="Y253" s="237">
        <f>IFERROR(ROUND(计划落实!Y253/计划!Y253,5),0)</f>
        <v/>
      </c>
      <c r="Z253" s="237">
        <f>IFERROR(ROUND(计划落实!Z253/计划!Z253,5),0)</f>
        <v/>
      </c>
      <c r="AA253" s="237">
        <f>IFERROR(ROUND(计划落实!AA253/计划!AA253,5),0)</f>
        <v/>
      </c>
      <c r="AB253" s="237">
        <f>IFERROR(ROUND(计划落实!AB253/计划!AB253,5),0)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4" t="n"/>
      <c r="B254" s="231" t="inlineStr">
        <is>
          <t>SKU-16F93B6E</t>
        </is>
      </c>
      <c r="C254" s="231" t="inlineStr">
        <is>
          <t>是</t>
        </is>
      </c>
      <c r="D254" s="231" t="n">
        <v>10</v>
      </c>
      <c r="E254" s="231" t="inlineStr"/>
      <c r="F254" s="231" t="inlineStr">
        <is>
          <t>是</t>
        </is>
      </c>
      <c r="G254" s="231" t="inlineStr"/>
      <c r="H254" s="231" t="inlineStr"/>
      <c r="I254" s="231" t="inlineStr">
        <is>
          <t>是</t>
        </is>
      </c>
      <c r="J254" s="27" t="inlineStr"/>
      <c r="K254" s="27" t="inlineStr"/>
      <c r="L254" s="231" t="n">
        <v>100</v>
      </c>
      <c r="M254" s="19" t="inlineStr">
        <is>
          <t>Product-BB81D184</t>
        </is>
      </c>
      <c r="N254" s="231" t="n">
        <v>1</v>
      </c>
      <c r="O254" s="236">
        <f>IFERROR(ROUND(计划落实!O254/计划!O254,5),0)</f>
        <v/>
      </c>
      <c r="P254" s="237">
        <f>IFERROR(ROUND(计划落实!P254/计划!P254,5),0)</f>
        <v/>
      </c>
      <c r="Q254" s="237">
        <f>IFERROR(ROUND(计划落实!Q254/计划!Q254,5),0)</f>
        <v/>
      </c>
      <c r="R254" s="237">
        <f>IFERROR(ROUND(计划落实!R254/计划!R254,5),0)</f>
        <v/>
      </c>
      <c r="S254" s="237">
        <f>IFERROR(ROUND(计划落实!S254/计划!S254,5),0)</f>
        <v/>
      </c>
      <c r="T254" s="237">
        <f>IFERROR(ROUND(计划落实!T254/计划!T254,5),0)</f>
        <v/>
      </c>
      <c r="U254" s="237">
        <f>IFERROR(ROUND(计划落实!U254/计划!U254,5),0)</f>
        <v/>
      </c>
      <c r="V254" s="237">
        <f>IFERROR(ROUND(计划落实!V254/计划!V254,5),0)</f>
        <v/>
      </c>
      <c r="W254" s="237">
        <f>IFERROR(ROUND(计划落实!W254/计划!W254,5),0)</f>
        <v/>
      </c>
      <c r="X254" s="237">
        <f>IFERROR(ROUND(计划落实!X254/计划!X254,5),0)</f>
        <v/>
      </c>
      <c r="Y254" s="237">
        <f>IFERROR(ROUND(计划落实!Y254/计划!Y254,5),0)</f>
        <v/>
      </c>
      <c r="Z254" s="237">
        <f>IFERROR(ROUND(计划落实!Z254/计划!Z254,5),0)</f>
        <v/>
      </c>
      <c r="AA254" s="237">
        <f>IFERROR(ROUND(计划落实!AA254/计划!AA254,5),0)</f>
        <v/>
      </c>
      <c r="AB254" s="237">
        <f>IFERROR(ROUND(计划落实!AB254/计划!AB254,5),0)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4" t="n"/>
      <c r="B255" s="231" t="inlineStr">
        <is>
          <t>SKU-0C7C3AA6</t>
        </is>
      </c>
      <c r="C255" s="231" t="inlineStr">
        <is>
          <t>是</t>
        </is>
      </c>
      <c r="D255" s="231" t="n">
        <v>8</v>
      </c>
      <c r="E255" s="231" t="inlineStr">
        <is>
          <t>是</t>
        </is>
      </c>
      <c r="F255" s="231" t="inlineStr"/>
      <c r="G255" s="231" t="inlineStr"/>
      <c r="H255" s="231" t="inlineStr"/>
      <c r="I255" s="231" t="inlineStr">
        <is>
          <t>是</t>
        </is>
      </c>
      <c r="J255" s="27" t="inlineStr"/>
      <c r="K255" s="27" t="inlineStr"/>
      <c r="L255" s="231" t="n">
        <v>100</v>
      </c>
      <c r="M255" s="44" t="inlineStr">
        <is>
          <t>Product-723A3C46</t>
        </is>
      </c>
      <c r="N255" s="231" t="n">
        <v>1</v>
      </c>
      <c r="O255" s="236">
        <f>IFERROR(ROUND(计划落实!O255/计划!O255,5),0)</f>
        <v/>
      </c>
      <c r="P255" s="237">
        <f>IFERROR(ROUND(计划落实!P255/计划!P255,5),0)</f>
        <v/>
      </c>
      <c r="Q255" s="237">
        <f>IFERROR(ROUND(计划落实!Q255/计划!Q255,5),0)</f>
        <v/>
      </c>
      <c r="R255" s="237">
        <f>IFERROR(ROUND(计划落实!R255/计划!R255,5),0)</f>
        <v/>
      </c>
      <c r="S255" s="237">
        <f>IFERROR(ROUND(计划落实!S255/计划!S255,5),0)</f>
        <v/>
      </c>
      <c r="T255" s="237">
        <f>IFERROR(ROUND(计划落实!T255/计划!T255,5),0)</f>
        <v/>
      </c>
      <c r="U255" s="237">
        <f>IFERROR(ROUND(计划落实!U255/计划!U255,5),0)</f>
        <v/>
      </c>
      <c r="V255" s="237">
        <f>IFERROR(ROUND(计划落实!V255/计划!V255,5),0)</f>
        <v/>
      </c>
      <c r="W255" s="237">
        <f>IFERROR(ROUND(计划落实!W255/计划!W255,5),0)</f>
        <v/>
      </c>
      <c r="X255" s="237">
        <f>IFERROR(ROUND(计划落实!X255/计划!X255,5),0)</f>
        <v/>
      </c>
      <c r="Y255" s="237">
        <f>IFERROR(ROUND(计划落实!Y255/计划!Y255,5),0)</f>
        <v/>
      </c>
      <c r="Z255" s="237">
        <f>IFERROR(ROUND(计划落实!Z255/计划!Z255,5),0)</f>
        <v/>
      </c>
      <c r="AA255" s="237">
        <f>IFERROR(ROUND(计划落实!AA255/计划!AA255,5),0)</f>
        <v/>
      </c>
      <c r="AB255" s="237">
        <f>IFERROR(ROUND(计划落实!AB255/计划!AB255,5),0)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4" t="n"/>
      <c r="B256" s="231" t="inlineStr">
        <is>
          <t>SKU-CCF1AA57</t>
        </is>
      </c>
      <c r="C256" s="231" t="inlineStr">
        <is>
          <t>是</t>
        </is>
      </c>
      <c r="D256" s="231" t="n">
        <v>8</v>
      </c>
      <c r="E256" s="231" t="inlineStr">
        <is>
          <t>是</t>
        </is>
      </c>
      <c r="F256" s="231" t="inlineStr"/>
      <c r="G256" s="231" t="inlineStr"/>
      <c r="H256" s="231" t="inlineStr"/>
      <c r="I256" s="231" t="inlineStr">
        <is>
          <t>是</t>
        </is>
      </c>
      <c r="J256" s="27" t="inlineStr">
        <is>
          <t>共</t>
        </is>
      </c>
      <c r="K256" s="27" t="inlineStr"/>
      <c r="L256" s="231" t="n">
        <v>100</v>
      </c>
      <c r="M256" s="19" t="inlineStr">
        <is>
          <t>Product-AA885DE6</t>
        </is>
      </c>
      <c r="N256" s="231" t="n">
        <v>2</v>
      </c>
      <c r="O256" s="236">
        <f>IFERROR(ROUND(计划落实!O256/计划!O256,5),0)</f>
        <v/>
      </c>
      <c r="P256" s="237">
        <f>IFERROR(ROUND(计划落实!P256/计划!P256,5),0)</f>
        <v/>
      </c>
      <c r="Q256" s="237">
        <f>IFERROR(ROUND(计划落实!Q256/计划!Q256,5),0)</f>
        <v/>
      </c>
      <c r="R256" s="237">
        <f>IFERROR(ROUND(计划落实!R256/计划!R256,5),0)</f>
        <v/>
      </c>
      <c r="S256" s="237">
        <f>IFERROR(ROUND(计划落实!S256/计划!S256,5),0)</f>
        <v/>
      </c>
      <c r="T256" s="237">
        <f>IFERROR(ROUND(计划落实!T256/计划!T256,5),0)</f>
        <v/>
      </c>
      <c r="U256" s="237">
        <f>IFERROR(ROUND(计划落实!U256/计划!U256,5),0)</f>
        <v/>
      </c>
      <c r="V256" s="237">
        <f>IFERROR(ROUND(计划落实!V256/计划!V256,5),0)</f>
        <v/>
      </c>
      <c r="W256" s="237">
        <f>IFERROR(ROUND(计划落实!W256/计划!W256,5),0)</f>
        <v/>
      </c>
      <c r="X256" s="237">
        <f>IFERROR(ROUND(计划落实!X256/计划!X256,5),0)</f>
        <v/>
      </c>
      <c r="Y256" s="237">
        <f>IFERROR(ROUND(计划落实!Y256/计划!Y256,5),0)</f>
        <v/>
      </c>
      <c r="Z256" s="237">
        <f>IFERROR(ROUND(计划落实!Z256/计划!Z256,5),0)</f>
        <v/>
      </c>
      <c r="AA256" s="237">
        <f>IFERROR(ROUND(计划落实!AA256/计划!AA256,5),0)</f>
        <v/>
      </c>
      <c r="AB256" s="237">
        <f>IFERROR(ROUND(计划落实!AB256/计划!AB256,5),0)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4" t="n"/>
      <c r="B257" s="231" t="inlineStr">
        <is>
          <t>SKU-C608A627</t>
        </is>
      </c>
      <c r="C257" s="231" t="inlineStr">
        <is>
          <t>是</t>
        </is>
      </c>
      <c r="D257" s="231" t="n">
        <v>10</v>
      </c>
      <c r="E257" s="231" t="inlineStr"/>
      <c r="F257" s="231" t="inlineStr">
        <is>
          <t>是</t>
        </is>
      </c>
      <c r="G257" s="231" t="inlineStr"/>
      <c r="H257" s="231" t="inlineStr">
        <is>
          <t>是</t>
        </is>
      </c>
      <c r="I257" s="231" t="inlineStr">
        <is>
          <t>是</t>
        </is>
      </c>
      <c r="J257" s="27" t="inlineStr"/>
      <c r="K257" s="27" t="inlineStr"/>
      <c r="L257" s="231" t="n">
        <v>100</v>
      </c>
      <c r="M257" s="43" t="inlineStr">
        <is>
          <t>Product-58C688E6</t>
        </is>
      </c>
      <c r="N257" s="231" t="n">
        <v>1</v>
      </c>
      <c r="O257" s="236">
        <f>IFERROR(ROUND(计划落实!O257/计划!O257,5),0)</f>
        <v/>
      </c>
      <c r="P257" s="237">
        <f>IFERROR(ROUND(计划落实!P257/计划!P257,5),0)</f>
        <v/>
      </c>
      <c r="Q257" s="237">
        <f>IFERROR(ROUND(计划落实!Q257/计划!Q257,5),0)</f>
        <v/>
      </c>
      <c r="R257" s="237">
        <f>IFERROR(ROUND(计划落实!R257/计划!R257,5),0)</f>
        <v/>
      </c>
      <c r="S257" s="237">
        <f>IFERROR(ROUND(计划落实!S257/计划!S257,5),0)</f>
        <v/>
      </c>
      <c r="T257" s="237">
        <f>IFERROR(ROUND(计划落实!T257/计划!T257,5),0)</f>
        <v/>
      </c>
      <c r="U257" s="237">
        <f>IFERROR(ROUND(计划落实!U257/计划!U257,5),0)</f>
        <v/>
      </c>
      <c r="V257" s="237">
        <f>IFERROR(ROUND(计划落实!V257/计划!V257,5),0)</f>
        <v/>
      </c>
      <c r="W257" s="237">
        <f>IFERROR(ROUND(计划落实!W257/计划!W257,5),0)</f>
        <v/>
      </c>
      <c r="X257" s="237">
        <f>IFERROR(ROUND(计划落实!X257/计划!X257,5),0)</f>
        <v/>
      </c>
      <c r="Y257" s="237">
        <f>IFERROR(ROUND(计划落实!Y257/计划!Y257,5),0)</f>
        <v/>
      </c>
      <c r="Z257" s="237">
        <f>IFERROR(ROUND(计划落实!Z257/计划!Z257,5),0)</f>
        <v/>
      </c>
      <c r="AA257" s="237">
        <f>IFERROR(ROUND(计划落实!AA257/计划!AA257,5),0)</f>
        <v/>
      </c>
      <c r="AB257" s="237">
        <f>IFERROR(ROUND(计划落实!AB257/计划!AB257,5),0)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4" t="n"/>
      <c r="B258" s="231" t="inlineStr">
        <is>
          <t>SKU-4CE8EF8A</t>
        </is>
      </c>
      <c r="C258" s="231" t="inlineStr">
        <is>
          <t>是</t>
        </is>
      </c>
      <c r="D258" s="231" t="n">
        <v>10</v>
      </c>
      <c r="E258" s="231" t="inlineStr"/>
      <c r="F258" s="231" t="inlineStr">
        <is>
          <t>是</t>
        </is>
      </c>
      <c r="G258" s="231" t="inlineStr"/>
      <c r="H258" s="231" t="inlineStr"/>
      <c r="I258" s="231" t="inlineStr">
        <is>
          <t>是</t>
        </is>
      </c>
      <c r="J258" s="27" t="inlineStr"/>
      <c r="K258" s="27" t="inlineStr"/>
      <c r="L258" s="231" t="n">
        <v>100</v>
      </c>
      <c r="M258" s="43" t="inlineStr">
        <is>
          <t>Product-B62DC373</t>
        </is>
      </c>
      <c r="N258" s="231" t="n">
        <v>1</v>
      </c>
      <c r="O258" s="236">
        <f>IFERROR(ROUND(计划落实!O258/计划!O258,5),0)</f>
        <v/>
      </c>
      <c r="P258" s="237">
        <f>IFERROR(ROUND(计划落实!P258/计划!P258,5),0)</f>
        <v/>
      </c>
      <c r="Q258" s="237">
        <f>IFERROR(ROUND(计划落实!Q258/计划!Q258,5),0)</f>
        <v/>
      </c>
      <c r="R258" s="237">
        <f>IFERROR(ROUND(计划落实!R258/计划!R258,5),0)</f>
        <v/>
      </c>
      <c r="S258" s="237">
        <f>IFERROR(ROUND(计划落实!S258/计划!S258,5),0)</f>
        <v/>
      </c>
      <c r="T258" s="237">
        <f>IFERROR(ROUND(计划落实!T258/计划!T258,5),0)</f>
        <v/>
      </c>
      <c r="U258" s="237">
        <f>IFERROR(ROUND(计划落实!U258/计划!U258,5),0)</f>
        <v/>
      </c>
      <c r="V258" s="237">
        <f>IFERROR(ROUND(计划落实!V258/计划!V258,5),0)</f>
        <v/>
      </c>
      <c r="W258" s="237">
        <f>IFERROR(ROUND(计划落实!W258/计划!W258,5),0)</f>
        <v/>
      </c>
      <c r="X258" s="237">
        <f>IFERROR(ROUND(计划落实!X258/计划!X258,5),0)</f>
        <v/>
      </c>
      <c r="Y258" s="237">
        <f>IFERROR(ROUND(计划落实!Y258/计划!Y258,5),0)</f>
        <v/>
      </c>
      <c r="Z258" s="237">
        <f>IFERROR(ROUND(计划落实!Z258/计划!Z258,5),0)</f>
        <v/>
      </c>
      <c r="AA258" s="237">
        <f>IFERROR(ROUND(计划落实!AA258/计划!AA258,5),0)</f>
        <v/>
      </c>
      <c r="AB258" s="237">
        <f>IFERROR(ROUND(计划落实!AB258/计划!AB258,5),0)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4" t="n"/>
      <c r="B259" s="231" t="inlineStr">
        <is>
          <t>SKU-99337284</t>
        </is>
      </c>
      <c r="C259" s="231" t="inlineStr">
        <is>
          <t>是</t>
        </is>
      </c>
      <c r="D259" s="231" t="n">
        <v>10</v>
      </c>
      <c r="E259" s="231" t="inlineStr"/>
      <c r="F259" s="231" t="inlineStr"/>
      <c r="G259" s="231" t="inlineStr"/>
      <c r="H259" s="231" t="inlineStr"/>
      <c r="I259" s="231" t="inlineStr"/>
      <c r="J259" s="27" t="inlineStr"/>
      <c r="K259" s="27" t="inlineStr"/>
      <c r="L259" s="231" t="n">
        <v>100</v>
      </c>
      <c r="M259" s="19" t="inlineStr">
        <is>
          <t>Product-0A287481</t>
        </is>
      </c>
      <c r="N259" s="231" t="n">
        <v>2</v>
      </c>
      <c r="O259" s="236">
        <f>IFERROR(ROUND(计划落实!O259/计划!O259,5),0)</f>
        <v/>
      </c>
      <c r="P259" s="237">
        <f>IFERROR(ROUND(计划落实!P259/计划!P259,5),0)</f>
        <v/>
      </c>
      <c r="Q259" s="237">
        <f>IFERROR(ROUND(计划落实!Q259/计划!Q259,5),0)</f>
        <v/>
      </c>
      <c r="R259" s="237">
        <f>IFERROR(ROUND(计划落实!R259/计划!R259,5),0)</f>
        <v/>
      </c>
      <c r="S259" s="237">
        <f>IFERROR(ROUND(计划落实!S259/计划!S259,5),0)</f>
        <v/>
      </c>
      <c r="T259" s="237">
        <f>IFERROR(ROUND(计划落实!T259/计划!T259,5),0)</f>
        <v/>
      </c>
      <c r="U259" s="237">
        <f>IFERROR(ROUND(计划落实!U259/计划!U259,5),0)</f>
        <v/>
      </c>
      <c r="V259" s="237">
        <f>IFERROR(ROUND(计划落实!V259/计划!V259,5),0)</f>
        <v/>
      </c>
      <c r="W259" s="237">
        <f>IFERROR(ROUND(计划落实!W259/计划!W259,5),0)</f>
        <v/>
      </c>
      <c r="X259" s="237">
        <f>IFERROR(ROUND(计划落实!X259/计划!X259,5),0)</f>
        <v/>
      </c>
      <c r="Y259" s="237">
        <f>IFERROR(ROUND(计划落实!Y259/计划!Y259,5),0)</f>
        <v/>
      </c>
      <c r="Z259" s="237">
        <f>IFERROR(ROUND(计划落实!Z259/计划!Z259,5),0)</f>
        <v/>
      </c>
      <c r="AA259" s="237">
        <f>IFERROR(ROUND(计划落实!AA259/计划!AA259,5),0)</f>
        <v/>
      </c>
      <c r="AB259" s="237">
        <f>IFERROR(ROUND(计划落实!AB259/计划!AB259,5),0)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4" t="n"/>
      <c r="B260" s="231" t="inlineStr">
        <is>
          <t>SKU-BD3F8D74</t>
        </is>
      </c>
      <c r="C260" s="231" t="inlineStr">
        <is>
          <t>是</t>
        </is>
      </c>
      <c r="D260" s="231" t="n">
        <v>8</v>
      </c>
      <c r="E260" s="231" t="inlineStr"/>
      <c r="F260" s="231" t="inlineStr">
        <is>
          <t>是</t>
        </is>
      </c>
      <c r="G260" s="231" t="inlineStr"/>
      <c r="H260" s="231" t="inlineStr"/>
      <c r="I260" s="231" t="inlineStr">
        <is>
          <t>是</t>
        </is>
      </c>
      <c r="J260" s="27" t="inlineStr"/>
      <c r="K260" s="27" t="inlineStr"/>
      <c r="L260" s="231" t="n">
        <v>100</v>
      </c>
      <c r="M260" s="19" t="inlineStr">
        <is>
          <t>Product-102ED313</t>
        </is>
      </c>
      <c r="N260" s="231" t="n">
        <v>1</v>
      </c>
      <c r="O260" s="236">
        <f>IFERROR(ROUND(计划落实!O260/计划!O260,5),0)</f>
        <v/>
      </c>
      <c r="P260" s="237">
        <f>IFERROR(ROUND(计划落实!P260/计划!P260,5),0)</f>
        <v/>
      </c>
      <c r="Q260" s="237">
        <f>IFERROR(ROUND(计划落实!Q260/计划!Q260,5),0)</f>
        <v/>
      </c>
      <c r="R260" s="237">
        <f>IFERROR(ROUND(计划落实!R260/计划!R260,5),0)</f>
        <v/>
      </c>
      <c r="S260" s="237">
        <f>IFERROR(ROUND(计划落实!S260/计划!S260,5),0)</f>
        <v/>
      </c>
      <c r="T260" s="237">
        <f>IFERROR(ROUND(计划落实!T260/计划!T260,5),0)</f>
        <v/>
      </c>
      <c r="U260" s="237">
        <f>IFERROR(ROUND(计划落实!U260/计划!U260,5),0)</f>
        <v/>
      </c>
      <c r="V260" s="237">
        <f>IFERROR(ROUND(计划落实!V260/计划!V260,5),0)</f>
        <v/>
      </c>
      <c r="W260" s="237">
        <f>IFERROR(ROUND(计划落实!W260/计划!W260,5),0)</f>
        <v/>
      </c>
      <c r="X260" s="237">
        <f>IFERROR(ROUND(计划落实!X260/计划!X260,5),0)</f>
        <v/>
      </c>
      <c r="Y260" s="237">
        <f>IFERROR(ROUND(计划落实!Y260/计划!Y260,5),0)</f>
        <v/>
      </c>
      <c r="Z260" s="237">
        <f>IFERROR(ROUND(计划落实!Z260/计划!Z260,5),0)</f>
        <v/>
      </c>
      <c r="AA260" s="237">
        <f>IFERROR(ROUND(计划落实!AA260/计划!AA260,5),0)</f>
        <v/>
      </c>
      <c r="AB260" s="237">
        <f>IFERROR(ROUND(计划落实!AB260/计划!AB260,5),0)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4" t="n"/>
      <c r="B261" s="231" t="inlineStr">
        <is>
          <t>SKU-B9F94FF9</t>
        </is>
      </c>
      <c r="C261" s="231" t="inlineStr">
        <is>
          <t>是</t>
        </is>
      </c>
      <c r="D261" s="231" t="n">
        <v>6</v>
      </c>
      <c r="E261" s="231" t="inlineStr">
        <is>
          <t>是</t>
        </is>
      </c>
      <c r="F261" s="231" t="inlineStr"/>
      <c r="G261" s="231" t="inlineStr"/>
      <c r="H261" s="231" t="inlineStr"/>
      <c r="I261" s="231" t="inlineStr">
        <is>
          <t>是</t>
        </is>
      </c>
      <c r="J261" s="27" t="inlineStr"/>
      <c r="K261" s="27" t="inlineStr"/>
      <c r="L261" s="231" t="n">
        <v>100</v>
      </c>
      <c r="M261" s="19" t="inlineStr">
        <is>
          <t>Product-7CC4665A</t>
        </is>
      </c>
      <c r="N261" s="231" t="n">
        <v>1</v>
      </c>
      <c r="O261" s="236">
        <f>IFERROR(ROUND(计划落实!O261/计划!O261,5),0)</f>
        <v/>
      </c>
      <c r="P261" s="237">
        <f>IFERROR(ROUND(计划落实!P261/计划!P261,5),0)</f>
        <v/>
      </c>
      <c r="Q261" s="237">
        <f>IFERROR(ROUND(计划落实!Q261/计划!Q261,5),0)</f>
        <v/>
      </c>
      <c r="R261" s="237">
        <f>IFERROR(ROUND(计划落实!R261/计划!R261,5),0)</f>
        <v/>
      </c>
      <c r="S261" s="237">
        <f>IFERROR(ROUND(计划落实!S261/计划!S261,5),0)</f>
        <v/>
      </c>
      <c r="T261" s="237">
        <f>IFERROR(ROUND(计划落实!T261/计划!T261,5),0)</f>
        <v/>
      </c>
      <c r="U261" s="237">
        <f>IFERROR(ROUND(计划落实!U261/计划!U261,5),0)</f>
        <v/>
      </c>
      <c r="V261" s="237">
        <f>IFERROR(ROUND(计划落实!V261/计划!V261,5),0)</f>
        <v/>
      </c>
      <c r="W261" s="237">
        <f>IFERROR(ROUND(计划落实!W261/计划!W261,5),0)</f>
        <v/>
      </c>
      <c r="X261" s="237">
        <f>IFERROR(ROUND(计划落实!X261/计划!X261,5),0)</f>
        <v/>
      </c>
      <c r="Y261" s="237">
        <f>IFERROR(ROUND(计划落实!Y261/计划!Y261,5),0)</f>
        <v/>
      </c>
      <c r="Z261" s="237">
        <f>IFERROR(ROUND(计划落实!Z261/计划!Z261,5),0)</f>
        <v/>
      </c>
      <c r="AA261" s="237">
        <f>IFERROR(ROUND(计划落实!AA261/计划!AA261,5),0)</f>
        <v/>
      </c>
      <c r="AB261" s="237">
        <f>IFERROR(ROUND(计划落实!AB261/计划!AB261,5),0)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4" t="n"/>
      <c r="B262" s="231" t="inlineStr">
        <is>
          <t>SKU-5AB8D10B</t>
        </is>
      </c>
      <c r="C262" s="231" t="inlineStr">
        <is>
          <t>是</t>
        </is>
      </c>
      <c r="D262" s="231" t="n">
        <v>8</v>
      </c>
      <c r="E262" s="231" t="inlineStr"/>
      <c r="F262" s="231" t="inlineStr">
        <is>
          <t>是</t>
        </is>
      </c>
      <c r="G262" s="231" t="inlineStr"/>
      <c r="H262" s="231" t="inlineStr"/>
      <c r="I262" s="231" t="inlineStr">
        <is>
          <t>是</t>
        </is>
      </c>
      <c r="J262" s="27" t="inlineStr"/>
      <c r="K262" s="27" t="inlineStr"/>
      <c r="L262" s="231" t="n">
        <v>100</v>
      </c>
      <c r="M262" s="19" t="inlineStr">
        <is>
          <t>Product-F8810BC1</t>
        </is>
      </c>
      <c r="N262" s="231" t="n">
        <v>1</v>
      </c>
      <c r="O262" s="236">
        <f>IFERROR(ROUND(计划落实!O262/计划!O262,5),0)</f>
        <v/>
      </c>
      <c r="P262" s="237">
        <f>IFERROR(ROUND(计划落实!P262/计划!P262,5),0)</f>
        <v/>
      </c>
      <c r="Q262" s="237">
        <f>IFERROR(ROUND(计划落实!Q262/计划!Q262,5),0)</f>
        <v/>
      </c>
      <c r="R262" s="237">
        <f>IFERROR(ROUND(计划落实!R262/计划!R262,5),0)</f>
        <v/>
      </c>
      <c r="S262" s="237">
        <f>IFERROR(ROUND(计划落实!S262/计划!S262,5),0)</f>
        <v/>
      </c>
      <c r="T262" s="237">
        <f>IFERROR(ROUND(计划落实!T262/计划!T262,5),0)</f>
        <v/>
      </c>
      <c r="U262" s="237">
        <f>IFERROR(ROUND(计划落实!U262/计划!U262,5),0)</f>
        <v/>
      </c>
      <c r="V262" s="237">
        <f>IFERROR(ROUND(计划落实!V262/计划!V262,5),0)</f>
        <v/>
      </c>
      <c r="W262" s="237">
        <f>IFERROR(ROUND(计划落实!W262/计划!W262,5),0)</f>
        <v/>
      </c>
      <c r="X262" s="237">
        <f>IFERROR(ROUND(计划落实!X262/计划!X262,5),0)</f>
        <v/>
      </c>
      <c r="Y262" s="237">
        <f>IFERROR(ROUND(计划落实!Y262/计划!Y262,5),0)</f>
        <v/>
      </c>
      <c r="Z262" s="237">
        <f>IFERROR(ROUND(计划落实!Z262/计划!Z262,5),0)</f>
        <v/>
      </c>
      <c r="AA262" s="237">
        <f>IFERROR(ROUND(计划落实!AA262/计划!AA262,5),0)</f>
        <v/>
      </c>
      <c r="AB262" s="237">
        <f>IFERROR(ROUND(计划落实!AB262/计划!AB262,5),0)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4" t="n"/>
      <c r="B263" s="231" t="inlineStr">
        <is>
          <t>SKU-0844DF49</t>
        </is>
      </c>
      <c r="C263" s="231" t="inlineStr">
        <is>
          <t>是</t>
        </is>
      </c>
      <c r="D263" s="231" t="n">
        <v>8</v>
      </c>
      <c r="E263" s="231" t="inlineStr"/>
      <c r="F263" s="231" t="inlineStr">
        <is>
          <t>是</t>
        </is>
      </c>
      <c r="G263" s="231" t="inlineStr"/>
      <c r="H263" s="231" t="inlineStr"/>
      <c r="I263" s="231" t="inlineStr">
        <is>
          <t>是</t>
        </is>
      </c>
      <c r="J263" s="27" t="inlineStr"/>
      <c r="K263" s="27" t="inlineStr"/>
      <c r="L263" s="231" t="n">
        <v>100</v>
      </c>
      <c r="M263" s="45" t="inlineStr">
        <is>
          <t>Product-FD260469</t>
        </is>
      </c>
      <c r="N263" s="231" t="n">
        <v>1</v>
      </c>
      <c r="O263" s="236">
        <f>IFERROR(ROUND(计划落实!O263/计划!O263,5),0)</f>
        <v/>
      </c>
      <c r="P263" s="237">
        <f>IFERROR(ROUND(计划落实!P263/计划!P263,5),0)</f>
        <v/>
      </c>
      <c r="Q263" s="237">
        <f>IFERROR(ROUND(计划落实!Q263/计划!Q263,5),0)</f>
        <v/>
      </c>
      <c r="R263" s="237">
        <f>IFERROR(ROUND(计划落实!R263/计划!R263,5),0)</f>
        <v/>
      </c>
      <c r="S263" s="237">
        <f>IFERROR(ROUND(计划落实!S263/计划!S263,5),0)</f>
        <v/>
      </c>
      <c r="T263" s="237">
        <f>IFERROR(ROUND(计划落实!T263/计划!T263,5),0)</f>
        <v/>
      </c>
      <c r="U263" s="237">
        <f>IFERROR(ROUND(计划落实!U263/计划!U263,5),0)</f>
        <v/>
      </c>
      <c r="V263" s="237">
        <f>IFERROR(ROUND(计划落实!V263/计划!V263,5),0)</f>
        <v/>
      </c>
      <c r="W263" s="237">
        <f>IFERROR(ROUND(计划落实!W263/计划!W263,5),0)</f>
        <v/>
      </c>
      <c r="X263" s="237">
        <f>IFERROR(ROUND(计划落实!X263/计划!X263,5),0)</f>
        <v/>
      </c>
      <c r="Y263" s="237">
        <f>IFERROR(ROUND(计划落实!Y263/计划!Y263,5),0)</f>
        <v/>
      </c>
      <c r="Z263" s="237">
        <f>IFERROR(ROUND(计划落实!Z263/计划!Z263,5),0)</f>
        <v/>
      </c>
      <c r="AA263" s="237">
        <f>IFERROR(ROUND(计划落实!AA263/计划!AA263,5),0)</f>
        <v/>
      </c>
      <c r="AB263" s="237">
        <f>IFERROR(ROUND(计划落实!AB263/计划!AB263,5),0)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4" t="n"/>
      <c r="B264" s="231" t="inlineStr">
        <is>
          <t>SKU-FA2AEC54</t>
        </is>
      </c>
      <c r="C264" s="231" t="inlineStr">
        <is>
          <t>是</t>
        </is>
      </c>
      <c r="D264" s="231" t="n">
        <v>10</v>
      </c>
      <c r="E264" s="231" t="inlineStr"/>
      <c r="F264" s="231" t="inlineStr">
        <is>
          <t>是</t>
        </is>
      </c>
      <c r="G264" s="231" t="inlineStr"/>
      <c r="H264" s="231" t="inlineStr">
        <is>
          <t>是</t>
        </is>
      </c>
      <c r="I264" s="231" t="inlineStr">
        <is>
          <t>是</t>
        </is>
      </c>
      <c r="J264" s="27" t="inlineStr"/>
      <c r="K264" s="27" t="inlineStr"/>
      <c r="L264" s="231" t="n">
        <v>100</v>
      </c>
      <c r="M264" s="45" t="inlineStr">
        <is>
          <t>Product-58C688E6</t>
        </is>
      </c>
      <c r="N264" s="231" t="n">
        <v>1</v>
      </c>
      <c r="O264" s="236">
        <f>IFERROR(ROUND(计划落实!O264/计划!O264,5),0)</f>
        <v/>
      </c>
      <c r="P264" s="237">
        <f>IFERROR(ROUND(计划落实!P264/计划!P264,5),0)</f>
        <v/>
      </c>
      <c r="Q264" s="237">
        <f>IFERROR(ROUND(计划落实!Q264/计划!Q264,5),0)</f>
        <v/>
      </c>
      <c r="R264" s="237">
        <f>IFERROR(ROUND(计划落实!R264/计划!R264,5),0)</f>
        <v/>
      </c>
      <c r="S264" s="237">
        <f>IFERROR(ROUND(计划落实!S264/计划!S264,5),0)</f>
        <v/>
      </c>
      <c r="T264" s="237">
        <f>IFERROR(ROUND(计划落实!T264/计划!T264,5),0)</f>
        <v/>
      </c>
      <c r="U264" s="237">
        <f>IFERROR(ROUND(计划落实!U264/计划!U264,5),0)</f>
        <v/>
      </c>
      <c r="V264" s="237">
        <f>IFERROR(ROUND(计划落实!V264/计划!V264,5),0)</f>
        <v/>
      </c>
      <c r="W264" s="237">
        <f>IFERROR(ROUND(计划落实!W264/计划!W264,5),0)</f>
        <v/>
      </c>
      <c r="X264" s="237">
        <f>IFERROR(ROUND(计划落实!X264/计划!X264,5),0)</f>
        <v/>
      </c>
      <c r="Y264" s="237">
        <f>IFERROR(ROUND(计划落实!Y264/计划!Y264,5),0)</f>
        <v/>
      </c>
      <c r="Z264" s="237">
        <f>IFERROR(ROUND(计划落实!Z264/计划!Z264,5),0)</f>
        <v/>
      </c>
      <c r="AA264" s="237">
        <f>IFERROR(ROUND(计划落实!AA264/计划!AA264,5),0)</f>
        <v/>
      </c>
      <c r="AB264" s="237">
        <f>IFERROR(ROUND(计划落实!AB264/计划!AB264,5),0)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4" t="n"/>
      <c r="B265" s="231" t="inlineStr">
        <is>
          <t>SKU-CE79E55C</t>
        </is>
      </c>
      <c r="C265" s="231" t="inlineStr">
        <is>
          <t>是</t>
        </is>
      </c>
      <c r="D265" s="231" t="n">
        <v>11</v>
      </c>
      <c r="E265" s="231" t="inlineStr"/>
      <c r="F265" s="231" t="inlineStr"/>
      <c r="G265" s="231" t="inlineStr"/>
      <c r="H265" s="231" t="inlineStr"/>
      <c r="I265" s="231" t="inlineStr"/>
      <c r="J265" s="27" t="inlineStr"/>
      <c r="K265" s="27" t="inlineStr"/>
      <c r="L265" s="231" t="n">
        <v>100</v>
      </c>
      <c r="M265" s="19" t="inlineStr">
        <is>
          <t>Product-7BC6A9A2</t>
        </is>
      </c>
      <c r="N265" s="231" t="n">
        <v>3</v>
      </c>
      <c r="O265" s="236">
        <f>IFERROR(ROUND(计划落实!O265/计划!O265,5),0)</f>
        <v/>
      </c>
      <c r="P265" s="237">
        <f>IFERROR(ROUND(计划落实!P265/计划!P265,5),0)</f>
        <v/>
      </c>
      <c r="Q265" s="237">
        <f>IFERROR(ROUND(计划落实!Q265/计划!Q265,5),0)</f>
        <v/>
      </c>
      <c r="R265" s="237">
        <f>IFERROR(ROUND(计划落实!R265/计划!R265,5),0)</f>
        <v/>
      </c>
      <c r="S265" s="237">
        <f>IFERROR(ROUND(计划落实!S265/计划!S265,5),0)</f>
        <v/>
      </c>
      <c r="T265" s="237">
        <f>IFERROR(ROUND(计划落实!T265/计划!T265,5),0)</f>
        <v/>
      </c>
      <c r="U265" s="237">
        <f>IFERROR(ROUND(计划落实!U265/计划!U265,5),0)</f>
        <v/>
      </c>
      <c r="V265" s="237">
        <f>IFERROR(ROUND(计划落实!V265/计划!V265,5),0)</f>
        <v/>
      </c>
      <c r="W265" s="237">
        <f>IFERROR(ROUND(计划落实!W265/计划!W265,5),0)</f>
        <v/>
      </c>
      <c r="X265" s="237">
        <f>IFERROR(ROUND(计划落实!X265/计划!X265,5),0)</f>
        <v/>
      </c>
      <c r="Y265" s="237">
        <f>IFERROR(ROUND(计划落实!Y265/计划!Y265,5),0)</f>
        <v/>
      </c>
      <c r="Z265" s="237">
        <f>IFERROR(ROUND(计划落实!Z265/计划!Z265,5),0)</f>
        <v/>
      </c>
      <c r="AA265" s="237">
        <f>IFERROR(ROUND(计划落实!AA265/计划!AA265,5),0)</f>
        <v/>
      </c>
      <c r="AB265" s="237">
        <f>IFERROR(ROUND(计划落实!AB265/计划!AB265,5),0)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4" t="n"/>
      <c r="B266" s="231" t="inlineStr">
        <is>
          <t>SKU-D2BFADDA</t>
        </is>
      </c>
      <c r="C266" s="231" t="inlineStr">
        <is>
          <t>是</t>
        </is>
      </c>
      <c r="D266" s="231" t="n">
        <v>10</v>
      </c>
      <c r="E266" s="231" t="inlineStr"/>
      <c r="F266" s="231" t="inlineStr"/>
      <c r="G266" s="231" t="inlineStr"/>
      <c r="H266" s="231" t="inlineStr"/>
      <c r="I266" s="231" t="inlineStr"/>
      <c r="J266" s="27" t="inlineStr"/>
      <c r="K266" s="27" t="inlineStr"/>
      <c r="L266" s="231" t="n">
        <v>100</v>
      </c>
      <c r="M266" s="45" t="inlineStr">
        <is>
          <t>Product-ED8E1657</t>
        </is>
      </c>
      <c r="N266" s="231" t="n">
        <v>3</v>
      </c>
      <c r="O266" s="236">
        <f>IFERROR(ROUND(计划落实!O266/计划!O266,5),0)</f>
        <v/>
      </c>
      <c r="P266" s="237">
        <f>IFERROR(ROUND(计划落实!P266/计划!P266,5),0)</f>
        <v/>
      </c>
      <c r="Q266" s="237">
        <f>IFERROR(ROUND(计划落实!Q266/计划!Q266,5),0)</f>
        <v/>
      </c>
      <c r="R266" s="237">
        <f>IFERROR(ROUND(计划落实!R266/计划!R266,5),0)</f>
        <v/>
      </c>
      <c r="S266" s="237">
        <f>IFERROR(ROUND(计划落实!S266/计划!S266,5),0)</f>
        <v/>
      </c>
      <c r="T266" s="237">
        <f>IFERROR(ROUND(计划落实!T266/计划!T266,5),0)</f>
        <v/>
      </c>
      <c r="U266" s="237">
        <f>IFERROR(ROUND(计划落实!U266/计划!U266,5),0)</f>
        <v/>
      </c>
      <c r="V266" s="237">
        <f>IFERROR(ROUND(计划落实!V266/计划!V266,5),0)</f>
        <v/>
      </c>
      <c r="W266" s="237">
        <f>IFERROR(ROUND(计划落实!W266/计划!W266,5),0)</f>
        <v/>
      </c>
      <c r="X266" s="237">
        <f>IFERROR(ROUND(计划落实!X266/计划!X266,5),0)</f>
        <v/>
      </c>
      <c r="Y266" s="237">
        <f>IFERROR(ROUND(计划落实!Y266/计划!Y266,5),0)</f>
        <v/>
      </c>
      <c r="Z266" s="237">
        <f>IFERROR(ROUND(计划落实!Z266/计划!Z266,5),0)</f>
        <v/>
      </c>
      <c r="AA266" s="237">
        <f>IFERROR(ROUND(计划落实!AA266/计划!AA266,5),0)</f>
        <v/>
      </c>
      <c r="AB266" s="237">
        <f>IFERROR(ROUND(计划落实!AB266/计划!AB266,5),0)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4" t="n"/>
      <c r="B267" s="231" t="inlineStr">
        <is>
          <t>SKU-F85BCB9C</t>
        </is>
      </c>
      <c r="C267" s="231" t="inlineStr">
        <is>
          <t>是</t>
        </is>
      </c>
      <c r="D267" s="231" t="n">
        <v>10</v>
      </c>
      <c r="E267" s="231" t="inlineStr"/>
      <c r="F267" s="231" t="inlineStr"/>
      <c r="G267" s="231" t="inlineStr"/>
      <c r="H267" s="231" t="inlineStr"/>
      <c r="I267" s="231" t="inlineStr"/>
      <c r="J267" s="27" t="inlineStr"/>
      <c r="K267" s="27" t="inlineStr"/>
      <c r="L267" s="231" t="n">
        <v>100</v>
      </c>
      <c r="M267" s="19" t="inlineStr">
        <is>
          <t>Product-67B87425</t>
        </is>
      </c>
      <c r="N267" s="231" t="n">
        <v>3</v>
      </c>
      <c r="O267" s="236">
        <f>IFERROR(ROUND(计划落实!O267/计划!O267,5),0)</f>
        <v/>
      </c>
      <c r="P267" s="237">
        <f>IFERROR(ROUND(计划落实!P267/计划!P267,5),0)</f>
        <v/>
      </c>
      <c r="Q267" s="237">
        <f>IFERROR(ROUND(计划落实!Q267/计划!Q267,5),0)</f>
        <v/>
      </c>
      <c r="R267" s="237">
        <f>IFERROR(ROUND(计划落实!R267/计划!R267,5),0)</f>
        <v/>
      </c>
      <c r="S267" s="237">
        <f>IFERROR(ROUND(计划落实!S267/计划!S267,5),0)</f>
        <v/>
      </c>
      <c r="T267" s="237">
        <f>IFERROR(ROUND(计划落实!T267/计划!T267,5),0)</f>
        <v/>
      </c>
      <c r="U267" s="237">
        <f>IFERROR(ROUND(计划落实!U267/计划!U267,5),0)</f>
        <v/>
      </c>
      <c r="V267" s="237">
        <f>IFERROR(ROUND(计划落实!V267/计划!V267,5),0)</f>
        <v/>
      </c>
      <c r="W267" s="237">
        <f>IFERROR(ROUND(计划落实!W267/计划!W267,5),0)</f>
        <v/>
      </c>
      <c r="X267" s="237">
        <f>IFERROR(ROUND(计划落实!X267/计划!X267,5),0)</f>
        <v/>
      </c>
      <c r="Y267" s="237">
        <f>IFERROR(ROUND(计划落实!Y267/计划!Y267,5),0)</f>
        <v/>
      </c>
      <c r="Z267" s="237">
        <f>IFERROR(ROUND(计划落实!Z267/计划!Z267,5),0)</f>
        <v/>
      </c>
      <c r="AA267" s="237">
        <f>IFERROR(ROUND(计划落实!AA267/计划!AA267,5),0)</f>
        <v/>
      </c>
      <c r="AB267" s="237">
        <f>IFERROR(ROUND(计划落实!AB267/计划!AB267,5),0)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4" t="n"/>
      <c r="B268" s="231" t="inlineStr">
        <is>
          <t>SKU-6050A986</t>
        </is>
      </c>
      <c r="C268" s="231" t="inlineStr">
        <is>
          <t>是</t>
        </is>
      </c>
      <c r="D268" s="231" t="n">
        <v>10</v>
      </c>
      <c r="E268" s="231" t="inlineStr"/>
      <c r="F268" s="231" t="inlineStr"/>
      <c r="G268" s="231" t="inlineStr"/>
      <c r="H268" s="231" t="inlineStr"/>
      <c r="I268" s="231" t="inlineStr"/>
      <c r="J268" s="27" t="inlineStr"/>
      <c r="K268" s="27" t="inlineStr"/>
      <c r="L268" s="231" t="n">
        <v>100</v>
      </c>
      <c r="M268" s="44" t="inlineStr">
        <is>
          <t>Product-63107D32</t>
        </is>
      </c>
      <c r="N268" s="231" t="n">
        <v>3</v>
      </c>
      <c r="O268" s="236">
        <f>IFERROR(ROUND(计划落实!O268/计划!O268,5),0)</f>
        <v/>
      </c>
      <c r="P268" s="237">
        <f>IFERROR(ROUND(计划落实!P268/计划!P268,5),0)</f>
        <v/>
      </c>
      <c r="Q268" s="237">
        <f>IFERROR(ROUND(计划落实!Q268/计划!Q268,5),0)</f>
        <v/>
      </c>
      <c r="R268" s="237">
        <f>IFERROR(ROUND(计划落实!R268/计划!R268,5),0)</f>
        <v/>
      </c>
      <c r="S268" s="237">
        <f>IFERROR(ROUND(计划落实!S268/计划!S268,5),0)</f>
        <v/>
      </c>
      <c r="T268" s="237">
        <f>IFERROR(ROUND(计划落实!T268/计划!T268,5),0)</f>
        <v/>
      </c>
      <c r="U268" s="237">
        <f>IFERROR(ROUND(计划落实!U268/计划!U268,5),0)</f>
        <v/>
      </c>
      <c r="V268" s="237">
        <f>IFERROR(ROUND(计划落实!V268/计划!V268,5),0)</f>
        <v/>
      </c>
      <c r="W268" s="237">
        <f>IFERROR(ROUND(计划落实!W268/计划!W268,5),0)</f>
        <v/>
      </c>
      <c r="X268" s="237">
        <f>IFERROR(ROUND(计划落实!X268/计划!X268,5),0)</f>
        <v/>
      </c>
      <c r="Y268" s="237">
        <f>IFERROR(ROUND(计划落实!Y268/计划!Y268,5),0)</f>
        <v/>
      </c>
      <c r="Z268" s="237">
        <f>IFERROR(ROUND(计划落实!Z268/计划!Z268,5),0)</f>
        <v/>
      </c>
      <c r="AA268" s="237">
        <f>IFERROR(ROUND(计划落实!AA268/计划!AA268,5),0)</f>
        <v/>
      </c>
      <c r="AB268" s="237">
        <f>IFERROR(ROUND(计划落实!AB268/计划!AB268,5),0)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4" t="n"/>
      <c r="B269" s="231" t="inlineStr">
        <is>
          <t>SKU-B07AA582</t>
        </is>
      </c>
      <c r="C269" s="231" t="inlineStr">
        <is>
          <t>是</t>
        </is>
      </c>
      <c r="D269" s="231" t="n">
        <v>8</v>
      </c>
      <c r="E269" s="231" t="inlineStr">
        <is>
          <t>是</t>
        </is>
      </c>
      <c r="F269" s="231" t="inlineStr"/>
      <c r="G269" s="231" t="inlineStr"/>
      <c r="H269" s="231" t="inlineStr"/>
      <c r="I269" s="231" t="inlineStr">
        <is>
          <t>是</t>
        </is>
      </c>
      <c r="J269" s="27" t="inlineStr"/>
      <c r="K269" s="27" t="inlineStr"/>
      <c r="L269" s="231" t="n">
        <v>100</v>
      </c>
      <c r="M269" s="44" t="inlineStr">
        <is>
          <t>Product-D6058228</t>
        </is>
      </c>
      <c r="N269" s="231" t="n">
        <v>2</v>
      </c>
      <c r="O269" s="236">
        <f>IFERROR(ROUND(计划落实!O269/计划!O269,5),0)</f>
        <v/>
      </c>
      <c r="P269" s="237">
        <f>IFERROR(ROUND(计划落实!P269/计划!P269,5),0)</f>
        <v/>
      </c>
      <c r="Q269" s="237">
        <f>IFERROR(ROUND(计划落实!Q269/计划!Q269,5),0)</f>
        <v/>
      </c>
      <c r="R269" s="237">
        <f>IFERROR(ROUND(计划落实!R269/计划!R269,5),0)</f>
        <v/>
      </c>
      <c r="S269" s="237">
        <f>IFERROR(ROUND(计划落实!S269/计划!S269,5),0)</f>
        <v/>
      </c>
      <c r="T269" s="237">
        <f>IFERROR(ROUND(计划落实!T269/计划!T269,5),0)</f>
        <v/>
      </c>
      <c r="U269" s="237">
        <f>IFERROR(ROUND(计划落实!U269/计划!U269,5),0)</f>
        <v/>
      </c>
      <c r="V269" s="237">
        <f>IFERROR(ROUND(计划落实!V269/计划!V269,5),0)</f>
        <v/>
      </c>
      <c r="W269" s="237">
        <f>IFERROR(ROUND(计划落实!W269/计划!W269,5),0)</f>
        <v/>
      </c>
      <c r="X269" s="237">
        <f>IFERROR(ROUND(计划落实!X269/计划!X269,5),0)</f>
        <v/>
      </c>
      <c r="Y269" s="237">
        <f>IFERROR(ROUND(计划落实!Y269/计划!Y269,5),0)</f>
        <v/>
      </c>
      <c r="Z269" s="237">
        <f>IFERROR(ROUND(计划落实!Z269/计划!Z269,5),0)</f>
        <v/>
      </c>
      <c r="AA269" s="237">
        <f>IFERROR(ROUND(计划落实!AA269/计划!AA269,5),0)</f>
        <v/>
      </c>
      <c r="AB269" s="237">
        <f>IFERROR(ROUND(计划落实!AB269/计划!AB269,5),0)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4" t="n"/>
      <c r="B270" s="231" t="inlineStr">
        <is>
          <t>SKU-39C37C74</t>
        </is>
      </c>
      <c r="C270" s="231" t="inlineStr">
        <is>
          <t>是</t>
        </is>
      </c>
      <c r="D270" s="231" t="n">
        <v>10</v>
      </c>
      <c r="E270" s="231" t="inlineStr"/>
      <c r="F270" s="231" t="inlineStr"/>
      <c r="G270" s="231" t="inlineStr"/>
      <c r="H270" s="231" t="inlineStr"/>
      <c r="I270" s="231" t="inlineStr"/>
      <c r="J270" s="27" t="inlineStr"/>
      <c r="K270" s="27" t="inlineStr"/>
      <c r="L270" s="231" t="n">
        <v>100</v>
      </c>
      <c r="M270" s="19" t="inlineStr">
        <is>
          <t>Product-BF80D349</t>
        </is>
      </c>
      <c r="N270" s="231" t="n">
        <v>3</v>
      </c>
      <c r="O270" s="236">
        <f>IFERROR(ROUND(计划落实!O270/计划!O270,5),0)</f>
        <v/>
      </c>
      <c r="P270" s="237">
        <f>IFERROR(ROUND(计划落实!P270/计划!P270,5),0)</f>
        <v/>
      </c>
      <c r="Q270" s="237">
        <f>IFERROR(ROUND(计划落实!Q270/计划!Q270,5),0)</f>
        <v/>
      </c>
      <c r="R270" s="237">
        <f>IFERROR(ROUND(计划落实!R270/计划!R270,5),0)</f>
        <v/>
      </c>
      <c r="S270" s="237">
        <f>IFERROR(ROUND(计划落实!S270/计划!S270,5),0)</f>
        <v/>
      </c>
      <c r="T270" s="237">
        <f>IFERROR(ROUND(计划落实!T270/计划!T270,5),0)</f>
        <v/>
      </c>
      <c r="U270" s="237">
        <f>IFERROR(ROUND(计划落实!U270/计划!U270,5),0)</f>
        <v/>
      </c>
      <c r="V270" s="237">
        <f>IFERROR(ROUND(计划落实!V270/计划!V270,5),0)</f>
        <v/>
      </c>
      <c r="W270" s="237">
        <f>IFERROR(ROUND(计划落实!W270/计划!W270,5),0)</f>
        <v/>
      </c>
      <c r="X270" s="237">
        <f>IFERROR(ROUND(计划落实!X270/计划!X270,5),0)</f>
        <v/>
      </c>
      <c r="Y270" s="237">
        <f>IFERROR(ROUND(计划落实!Y270/计划!Y270,5),0)</f>
        <v/>
      </c>
      <c r="Z270" s="237">
        <f>IFERROR(ROUND(计划落实!Z270/计划!Z270,5),0)</f>
        <v/>
      </c>
      <c r="AA270" s="237">
        <f>IFERROR(ROUND(计划落实!AA270/计划!AA270,5),0)</f>
        <v/>
      </c>
      <c r="AB270" s="237">
        <f>IFERROR(ROUND(计划落实!AB270/计划!AB270,5),0)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4" t="n"/>
      <c r="B271" s="231" t="inlineStr">
        <is>
          <t>SKU-5D83BF57</t>
        </is>
      </c>
      <c r="C271" s="231" t="inlineStr">
        <is>
          <t>是</t>
        </is>
      </c>
      <c r="D271" s="231" t="n">
        <v>7</v>
      </c>
      <c r="E271" s="231" t="inlineStr">
        <is>
          <t>是</t>
        </is>
      </c>
      <c r="F271" s="231" t="inlineStr"/>
      <c r="G271" s="231" t="inlineStr"/>
      <c r="H271" s="231" t="inlineStr"/>
      <c r="I271" s="231" t="inlineStr">
        <is>
          <t>是</t>
        </is>
      </c>
      <c r="J271" s="27" t="inlineStr"/>
      <c r="K271" s="27" t="inlineStr"/>
      <c r="L271" s="231" t="n">
        <v>100</v>
      </c>
      <c r="M271" s="45" t="inlineStr">
        <is>
          <t>Product-D6058228</t>
        </is>
      </c>
      <c r="N271" s="231" t="n">
        <v>2</v>
      </c>
      <c r="O271" s="236">
        <f>IFERROR(ROUND(计划落实!O271/计划!O271,5),0)</f>
        <v/>
      </c>
      <c r="P271" s="237">
        <f>IFERROR(ROUND(计划落实!P271/计划!P271,5),0)</f>
        <v/>
      </c>
      <c r="Q271" s="237">
        <f>IFERROR(ROUND(计划落实!Q271/计划!Q271,5),0)</f>
        <v/>
      </c>
      <c r="R271" s="237">
        <f>IFERROR(ROUND(计划落实!R271/计划!R271,5),0)</f>
        <v/>
      </c>
      <c r="S271" s="237">
        <f>IFERROR(ROUND(计划落实!S271/计划!S271,5),0)</f>
        <v/>
      </c>
      <c r="T271" s="237">
        <f>IFERROR(ROUND(计划落实!T271/计划!T271,5),0)</f>
        <v/>
      </c>
      <c r="U271" s="237">
        <f>IFERROR(ROUND(计划落实!U271/计划!U271,5),0)</f>
        <v/>
      </c>
      <c r="V271" s="237">
        <f>IFERROR(ROUND(计划落实!V271/计划!V271,5),0)</f>
        <v/>
      </c>
      <c r="W271" s="237">
        <f>IFERROR(ROUND(计划落实!W271/计划!W271,5),0)</f>
        <v/>
      </c>
      <c r="X271" s="237">
        <f>IFERROR(ROUND(计划落实!X271/计划!X271,5),0)</f>
        <v/>
      </c>
      <c r="Y271" s="237">
        <f>IFERROR(ROUND(计划落实!Y271/计划!Y271,5),0)</f>
        <v/>
      </c>
      <c r="Z271" s="237">
        <f>IFERROR(ROUND(计划落实!Z271/计划!Z271,5),0)</f>
        <v/>
      </c>
      <c r="AA271" s="237">
        <f>IFERROR(ROUND(计划落实!AA271/计划!AA271,5),0)</f>
        <v/>
      </c>
      <c r="AB271" s="237">
        <f>IFERROR(ROUND(计划落实!AB271/计划!AB271,5),0)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4" t="n"/>
      <c r="B272" s="231" t="inlineStr">
        <is>
          <t>SKU-D47538E8</t>
        </is>
      </c>
      <c r="C272" s="231" t="inlineStr">
        <is>
          <t>是</t>
        </is>
      </c>
      <c r="D272" s="231" t="n">
        <v>10</v>
      </c>
      <c r="E272" s="231" t="inlineStr"/>
      <c r="F272" s="231" t="inlineStr"/>
      <c r="G272" s="231" t="inlineStr"/>
      <c r="H272" s="231" t="inlineStr"/>
      <c r="I272" s="231" t="inlineStr"/>
      <c r="J272" s="27" t="inlineStr"/>
      <c r="K272" s="27" t="inlineStr"/>
      <c r="L272" s="231" t="n">
        <v>100</v>
      </c>
      <c r="M272" s="19" t="inlineStr">
        <is>
          <t>Product-3AB43197</t>
        </is>
      </c>
      <c r="N272" s="231" t="n">
        <v>1</v>
      </c>
      <c r="O272" s="236">
        <f>IFERROR(ROUND(计划落实!O272/计划!O272,5),0)</f>
        <v/>
      </c>
      <c r="P272" s="237">
        <f>IFERROR(ROUND(计划落实!P272/计划!P272,5),0)</f>
        <v/>
      </c>
      <c r="Q272" s="237">
        <f>IFERROR(ROUND(计划落实!Q272/计划!Q272,5),0)</f>
        <v/>
      </c>
      <c r="R272" s="237">
        <f>IFERROR(ROUND(计划落实!R272/计划!R272,5),0)</f>
        <v/>
      </c>
      <c r="S272" s="237">
        <f>IFERROR(ROUND(计划落实!S272/计划!S272,5),0)</f>
        <v/>
      </c>
      <c r="T272" s="237">
        <f>IFERROR(ROUND(计划落实!T272/计划!T272,5),0)</f>
        <v/>
      </c>
      <c r="U272" s="237">
        <f>IFERROR(ROUND(计划落实!U272/计划!U272,5),0)</f>
        <v/>
      </c>
      <c r="V272" s="237">
        <f>IFERROR(ROUND(计划落实!V272/计划!V272,5),0)</f>
        <v/>
      </c>
      <c r="W272" s="237">
        <f>IFERROR(ROUND(计划落实!W272/计划!W272,5),0)</f>
        <v/>
      </c>
      <c r="X272" s="237">
        <f>IFERROR(ROUND(计划落实!X272/计划!X272,5),0)</f>
        <v/>
      </c>
      <c r="Y272" s="237">
        <f>IFERROR(ROUND(计划落实!Y272/计划!Y272,5),0)</f>
        <v/>
      </c>
      <c r="Z272" s="237">
        <f>IFERROR(ROUND(计划落实!Z272/计划!Z272,5),0)</f>
        <v/>
      </c>
      <c r="AA272" s="237">
        <f>IFERROR(ROUND(计划落实!AA272/计划!AA272,5),0)</f>
        <v/>
      </c>
      <c r="AB272" s="237">
        <f>IFERROR(ROUND(计划落实!AB272/计划!AB272,5),0)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4" t="n"/>
      <c r="B273" s="231" t="inlineStr">
        <is>
          <t>SKU-242CDE35</t>
        </is>
      </c>
      <c r="C273" s="231" t="inlineStr">
        <is>
          <t>是</t>
        </is>
      </c>
      <c r="D273" s="231" t="n">
        <v>11</v>
      </c>
      <c r="E273" s="231" t="inlineStr"/>
      <c r="F273" s="231" t="inlineStr"/>
      <c r="G273" s="231" t="inlineStr"/>
      <c r="H273" s="231" t="inlineStr"/>
      <c r="I273" s="231" t="inlineStr"/>
      <c r="J273" s="27" t="inlineStr">
        <is>
          <t>共</t>
        </is>
      </c>
      <c r="K273" s="27" t="inlineStr"/>
      <c r="L273" s="231" t="n">
        <v>100</v>
      </c>
      <c r="M273" s="19" t="inlineStr">
        <is>
          <t>Product-0679DC24</t>
        </is>
      </c>
      <c r="N273" s="231" t="n">
        <v>1</v>
      </c>
      <c r="O273" s="236">
        <f>IFERROR(ROUND(计划落实!O273/计划!O273,5),0)</f>
        <v/>
      </c>
      <c r="P273" s="237">
        <f>IFERROR(ROUND(计划落实!P273/计划!P273,5),0)</f>
        <v/>
      </c>
      <c r="Q273" s="237">
        <f>IFERROR(ROUND(计划落实!Q273/计划!Q273,5),0)</f>
        <v/>
      </c>
      <c r="R273" s="237">
        <f>IFERROR(ROUND(计划落实!R273/计划!R273,5),0)</f>
        <v/>
      </c>
      <c r="S273" s="237">
        <f>IFERROR(ROUND(计划落实!S273/计划!S273,5),0)</f>
        <v/>
      </c>
      <c r="T273" s="237">
        <f>IFERROR(ROUND(计划落实!T273/计划!T273,5),0)</f>
        <v/>
      </c>
      <c r="U273" s="237">
        <f>IFERROR(ROUND(计划落实!U273/计划!U273,5),0)</f>
        <v/>
      </c>
      <c r="V273" s="237">
        <f>IFERROR(ROUND(计划落实!V273/计划!V273,5),0)</f>
        <v/>
      </c>
      <c r="W273" s="237">
        <f>IFERROR(ROUND(计划落实!W273/计划!W273,5),0)</f>
        <v/>
      </c>
      <c r="X273" s="237">
        <f>IFERROR(ROUND(计划落实!X273/计划!X273,5),0)</f>
        <v/>
      </c>
      <c r="Y273" s="237">
        <f>IFERROR(ROUND(计划落实!Y273/计划!Y273,5),0)</f>
        <v/>
      </c>
      <c r="Z273" s="237">
        <f>IFERROR(ROUND(计划落实!Z273/计划!Z273,5),0)</f>
        <v/>
      </c>
      <c r="AA273" s="237">
        <f>IFERROR(ROUND(计划落实!AA273/计划!AA273,5),0)</f>
        <v/>
      </c>
      <c r="AB273" s="237">
        <f>IFERROR(ROUND(计划落实!AB273/计划!AB273,5),0)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4" t="n"/>
      <c r="B274" s="231" t="inlineStr">
        <is>
          <t>SKU-DE68B12E</t>
        </is>
      </c>
      <c r="C274" s="231" t="inlineStr">
        <is>
          <t>是</t>
        </is>
      </c>
      <c r="D274" s="231" t="n">
        <v>8</v>
      </c>
      <c r="E274" s="231" t="inlineStr">
        <is>
          <t>是</t>
        </is>
      </c>
      <c r="F274" s="231" t="inlineStr"/>
      <c r="G274" s="231" t="inlineStr"/>
      <c r="H274" s="231" t="inlineStr"/>
      <c r="I274" s="231" t="inlineStr">
        <is>
          <t>是</t>
        </is>
      </c>
      <c r="J274" s="27" t="inlineStr"/>
      <c r="K274" s="27" t="inlineStr"/>
      <c r="L274" s="231" t="n">
        <v>100</v>
      </c>
      <c r="M274" s="19" t="inlineStr">
        <is>
          <t>Product-C50F24AE</t>
        </is>
      </c>
      <c r="N274" s="231" t="n">
        <v>1</v>
      </c>
      <c r="O274" s="236">
        <f>IFERROR(ROUND(计划落实!O274/计划!O274,5),0)</f>
        <v/>
      </c>
      <c r="P274" s="237">
        <f>IFERROR(ROUND(计划落实!P274/计划!P274,5),0)</f>
        <v/>
      </c>
      <c r="Q274" s="237">
        <f>IFERROR(ROUND(计划落实!Q274/计划!Q274,5),0)</f>
        <v/>
      </c>
      <c r="R274" s="237">
        <f>IFERROR(ROUND(计划落实!R274/计划!R274,5),0)</f>
        <v/>
      </c>
      <c r="S274" s="237">
        <f>IFERROR(ROUND(计划落实!S274/计划!S274,5),0)</f>
        <v/>
      </c>
      <c r="T274" s="237">
        <f>IFERROR(ROUND(计划落实!T274/计划!T274,5),0)</f>
        <v/>
      </c>
      <c r="U274" s="237">
        <f>IFERROR(ROUND(计划落实!U274/计划!U274,5),0)</f>
        <v/>
      </c>
      <c r="V274" s="237">
        <f>IFERROR(ROUND(计划落实!V274/计划!V274,5),0)</f>
        <v/>
      </c>
      <c r="W274" s="237">
        <f>IFERROR(ROUND(计划落实!W274/计划!W274,5),0)</f>
        <v/>
      </c>
      <c r="X274" s="237">
        <f>IFERROR(ROUND(计划落实!X274/计划!X274,5),0)</f>
        <v/>
      </c>
      <c r="Y274" s="237">
        <f>IFERROR(ROUND(计划落实!Y274/计划!Y274,5),0)</f>
        <v/>
      </c>
      <c r="Z274" s="237">
        <f>IFERROR(ROUND(计划落实!Z274/计划!Z274,5),0)</f>
        <v/>
      </c>
      <c r="AA274" s="237">
        <f>IFERROR(ROUND(计划落实!AA274/计划!AA274,5),0)</f>
        <v/>
      </c>
      <c r="AB274" s="237">
        <f>IFERROR(ROUND(计划落实!AB274/计划!AB274,5),0)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4" t="n"/>
      <c r="B275" s="231" t="inlineStr">
        <is>
          <t>SKU-51DE8DA7</t>
        </is>
      </c>
      <c r="C275" s="231" t="inlineStr">
        <is>
          <t>是</t>
        </is>
      </c>
      <c r="D275" s="231" t="n">
        <v>10</v>
      </c>
      <c r="E275" s="231" t="inlineStr"/>
      <c r="F275" s="231" t="inlineStr"/>
      <c r="G275" s="231" t="inlineStr"/>
      <c r="H275" s="231" t="inlineStr"/>
      <c r="I275" s="231" t="inlineStr"/>
      <c r="J275" s="27" t="inlineStr"/>
      <c r="K275" s="27" t="inlineStr"/>
      <c r="L275" s="231" t="n">
        <v>100</v>
      </c>
      <c r="M275" s="44" t="inlineStr">
        <is>
          <t>Product-A356EADC</t>
        </is>
      </c>
      <c r="N275" s="231" t="n">
        <v>1</v>
      </c>
      <c r="O275" s="236">
        <f>IFERROR(ROUND(计划落实!O275/计划!O275,5),0)</f>
        <v/>
      </c>
      <c r="P275" s="237">
        <f>IFERROR(ROUND(计划落实!P275/计划!P275,5),0)</f>
        <v/>
      </c>
      <c r="Q275" s="237">
        <f>IFERROR(ROUND(计划落实!Q275/计划!Q275,5),0)</f>
        <v/>
      </c>
      <c r="R275" s="237">
        <f>IFERROR(ROUND(计划落实!R275/计划!R275,5),0)</f>
        <v/>
      </c>
      <c r="S275" s="237">
        <f>IFERROR(ROUND(计划落实!S275/计划!S275,5),0)</f>
        <v/>
      </c>
      <c r="T275" s="237">
        <f>IFERROR(ROUND(计划落实!T275/计划!T275,5),0)</f>
        <v/>
      </c>
      <c r="U275" s="237">
        <f>IFERROR(ROUND(计划落实!U275/计划!U275,5),0)</f>
        <v/>
      </c>
      <c r="V275" s="237">
        <f>IFERROR(ROUND(计划落实!V275/计划!V275,5),0)</f>
        <v/>
      </c>
      <c r="W275" s="237">
        <f>IFERROR(ROUND(计划落实!W275/计划!W275,5),0)</f>
        <v/>
      </c>
      <c r="X275" s="237">
        <f>IFERROR(ROUND(计划落实!X275/计划!X275,5),0)</f>
        <v/>
      </c>
      <c r="Y275" s="237">
        <f>IFERROR(ROUND(计划落实!Y275/计划!Y275,5),0)</f>
        <v/>
      </c>
      <c r="Z275" s="237">
        <f>IFERROR(ROUND(计划落实!Z275/计划!Z275,5),0)</f>
        <v/>
      </c>
      <c r="AA275" s="237">
        <f>IFERROR(ROUND(计划落实!AA275/计划!AA275,5),0)</f>
        <v/>
      </c>
      <c r="AB275" s="237">
        <f>IFERROR(ROUND(计划落实!AB275/计划!AB275,5),0)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4" t="n"/>
      <c r="B276" s="231" t="inlineStr">
        <is>
          <t>SKU-B2655403</t>
        </is>
      </c>
      <c r="C276" s="231" t="inlineStr">
        <is>
          <t>是</t>
        </is>
      </c>
      <c r="D276" s="231" t="n">
        <v>8</v>
      </c>
      <c r="E276" s="231" t="inlineStr">
        <is>
          <t>是</t>
        </is>
      </c>
      <c r="F276" s="231" t="inlineStr"/>
      <c r="G276" s="231" t="inlineStr"/>
      <c r="H276" s="231" t="inlineStr">
        <is>
          <t>是</t>
        </is>
      </c>
      <c r="I276" s="231" t="inlineStr">
        <is>
          <t>是</t>
        </is>
      </c>
      <c r="J276" s="27" t="inlineStr"/>
      <c r="K276" s="27" t="inlineStr"/>
      <c r="L276" s="231" t="n">
        <v>100</v>
      </c>
      <c r="M276" s="43" t="inlineStr">
        <is>
          <t>Product-D9E7BC64</t>
        </is>
      </c>
      <c r="N276" s="231" t="n">
        <v>1</v>
      </c>
      <c r="O276" s="236">
        <f>IFERROR(ROUND(计划落实!O276/计划!O276,5),0)</f>
        <v/>
      </c>
      <c r="P276" s="237">
        <f>IFERROR(ROUND(计划落实!P276/计划!P276,5),0)</f>
        <v/>
      </c>
      <c r="Q276" s="237">
        <f>IFERROR(ROUND(计划落实!Q276/计划!Q276,5),0)</f>
        <v/>
      </c>
      <c r="R276" s="237">
        <f>IFERROR(ROUND(计划落实!R276/计划!R276,5),0)</f>
        <v/>
      </c>
      <c r="S276" s="237">
        <f>IFERROR(ROUND(计划落实!S276/计划!S276,5),0)</f>
        <v/>
      </c>
      <c r="T276" s="237">
        <f>IFERROR(ROUND(计划落实!T276/计划!T276,5),0)</f>
        <v/>
      </c>
      <c r="U276" s="237">
        <f>IFERROR(ROUND(计划落实!U276/计划!U276,5),0)</f>
        <v/>
      </c>
      <c r="V276" s="237">
        <f>IFERROR(ROUND(计划落实!V276/计划!V276,5),0)</f>
        <v/>
      </c>
      <c r="W276" s="237">
        <f>IFERROR(ROUND(计划落实!W276/计划!W276,5),0)</f>
        <v/>
      </c>
      <c r="X276" s="237">
        <f>IFERROR(ROUND(计划落实!X276/计划!X276,5),0)</f>
        <v/>
      </c>
      <c r="Y276" s="237">
        <f>IFERROR(ROUND(计划落实!Y276/计划!Y276,5),0)</f>
        <v/>
      </c>
      <c r="Z276" s="237">
        <f>IFERROR(ROUND(计划落实!Z276/计划!Z276,5),0)</f>
        <v/>
      </c>
      <c r="AA276" s="237">
        <f>IFERROR(ROUND(计划落实!AA276/计划!AA276,5),0)</f>
        <v/>
      </c>
      <c r="AB276" s="237">
        <f>IFERROR(ROUND(计划落实!AB276/计划!AB276,5),0)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4" t="n"/>
      <c r="B277" s="231" t="inlineStr">
        <is>
          <t>SKU-560D7D3A</t>
        </is>
      </c>
      <c r="C277" s="231" t="inlineStr">
        <is>
          <t>是</t>
        </is>
      </c>
      <c r="D277" s="231" t="n">
        <v>9</v>
      </c>
      <c r="E277" s="231" t="inlineStr"/>
      <c r="F277" s="231" t="inlineStr">
        <is>
          <t>是</t>
        </is>
      </c>
      <c r="G277" s="231" t="inlineStr"/>
      <c r="H277" s="231" t="inlineStr"/>
      <c r="I277" s="231" t="inlineStr">
        <is>
          <t>是</t>
        </is>
      </c>
      <c r="J277" s="27" t="inlineStr"/>
      <c r="K277" s="27" t="inlineStr"/>
      <c r="L277" s="231" t="n">
        <v>100</v>
      </c>
      <c r="M277" s="19" t="inlineStr">
        <is>
          <t>Product-1ACD7A4E</t>
        </is>
      </c>
      <c r="N277" s="231" t="n">
        <v>1</v>
      </c>
      <c r="O277" s="236">
        <f>IFERROR(ROUND(计划落实!O277/计划!O277,5),0)</f>
        <v/>
      </c>
      <c r="P277" s="237">
        <f>IFERROR(ROUND(计划落实!P277/计划!P277,5),0)</f>
        <v/>
      </c>
      <c r="Q277" s="237">
        <f>IFERROR(ROUND(计划落实!Q277/计划!Q277,5),0)</f>
        <v/>
      </c>
      <c r="R277" s="237">
        <f>IFERROR(ROUND(计划落实!R277/计划!R277,5),0)</f>
        <v/>
      </c>
      <c r="S277" s="237">
        <f>IFERROR(ROUND(计划落实!S277/计划!S277,5),0)</f>
        <v/>
      </c>
      <c r="T277" s="237">
        <f>IFERROR(ROUND(计划落实!T277/计划!T277,5),0)</f>
        <v/>
      </c>
      <c r="U277" s="237">
        <f>IFERROR(ROUND(计划落实!U277/计划!U277,5),0)</f>
        <v/>
      </c>
      <c r="V277" s="237">
        <f>IFERROR(ROUND(计划落实!V277/计划!V277,5),0)</f>
        <v/>
      </c>
      <c r="W277" s="237">
        <f>IFERROR(ROUND(计划落实!W277/计划!W277,5),0)</f>
        <v/>
      </c>
      <c r="X277" s="237">
        <f>IFERROR(ROUND(计划落实!X277/计划!X277,5),0)</f>
        <v/>
      </c>
      <c r="Y277" s="237">
        <f>IFERROR(ROUND(计划落实!Y277/计划!Y277,5),0)</f>
        <v/>
      </c>
      <c r="Z277" s="237">
        <f>IFERROR(ROUND(计划落实!Z277/计划!Z277,5),0)</f>
        <v/>
      </c>
      <c r="AA277" s="237">
        <f>IFERROR(ROUND(计划落实!AA277/计划!AA277,5),0)</f>
        <v/>
      </c>
      <c r="AB277" s="237">
        <f>IFERROR(ROUND(计划落实!AB277/计划!AB277,5),0)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4" t="n"/>
      <c r="B278" s="231" t="inlineStr">
        <is>
          <t>SKU-58CC7CB1</t>
        </is>
      </c>
      <c r="C278" s="231" t="inlineStr">
        <is>
          <t>是</t>
        </is>
      </c>
      <c r="D278" s="231" t="n">
        <v>8</v>
      </c>
      <c r="E278" s="231" t="inlineStr"/>
      <c r="F278" s="231" t="inlineStr">
        <is>
          <t>是</t>
        </is>
      </c>
      <c r="G278" s="231" t="inlineStr"/>
      <c r="H278" s="231" t="inlineStr"/>
      <c r="I278" s="231" t="inlineStr">
        <is>
          <t>是</t>
        </is>
      </c>
      <c r="J278" s="27" t="inlineStr"/>
      <c r="K278" s="27" t="inlineStr"/>
      <c r="L278" s="231" t="n">
        <v>100</v>
      </c>
      <c r="M278" s="19" t="inlineStr">
        <is>
          <t>Product-9C70330A</t>
        </is>
      </c>
      <c r="N278" s="231" t="n">
        <v>1</v>
      </c>
      <c r="O278" s="236">
        <f>IFERROR(ROUND(计划落实!O278/计划!O278,5),0)</f>
        <v/>
      </c>
      <c r="P278" s="237">
        <f>IFERROR(ROUND(计划落实!P278/计划!P278,5),0)</f>
        <v/>
      </c>
      <c r="Q278" s="237">
        <f>IFERROR(ROUND(计划落实!Q278/计划!Q278,5),0)</f>
        <v/>
      </c>
      <c r="R278" s="237">
        <f>IFERROR(ROUND(计划落实!R278/计划!R278,5),0)</f>
        <v/>
      </c>
      <c r="S278" s="237">
        <f>IFERROR(ROUND(计划落实!S278/计划!S278,5),0)</f>
        <v/>
      </c>
      <c r="T278" s="237">
        <f>IFERROR(ROUND(计划落实!T278/计划!T278,5),0)</f>
        <v/>
      </c>
      <c r="U278" s="237">
        <f>IFERROR(ROUND(计划落实!U278/计划!U278,5),0)</f>
        <v/>
      </c>
      <c r="V278" s="237">
        <f>IFERROR(ROUND(计划落实!V278/计划!V278,5),0)</f>
        <v/>
      </c>
      <c r="W278" s="237">
        <f>IFERROR(ROUND(计划落实!W278/计划!W278,5),0)</f>
        <v/>
      </c>
      <c r="X278" s="237">
        <f>IFERROR(ROUND(计划落实!X278/计划!X278,5),0)</f>
        <v/>
      </c>
      <c r="Y278" s="237">
        <f>IFERROR(ROUND(计划落实!Y278/计划!Y278,5),0)</f>
        <v/>
      </c>
      <c r="Z278" s="237">
        <f>IFERROR(ROUND(计划落实!Z278/计划!Z278,5),0)</f>
        <v/>
      </c>
      <c r="AA278" s="237">
        <f>IFERROR(ROUND(计划落实!AA278/计划!AA278,5),0)</f>
        <v/>
      </c>
      <c r="AB278" s="237">
        <f>IFERROR(ROUND(计划落实!AB278/计划!AB278,5),0)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4" t="n"/>
      <c r="B279" s="231" t="inlineStr">
        <is>
          <t>SKU-3267BBE9</t>
        </is>
      </c>
      <c r="C279" s="231" t="inlineStr">
        <is>
          <t>是</t>
        </is>
      </c>
      <c r="D279" s="231" t="n">
        <v>8</v>
      </c>
      <c r="E279" s="231" t="inlineStr">
        <is>
          <t>是</t>
        </is>
      </c>
      <c r="F279" s="231" t="inlineStr"/>
      <c r="G279" s="231" t="inlineStr"/>
      <c r="H279" s="231" t="inlineStr"/>
      <c r="I279" s="231" t="inlineStr">
        <is>
          <t>是</t>
        </is>
      </c>
      <c r="J279" s="27" t="inlineStr">
        <is>
          <t>共</t>
        </is>
      </c>
      <c r="K279" s="27" t="inlineStr"/>
      <c r="L279" s="231" t="n">
        <v>100</v>
      </c>
      <c r="M279" s="19" t="inlineStr">
        <is>
          <t>Product-0D2637FC</t>
        </is>
      </c>
      <c r="N279" s="231" t="n">
        <v>1</v>
      </c>
      <c r="O279" s="236">
        <f>IFERROR(ROUND(计划落实!O279/计划!O279,5),0)</f>
        <v/>
      </c>
      <c r="P279" s="237">
        <f>IFERROR(ROUND(计划落实!P279/计划!P279,5),0)</f>
        <v/>
      </c>
      <c r="Q279" s="237">
        <f>IFERROR(ROUND(计划落实!Q279/计划!Q279,5),0)</f>
        <v/>
      </c>
      <c r="R279" s="237">
        <f>IFERROR(ROUND(计划落实!R279/计划!R279,5),0)</f>
        <v/>
      </c>
      <c r="S279" s="237">
        <f>IFERROR(ROUND(计划落实!S279/计划!S279,5),0)</f>
        <v/>
      </c>
      <c r="T279" s="237">
        <f>IFERROR(ROUND(计划落实!T279/计划!T279,5),0)</f>
        <v/>
      </c>
      <c r="U279" s="237">
        <f>IFERROR(ROUND(计划落实!U279/计划!U279,5),0)</f>
        <v/>
      </c>
      <c r="V279" s="237">
        <f>IFERROR(ROUND(计划落实!V279/计划!V279,5),0)</f>
        <v/>
      </c>
      <c r="W279" s="237">
        <f>IFERROR(ROUND(计划落实!W279/计划!W279,5),0)</f>
        <v/>
      </c>
      <c r="X279" s="237">
        <f>IFERROR(ROUND(计划落实!X279/计划!X279,5),0)</f>
        <v/>
      </c>
      <c r="Y279" s="237">
        <f>IFERROR(ROUND(计划落实!Y279/计划!Y279,5),0)</f>
        <v/>
      </c>
      <c r="Z279" s="237">
        <f>IFERROR(ROUND(计划落实!Z279/计划!Z279,5),0)</f>
        <v/>
      </c>
      <c r="AA279" s="237">
        <f>IFERROR(ROUND(计划落实!AA279/计划!AA279,5),0)</f>
        <v/>
      </c>
      <c r="AB279" s="237">
        <f>IFERROR(ROUND(计划落实!AB279/计划!AB279,5),0)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4" t="n"/>
      <c r="B280" s="231" t="inlineStr">
        <is>
          <t>SKU-AA71A4AF</t>
        </is>
      </c>
      <c r="C280" s="231" t="inlineStr">
        <is>
          <t>是</t>
        </is>
      </c>
      <c r="D280" s="231" t="n">
        <v>10</v>
      </c>
      <c r="E280" s="231" t="inlineStr"/>
      <c r="F280" s="231" t="inlineStr"/>
      <c r="G280" s="231" t="inlineStr"/>
      <c r="H280" s="231" t="inlineStr"/>
      <c r="I280" s="231" t="inlineStr"/>
      <c r="J280" s="27" t="inlineStr"/>
      <c r="K280" s="27" t="inlineStr"/>
      <c r="L280" s="231" t="n">
        <v>100</v>
      </c>
      <c r="M280" s="19" t="inlineStr">
        <is>
          <t>Product-190D85FA</t>
        </is>
      </c>
      <c r="N280" s="231" t="n">
        <v>3</v>
      </c>
      <c r="O280" s="236">
        <f>IFERROR(ROUND(计划落实!O280/计划!O280,5),0)</f>
        <v/>
      </c>
      <c r="P280" s="237">
        <f>IFERROR(ROUND(计划落实!P280/计划!P280,5),0)</f>
        <v/>
      </c>
      <c r="Q280" s="237">
        <f>IFERROR(ROUND(计划落实!Q280/计划!Q280,5),0)</f>
        <v/>
      </c>
      <c r="R280" s="237">
        <f>IFERROR(ROUND(计划落实!R280/计划!R280,5),0)</f>
        <v/>
      </c>
      <c r="S280" s="237">
        <f>IFERROR(ROUND(计划落实!S280/计划!S280,5),0)</f>
        <v/>
      </c>
      <c r="T280" s="237">
        <f>IFERROR(ROUND(计划落实!T280/计划!T280,5),0)</f>
        <v/>
      </c>
      <c r="U280" s="237">
        <f>IFERROR(ROUND(计划落实!U280/计划!U280,5),0)</f>
        <v/>
      </c>
      <c r="V280" s="237">
        <f>IFERROR(ROUND(计划落实!V280/计划!V280,5),0)</f>
        <v/>
      </c>
      <c r="W280" s="237">
        <f>IFERROR(ROUND(计划落实!W280/计划!W280,5),0)</f>
        <v/>
      </c>
      <c r="X280" s="237">
        <f>IFERROR(ROUND(计划落实!X280/计划!X280,5),0)</f>
        <v/>
      </c>
      <c r="Y280" s="237">
        <f>IFERROR(ROUND(计划落实!Y280/计划!Y280,5),0)</f>
        <v/>
      </c>
      <c r="Z280" s="237">
        <f>IFERROR(ROUND(计划落实!Z280/计划!Z280,5),0)</f>
        <v/>
      </c>
      <c r="AA280" s="237">
        <f>IFERROR(ROUND(计划落实!AA280/计划!AA280,5),0)</f>
        <v/>
      </c>
      <c r="AB280" s="237">
        <f>IFERROR(ROUND(计划落实!AB280/计划!AB280,5),0)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4" t="n"/>
      <c r="B281" s="231" t="inlineStr">
        <is>
          <t>SKU-C9A37CA3</t>
        </is>
      </c>
      <c r="C281" s="231" t="inlineStr">
        <is>
          <t>是</t>
        </is>
      </c>
      <c r="D281" s="231" t="n">
        <v>11</v>
      </c>
      <c r="E281" s="231" t="inlineStr"/>
      <c r="F281" s="231" t="inlineStr"/>
      <c r="G281" s="231" t="inlineStr"/>
      <c r="H281" s="231" t="inlineStr"/>
      <c r="I281" s="231" t="inlineStr"/>
      <c r="J281" s="27" t="inlineStr"/>
      <c r="K281" s="27" t="inlineStr"/>
      <c r="L281" s="231" t="n">
        <v>100</v>
      </c>
      <c r="M281" s="43" t="inlineStr">
        <is>
          <t>Product-8E1B07F9</t>
        </is>
      </c>
      <c r="N281" s="231" t="n">
        <v>3</v>
      </c>
      <c r="O281" s="236">
        <f>IFERROR(ROUND(计划落实!O281/计划!O281,5),0)</f>
        <v/>
      </c>
      <c r="P281" s="237">
        <f>IFERROR(ROUND(计划落实!P281/计划!P281,5),0)</f>
        <v/>
      </c>
      <c r="Q281" s="237">
        <f>IFERROR(ROUND(计划落实!Q281/计划!Q281,5),0)</f>
        <v/>
      </c>
      <c r="R281" s="237">
        <f>IFERROR(ROUND(计划落实!R281/计划!R281,5),0)</f>
        <v/>
      </c>
      <c r="S281" s="237">
        <f>IFERROR(ROUND(计划落实!S281/计划!S281,5),0)</f>
        <v/>
      </c>
      <c r="T281" s="237">
        <f>IFERROR(ROUND(计划落实!T281/计划!T281,5),0)</f>
        <v/>
      </c>
      <c r="U281" s="237">
        <f>IFERROR(ROUND(计划落实!U281/计划!U281,5),0)</f>
        <v/>
      </c>
      <c r="V281" s="237">
        <f>IFERROR(ROUND(计划落实!V281/计划!V281,5),0)</f>
        <v/>
      </c>
      <c r="W281" s="237">
        <f>IFERROR(ROUND(计划落实!W281/计划!W281,5),0)</f>
        <v/>
      </c>
      <c r="X281" s="237">
        <f>IFERROR(ROUND(计划落实!X281/计划!X281,5),0)</f>
        <v/>
      </c>
      <c r="Y281" s="237">
        <f>IFERROR(ROUND(计划落实!Y281/计划!Y281,5),0)</f>
        <v/>
      </c>
      <c r="Z281" s="237">
        <f>IFERROR(ROUND(计划落实!Z281/计划!Z281,5),0)</f>
        <v/>
      </c>
      <c r="AA281" s="237">
        <f>IFERROR(ROUND(计划落实!AA281/计划!AA281,5),0)</f>
        <v/>
      </c>
      <c r="AB281" s="237">
        <f>IFERROR(ROUND(计划落实!AB281/计划!AB281,5),0)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5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239">
        <f>IFERROR(ROUND(计划落实!O282/计划!O282,5),0)</f>
        <v/>
      </c>
      <c r="P282" s="239">
        <f>IFERROR(ROUND(计划落实!P282/计划!P282,5),0)</f>
        <v/>
      </c>
      <c r="Q282" s="239">
        <f>IFERROR(ROUND(计划落实!Q282/计划!Q282,5),0)</f>
        <v/>
      </c>
      <c r="R282" s="239">
        <f>IFERROR(ROUND(计划落实!R282/计划!R282,5),0)</f>
        <v/>
      </c>
      <c r="S282" s="239">
        <f>IFERROR(ROUND(计划落实!S282/计划!S282,5),0)</f>
        <v/>
      </c>
      <c r="T282" s="239">
        <f>IFERROR(ROUND(计划落实!T282/计划!T282,5),0)</f>
        <v/>
      </c>
      <c r="U282" s="239">
        <f>IFERROR(ROUND(计划落实!U282/计划!U282,5),0)</f>
        <v/>
      </c>
      <c r="V282" s="239">
        <f>IFERROR(ROUND(计划落实!V282/计划!V282,5),0)</f>
        <v/>
      </c>
      <c r="W282" s="239">
        <f>IFERROR(ROUND(计划落实!W282/计划!W282,5),0)</f>
        <v/>
      </c>
      <c r="X282" s="239">
        <f>IFERROR(ROUND(计划落实!X282/计划!X282,5),0)</f>
        <v/>
      </c>
      <c r="Y282" s="239">
        <f>IFERROR(ROUND(计划落实!Y282/计划!Y282,5),0)</f>
        <v/>
      </c>
      <c r="Z282" s="239">
        <f>IFERROR(ROUND(计划落实!Z282/计划!Z282,5),0)</f>
        <v/>
      </c>
      <c r="AA282" s="239">
        <f>IFERROR(ROUND(计划落实!AA282/计划!AA282,5),0)</f>
        <v/>
      </c>
      <c r="AB282" s="239">
        <f>IFERROR(ROUND(计划落实!AB282/计划!AB282,5),0)</f>
        <v/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31" t="inlineStr">
        <is>
          <t>SKU-63BD75F8</t>
        </is>
      </c>
      <c r="C283" s="231" t="inlineStr">
        <is>
          <t>是</t>
        </is>
      </c>
      <c r="D283" s="231" t="n">
        <v>7</v>
      </c>
      <c r="E283" s="231" t="inlineStr">
        <is>
          <t>是</t>
        </is>
      </c>
      <c r="F283" s="231" t="inlineStr"/>
      <c r="G283" s="231" t="inlineStr"/>
      <c r="H283" s="231" t="inlineStr"/>
      <c r="I283" s="231" t="inlineStr">
        <is>
          <t>是</t>
        </is>
      </c>
      <c r="J283" s="27" t="inlineStr"/>
      <c r="K283" s="27" t="inlineStr"/>
      <c r="L283" s="231" t="n">
        <v>100</v>
      </c>
      <c r="M283" s="19" t="inlineStr">
        <is>
          <t>Product-17474100</t>
        </is>
      </c>
      <c r="N283" s="231" t="n">
        <v>2</v>
      </c>
      <c r="O283" s="236">
        <f>IFERROR(ROUND(计划落实!O283/计划!O283,5),0)</f>
        <v/>
      </c>
      <c r="P283" s="237">
        <f>IFERROR(ROUND(计划落实!P283/计划!P283,5),0)</f>
        <v/>
      </c>
      <c r="Q283" s="237">
        <f>IFERROR(ROUND(计划落实!Q283/计划!Q283,5),0)</f>
        <v/>
      </c>
      <c r="R283" s="237">
        <f>IFERROR(ROUND(计划落实!R283/计划!R283,5),0)</f>
        <v/>
      </c>
      <c r="S283" s="237">
        <f>IFERROR(ROUND(计划落实!S283/计划!S283,5),0)</f>
        <v/>
      </c>
      <c r="T283" s="237">
        <f>IFERROR(ROUND(计划落实!T283/计划!T283,5),0)</f>
        <v/>
      </c>
      <c r="U283" s="237">
        <f>IFERROR(ROUND(计划落实!U283/计划!U283,5),0)</f>
        <v/>
      </c>
      <c r="V283" s="237">
        <f>IFERROR(ROUND(计划落实!V283/计划!V283,5),0)</f>
        <v/>
      </c>
      <c r="W283" s="237">
        <f>IFERROR(ROUND(计划落实!W283/计划!W283,5),0)</f>
        <v/>
      </c>
      <c r="X283" s="237">
        <f>IFERROR(ROUND(计划落实!X283/计划!X283,5),0)</f>
        <v/>
      </c>
      <c r="Y283" s="237">
        <f>IFERROR(ROUND(计划落实!Y283/计划!Y283,5),0)</f>
        <v/>
      </c>
      <c r="Z283" s="237">
        <f>IFERROR(ROUND(计划落实!Z283/计划!Z283,5),0)</f>
        <v/>
      </c>
      <c r="AA283" s="237">
        <f>IFERROR(ROUND(计划落实!AA283/计划!AA283,5),0)</f>
        <v/>
      </c>
      <c r="AB283" s="237">
        <f>IFERROR(ROUND(计划落实!AB283/计划!AB283,5),0)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4" t="n"/>
      <c r="B284" s="231" t="inlineStr">
        <is>
          <t>SKU-45A85F68</t>
        </is>
      </c>
      <c r="C284" s="231" t="inlineStr">
        <is>
          <t>是</t>
        </is>
      </c>
      <c r="D284" s="231" t="n">
        <v>10</v>
      </c>
      <c r="E284" s="231" t="inlineStr"/>
      <c r="F284" s="231" t="inlineStr">
        <is>
          <t>是</t>
        </is>
      </c>
      <c r="G284" s="231" t="inlineStr"/>
      <c r="H284" s="231" t="inlineStr"/>
      <c r="I284" s="231" t="inlineStr">
        <is>
          <t>是</t>
        </is>
      </c>
      <c r="J284" s="27" t="inlineStr">
        <is>
          <t>共</t>
        </is>
      </c>
      <c r="K284" s="27" t="inlineStr"/>
      <c r="L284" s="231" t="n">
        <v>100</v>
      </c>
      <c r="M284" s="19" t="inlineStr">
        <is>
          <t>Product-9701A12C</t>
        </is>
      </c>
      <c r="N284" s="231" t="n">
        <v>1</v>
      </c>
      <c r="O284" s="236">
        <f>IFERROR(ROUND(计划落实!O284/计划!O284,5),0)</f>
        <v/>
      </c>
      <c r="P284" s="237">
        <f>IFERROR(ROUND(计划落实!P284/计划!P284,5),0)</f>
        <v/>
      </c>
      <c r="Q284" s="237">
        <f>IFERROR(ROUND(计划落实!Q284/计划!Q284,5),0)</f>
        <v/>
      </c>
      <c r="R284" s="237">
        <f>IFERROR(ROUND(计划落实!R284/计划!R284,5),0)</f>
        <v/>
      </c>
      <c r="S284" s="237">
        <f>IFERROR(ROUND(计划落实!S284/计划!S284,5),0)</f>
        <v/>
      </c>
      <c r="T284" s="237">
        <f>IFERROR(ROUND(计划落实!T284/计划!T284,5),0)</f>
        <v/>
      </c>
      <c r="U284" s="237">
        <f>IFERROR(ROUND(计划落实!U284/计划!U284,5),0)</f>
        <v/>
      </c>
      <c r="V284" s="237">
        <f>IFERROR(ROUND(计划落实!V284/计划!V284,5),0)</f>
        <v/>
      </c>
      <c r="W284" s="237">
        <f>IFERROR(ROUND(计划落实!W284/计划!W284,5),0)</f>
        <v/>
      </c>
      <c r="X284" s="237">
        <f>IFERROR(ROUND(计划落实!X284/计划!X284,5),0)</f>
        <v/>
      </c>
      <c r="Y284" s="237">
        <f>IFERROR(ROUND(计划落实!Y284/计划!Y284,5),0)</f>
        <v/>
      </c>
      <c r="Z284" s="237">
        <f>IFERROR(ROUND(计划落实!Z284/计划!Z284,5),0)</f>
        <v/>
      </c>
      <c r="AA284" s="237">
        <f>IFERROR(ROUND(计划落实!AA284/计划!AA284,5),0)</f>
        <v/>
      </c>
      <c r="AB284" s="237">
        <f>IFERROR(ROUND(计划落实!AB284/计划!AB284,5),0)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4" t="n"/>
      <c r="B285" s="231" t="inlineStr">
        <is>
          <t>SKU-1BB078B2</t>
        </is>
      </c>
      <c r="C285" s="231" t="inlineStr">
        <is>
          <t>是</t>
        </is>
      </c>
      <c r="D285" s="231" t="n">
        <v>10</v>
      </c>
      <c r="E285" s="231" t="inlineStr"/>
      <c r="F285" s="231" t="inlineStr"/>
      <c r="G285" s="231" t="inlineStr"/>
      <c r="H285" s="231" t="inlineStr">
        <is>
          <t>是</t>
        </is>
      </c>
      <c r="I285" s="231" t="inlineStr">
        <is>
          <t>是</t>
        </is>
      </c>
      <c r="J285" s="27" t="inlineStr"/>
      <c r="K285" s="27" t="inlineStr"/>
      <c r="L285" s="231" t="n">
        <v>100</v>
      </c>
      <c r="M285" s="19" t="inlineStr">
        <is>
          <t>Product-1AC91157</t>
        </is>
      </c>
      <c r="N285" s="231" t="n">
        <v>1</v>
      </c>
      <c r="O285" s="236">
        <f>IFERROR(ROUND(计划落实!O285/计划!O285,5),0)</f>
        <v/>
      </c>
      <c r="P285" s="237">
        <f>IFERROR(ROUND(计划落实!P285/计划!P285,5),0)</f>
        <v/>
      </c>
      <c r="Q285" s="237">
        <f>IFERROR(ROUND(计划落实!Q285/计划!Q285,5),0)</f>
        <v/>
      </c>
      <c r="R285" s="237">
        <f>IFERROR(ROUND(计划落实!R285/计划!R285,5),0)</f>
        <v/>
      </c>
      <c r="S285" s="237">
        <f>IFERROR(ROUND(计划落实!S285/计划!S285,5),0)</f>
        <v/>
      </c>
      <c r="T285" s="237">
        <f>IFERROR(ROUND(计划落实!T285/计划!T285,5),0)</f>
        <v/>
      </c>
      <c r="U285" s="237">
        <f>IFERROR(ROUND(计划落实!U285/计划!U285,5),0)</f>
        <v/>
      </c>
      <c r="V285" s="237">
        <f>IFERROR(ROUND(计划落实!V285/计划!V285,5),0)</f>
        <v/>
      </c>
      <c r="W285" s="237">
        <f>IFERROR(ROUND(计划落实!W285/计划!W285,5),0)</f>
        <v/>
      </c>
      <c r="X285" s="237">
        <f>IFERROR(ROUND(计划落实!X285/计划!X285,5),0)</f>
        <v/>
      </c>
      <c r="Y285" s="237">
        <f>IFERROR(ROUND(计划落实!Y285/计划!Y285,5),0)</f>
        <v/>
      </c>
      <c r="Z285" s="237">
        <f>IFERROR(ROUND(计划落实!Z285/计划!Z285,5),0)</f>
        <v/>
      </c>
      <c r="AA285" s="237">
        <f>IFERROR(ROUND(计划落实!AA285/计划!AA285,5),0)</f>
        <v/>
      </c>
      <c r="AB285" s="237">
        <f>IFERROR(ROUND(计划落实!AB285/计划!AB285,5),0)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5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239">
        <f>IFERROR(ROUND(计划落实!O286/计划!O286,5),0)</f>
        <v/>
      </c>
      <c r="P286" s="239">
        <f>IFERROR(ROUND(计划落实!P286/计划!P286,5),0)</f>
        <v/>
      </c>
      <c r="Q286" s="239">
        <f>IFERROR(ROUND(计划落实!Q286/计划!Q286,5),0)</f>
        <v/>
      </c>
      <c r="R286" s="239">
        <f>IFERROR(ROUND(计划落实!R286/计划!R286,5),0)</f>
        <v/>
      </c>
      <c r="S286" s="239">
        <f>IFERROR(ROUND(计划落实!S286/计划!S286,5),0)</f>
        <v/>
      </c>
      <c r="T286" s="239">
        <f>IFERROR(ROUND(计划落实!T286/计划!T286,5),0)</f>
        <v/>
      </c>
      <c r="U286" s="239">
        <f>IFERROR(ROUND(计划落实!U286/计划!U286,5),0)</f>
        <v/>
      </c>
      <c r="V286" s="239">
        <f>IFERROR(ROUND(计划落实!V286/计划!V286,5),0)</f>
        <v/>
      </c>
      <c r="W286" s="239">
        <f>IFERROR(ROUND(计划落实!W286/计划!W286,5),0)</f>
        <v/>
      </c>
      <c r="X286" s="239">
        <f>IFERROR(ROUND(计划落实!X286/计划!X286,5),0)</f>
        <v/>
      </c>
      <c r="Y286" s="239">
        <f>IFERROR(ROUND(计划落实!Y286/计划!Y286,5),0)</f>
        <v/>
      </c>
      <c r="Z286" s="239">
        <f>IFERROR(ROUND(计划落实!Z286/计划!Z286,5),0)</f>
        <v/>
      </c>
      <c r="AA286" s="239">
        <f>IFERROR(ROUND(计划落实!AA286/计划!AA286,5),0)</f>
        <v/>
      </c>
      <c r="AB286" s="239">
        <f>IFERROR(ROUND(计划落实!AB286/计划!AB286,5),0)</f>
        <v/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31" t="inlineStr">
        <is>
          <t>SKU-8118963E</t>
        </is>
      </c>
      <c r="C287" s="231" t="inlineStr"/>
      <c r="D287" s="231" t="n">
        <v>10</v>
      </c>
      <c r="E287" s="231" t="inlineStr"/>
      <c r="F287" s="231" t="inlineStr"/>
      <c r="G287" s="231" t="inlineStr"/>
      <c r="H287" s="231" t="inlineStr"/>
      <c r="I287" s="231" t="inlineStr"/>
      <c r="J287" s="27" t="inlineStr"/>
      <c r="K287" s="27" t="inlineStr"/>
      <c r="L287" s="231" t="n">
        <v>100</v>
      </c>
      <c r="M287" s="19" t="inlineStr">
        <is>
          <t>Product-8818E616</t>
        </is>
      </c>
      <c r="N287" s="231" t="n">
        <v>2</v>
      </c>
      <c r="O287" s="236">
        <f>IFERROR(ROUND(计划落实!O287/计划!O287,5),0)</f>
        <v/>
      </c>
      <c r="P287" s="237">
        <f>IFERROR(ROUND(计划落实!P287/计划!P287,5),0)</f>
        <v/>
      </c>
      <c r="Q287" s="237">
        <f>IFERROR(ROUND(计划落实!Q287/计划!Q287,5),0)</f>
        <v/>
      </c>
      <c r="R287" s="237">
        <f>IFERROR(ROUND(计划落实!R287/计划!R287,5),0)</f>
        <v/>
      </c>
      <c r="S287" s="237">
        <f>IFERROR(ROUND(计划落实!S287/计划!S287,5),0)</f>
        <v/>
      </c>
      <c r="T287" s="237">
        <f>IFERROR(ROUND(计划落实!T287/计划!T287,5),0)</f>
        <v/>
      </c>
      <c r="U287" s="237">
        <f>IFERROR(ROUND(计划落实!U287/计划!U287,5),0)</f>
        <v/>
      </c>
      <c r="V287" s="237">
        <f>IFERROR(ROUND(计划落实!V287/计划!V287,5),0)</f>
        <v/>
      </c>
      <c r="W287" s="237">
        <f>IFERROR(ROUND(计划落实!W287/计划!W287,5),0)</f>
        <v/>
      </c>
      <c r="X287" s="237">
        <f>IFERROR(ROUND(计划落实!X287/计划!X287,5),0)</f>
        <v/>
      </c>
      <c r="Y287" s="237">
        <f>IFERROR(ROUND(计划落实!Y287/计划!Y287,5),0)</f>
        <v/>
      </c>
      <c r="Z287" s="237">
        <f>IFERROR(ROUND(计划落实!Z287/计划!Z287,5),0)</f>
        <v/>
      </c>
      <c r="AA287" s="237">
        <f>IFERROR(ROUND(计划落实!AA287/计划!AA287,5),0)</f>
        <v/>
      </c>
      <c r="AB287" s="237">
        <f>IFERROR(ROUND(计划落实!AB287/计划!AB287,5),0)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4" t="n"/>
      <c r="B288" s="231" t="inlineStr">
        <is>
          <t>SKU-3A21B87C</t>
        </is>
      </c>
      <c r="C288" s="231" t="inlineStr"/>
      <c r="D288" s="231" t="n">
        <v>10</v>
      </c>
      <c r="E288" s="231" t="inlineStr"/>
      <c r="F288" s="231" t="inlineStr"/>
      <c r="G288" s="231" t="inlineStr"/>
      <c r="H288" s="231" t="inlineStr"/>
      <c r="I288" s="231" t="inlineStr"/>
      <c r="J288" s="27" t="inlineStr"/>
      <c r="K288" s="27" t="inlineStr"/>
      <c r="L288" s="231" t="n">
        <v>100</v>
      </c>
      <c r="M288" s="19" t="inlineStr">
        <is>
          <t>Product-6BF10868</t>
        </is>
      </c>
      <c r="N288" s="231" t="n">
        <v>1</v>
      </c>
      <c r="O288" s="236">
        <f>IFERROR(ROUND(计划落实!O288/计划!O288,5),0)</f>
        <v/>
      </c>
      <c r="P288" s="237">
        <f>IFERROR(ROUND(计划落实!P288/计划!P288,5),0)</f>
        <v/>
      </c>
      <c r="Q288" s="237">
        <f>IFERROR(ROUND(计划落实!Q288/计划!Q288,5),0)</f>
        <v/>
      </c>
      <c r="R288" s="237">
        <f>IFERROR(ROUND(计划落实!R288/计划!R288,5),0)</f>
        <v/>
      </c>
      <c r="S288" s="237">
        <f>IFERROR(ROUND(计划落实!S288/计划!S288,5),0)</f>
        <v/>
      </c>
      <c r="T288" s="237">
        <f>IFERROR(ROUND(计划落实!T288/计划!T288,5),0)</f>
        <v/>
      </c>
      <c r="U288" s="237">
        <f>IFERROR(ROUND(计划落实!U288/计划!U288,5),0)</f>
        <v/>
      </c>
      <c r="V288" s="237">
        <f>IFERROR(ROUND(计划落实!V288/计划!V288,5),0)</f>
        <v/>
      </c>
      <c r="W288" s="237">
        <f>IFERROR(ROUND(计划落实!W288/计划!W288,5),0)</f>
        <v/>
      </c>
      <c r="X288" s="237">
        <f>IFERROR(ROUND(计划落实!X288/计划!X288,5),0)</f>
        <v/>
      </c>
      <c r="Y288" s="237">
        <f>IFERROR(ROUND(计划落实!Y288/计划!Y288,5),0)</f>
        <v/>
      </c>
      <c r="Z288" s="237">
        <f>IFERROR(ROUND(计划落实!Z288/计划!Z288,5),0)</f>
        <v/>
      </c>
      <c r="AA288" s="237">
        <f>IFERROR(ROUND(计划落实!AA288/计划!AA288,5),0)</f>
        <v/>
      </c>
      <c r="AB288" s="237">
        <f>IFERROR(ROUND(计划落实!AB288/计划!AB288,5),0)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4" t="n"/>
      <c r="B289" s="231" t="inlineStr">
        <is>
          <t>SKU-4673CF27</t>
        </is>
      </c>
      <c r="C289" s="231" t="inlineStr"/>
      <c r="D289" s="231" t="n">
        <v>8</v>
      </c>
      <c r="E289" s="231" t="inlineStr"/>
      <c r="F289" s="231" t="inlineStr"/>
      <c r="G289" s="231" t="inlineStr"/>
      <c r="H289" s="231" t="inlineStr">
        <is>
          <t>是</t>
        </is>
      </c>
      <c r="I289" s="231" t="inlineStr">
        <is>
          <t>是</t>
        </is>
      </c>
      <c r="J289" s="27" t="inlineStr"/>
      <c r="K289" s="27" t="inlineStr"/>
      <c r="L289" s="231" t="n">
        <v>100</v>
      </c>
      <c r="M289" s="59" t="inlineStr">
        <is>
          <t>Product-1B473E88</t>
        </is>
      </c>
      <c r="N289" s="231" t="n">
        <v>1</v>
      </c>
      <c r="O289" s="236">
        <f>IFERROR(ROUND(计划落实!O289/计划!O289,5),0)</f>
        <v/>
      </c>
      <c r="P289" s="237">
        <f>IFERROR(ROUND(计划落实!P289/计划!P289,5),0)</f>
        <v/>
      </c>
      <c r="Q289" s="237">
        <f>IFERROR(ROUND(计划落实!Q289/计划!Q289,5),0)</f>
        <v/>
      </c>
      <c r="R289" s="237">
        <f>IFERROR(ROUND(计划落实!R289/计划!R289,5),0)</f>
        <v/>
      </c>
      <c r="S289" s="237">
        <f>IFERROR(ROUND(计划落实!S289/计划!S289,5),0)</f>
        <v/>
      </c>
      <c r="T289" s="237">
        <f>IFERROR(ROUND(计划落实!T289/计划!T289,5),0)</f>
        <v/>
      </c>
      <c r="U289" s="237">
        <f>IFERROR(ROUND(计划落实!U289/计划!U289,5),0)</f>
        <v/>
      </c>
      <c r="V289" s="237">
        <f>IFERROR(ROUND(计划落实!V289/计划!V289,5),0)</f>
        <v/>
      </c>
      <c r="W289" s="237">
        <f>IFERROR(ROUND(计划落实!W289/计划!W289,5),0)</f>
        <v/>
      </c>
      <c r="X289" s="237">
        <f>IFERROR(ROUND(计划落实!X289/计划!X289,5),0)</f>
        <v/>
      </c>
      <c r="Y289" s="237">
        <f>IFERROR(ROUND(计划落实!Y289/计划!Y289,5),0)</f>
        <v/>
      </c>
      <c r="Z289" s="237">
        <f>IFERROR(ROUND(计划落实!Z289/计划!Z289,5),0)</f>
        <v/>
      </c>
      <c r="AA289" s="237">
        <f>IFERROR(ROUND(计划落实!AA289/计划!AA289,5),0)</f>
        <v/>
      </c>
      <c r="AB289" s="237">
        <f>IFERROR(ROUND(计划落实!AB289/计划!AB289,5),0)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5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239">
        <f>IFERROR(ROUND(计划落实!O290/计划!O290,5),0)</f>
        <v/>
      </c>
      <c r="P290" s="239">
        <f>IFERROR(ROUND(计划落实!P290/计划!P290,5),0)</f>
        <v/>
      </c>
      <c r="Q290" s="239">
        <f>IFERROR(ROUND(计划落实!Q290/计划!Q290,5),0)</f>
        <v/>
      </c>
      <c r="R290" s="239">
        <f>IFERROR(ROUND(计划落实!R290/计划!R290,5),0)</f>
        <v/>
      </c>
      <c r="S290" s="239">
        <f>IFERROR(ROUND(计划落实!S290/计划!S290,5),0)</f>
        <v/>
      </c>
      <c r="T290" s="239">
        <f>IFERROR(ROUND(计划落实!T290/计划!T290,5),0)</f>
        <v/>
      </c>
      <c r="U290" s="239">
        <f>IFERROR(ROUND(计划落实!U290/计划!U290,5),0)</f>
        <v/>
      </c>
      <c r="V290" s="239">
        <f>IFERROR(ROUND(计划落实!V290/计划!V290,5),0)</f>
        <v/>
      </c>
      <c r="W290" s="239">
        <f>IFERROR(ROUND(计划落实!W290/计划!W290,5),0)</f>
        <v/>
      </c>
      <c r="X290" s="239">
        <f>IFERROR(ROUND(计划落实!X290/计划!X290,5),0)</f>
        <v/>
      </c>
      <c r="Y290" s="239">
        <f>IFERROR(ROUND(计划落实!Y290/计划!Y290,5),0)</f>
        <v/>
      </c>
      <c r="Z290" s="239">
        <f>IFERROR(ROUND(计划落实!Z290/计划!Z290,5),0)</f>
        <v/>
      </c>
      <c r="AA290" s="239">
        <f>IFERROR(ROUND(计划落实!AA290/计划!AA290,5),0)</f>
        <v/>
      </c>
      <c r="AB290" s="239">
        <f>IFERROR(ROUND(计划落实!AB290/计划!AB290,5),0)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242">
        <f>IFERROR(ROUND(计划落实!O291/计划!O291,5),0)</f>
        <v/>
      </c>
      <c r="P291" s="242">
        <f>IFERROR(ROUND(计划落实!P291/计划!P291,5),0)</f>
        <v/>
      </c>
      <c r="Q291" s="242">
        <f>IFERROR(ROUND(计划落实!Q291/计划!Q291,5),0)</f>
        <v/>
      </c>
      <c r="R291" s="242">
        <f>IFERROR(ROUND(计划落实!R291/计划!R291,5),0)</f>
        <v/>
      </c>
      <c r="S291" s="242">
        <f>IFERROR(ROUND(计划落实!S291/计划!S291,5),0)</f>
        <v/>
      </c>
      <c r="T291" s="242">
        <f>IFERROR(ROUND(计划落实!T291/计划!T291,5),0)</f>
        <v/>
      </c>
      <c r="U291" s="242">
        <f>IFERROR(ROUND(计划落实!U291/计划!U291,5),0)</f>
        <v/>
      </c>
      <c r="V291" s="242">
        <f>IFERROR(ROUND(计划落实!V291/计划!V291,5),0)</f>
        <v/>
      </c>
      <c r="W291" s="242">
        <f>IFERROR(ROUND(计划落实!W291/计划!W291,5),0)</f>
        <v/>
      </c>
      <c r="X291" s="242">
        <f>IFERROR(ROUND(计划落实!X291/计划!X291,5),0)</f>
        <v/>
      </c>
      <c r="Y291" s="242">
        <f>IFERROR(ROUND(计划落实!Y291/计划!Y291,5),0)</f>
        <v/>
      </c>
      <c r="Z291" s="242">
        <f>IFERROR(ROUND(计划落实!Z291/计划!Z291,5),0)</f>
        <v/>
      </c>
      <c r="AA291" s="242">
        <f>IFERROR(ROUND(计划落实!AA291/计划!AA291,5),0)</f>
        <v/>
      </c>
      <c r="AB291" s="242">
        <f>IFERROR(ROUND(计划落实!AB291/计划!AB291,5),0)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31" t="n">
        <v>2</v>
      </c>
      <c r="O295" s="239">
        <f>IFERROR(ROUND(计划落实!O295/计划!O295,5),0)</f>
        <v/>
      </c>
      <c r="P295" s="240">
        <f>IFERROR(ROUND(计划落实!P295/计划!P295,5),0)</f>
        <v/>
      </c>
      <c r="Q295" s="240">
        <f>IFERROR(ROUND(计划落实!Q295/计划!Q295,5),0)</f>
        <v/>
      </c>
      <c r="R295" s="240">
        <f>IFERROR(ROUND(计划落实!R295/计划!R295,5),0)</f>
        <v/>
      </c>
      <c r="S295" s="240">
        <f>IFERROR(ROUND(计划落实!S295/计划!S295,5),0)</f>
        <v/>
      </c>
      <c r="T295" s="240">
        <f>IFERROR(ROUND(计划落实!T295/计划!T295,5),0)</f>
        <v/>
      </c>
      <c r="U295" s="240">
        <f>IFERROR(ROUND(计划落实!U295/计划!U295,5),0)</f>
        <v/>
      </c>
      <c r="V295" s="240">
        <f>IFERROR(ROUND(计划落实!V295/计划!V295,5),0)</f>
        <v/>
      </c>
      <c r="W295" s="240">
        <f>IFERROR(ROUND(计划落实!W295/计划!W295,5),0)</f>
        <v/>
      </c>
      <c r="X295" s="240">
        <f>IFERROR(ROUND(计划落实!X295/计划!X295,5),0)</f>
        <v/>
      </c>
      <c r="Y295" s="240">
        <f>IFERROR(ROUND(计划落实!Y295/计划!Y295,5),0)</f>
        <v/>
      </c>
      <c r="Z295" s="240">
        <f>IFERROR(ROUND(计划落实!Z295/计划!Z295,5),0)</f>
        <v/>
      </c>
      <c r="AA295" s="240">
        <f>IFERROR(ROUND(计划落实!AA295/计划!AA295,5),0)</f>
        <v/>
      </c>
      <c r="AB295" s="240">
        <f>IFERROR(ROUND(计划落实!AB295/计划!AB295,5),0)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4" t="n"/>
      <c r="B296" s="231" t="inlineStr">
        <is>
          <t>SKU-6F3D6830</t>
        </is>
      </c>
      <c r="C296" s="231" t="inlineStr"/>
      <c r="D296" s="231" t="n">
        <v>11</v>
      </c>
      <c r="E296" s="231" t="inlineStr"/>
      <c r="F296" s="231" t="inlineStr"/>
      <c r="G296" s="231" t="inlineStr"/>
      <c r="H296" s="231" t="inlineStr"/>
      <c r="I296" s="231" t="inlineStr"/>
      <c r="J296" s="27" t="inlineStr"/>
      <c r="K296" s="27" t="inlineStr">
        <is>
          <t>是</t>
        </is>
      </c>
      <c r="L296" s="231" t="n">
        <v>100</v>
      </c>
      <c r="M296" s="44" t="inlineStr">
        <is>
          <t>Product-739BC315</t>
        </is>
      </c>
      <c r="N296" s="231" t="n">
        <v>2</v>
      </c>
      <c r="O296" s="239">
        <f>IFERROR(ROUND(计划落实!O296/计划!O296,5),0)</f>
        <v/>
      </c>
      <c r="P296" s="240">
        <f>IFERROR(ROUND(计划落实!P296/计划!P296,5),0)</f>
        <v/>
      </c>
      <c r="Q296" s="240">
        <f>IFERROR(ROUND(计划落实!Q296/计划!Q296,5),0)</f>
        <v/>
      </c>
      <c r="R296" s="240">
        <f>IFERROR(ROUND(计划落实!R296/计划!R296,5),0)</f>
        <v/>
      </c>
      <c r="S296" s="240">
        <f>IFERROR(ROUND(计划落实!S296/计划!S296,5),0)</f>
        <v/>
      </c>
      <c r="T296" s="240">
        <f>IFERROR(ROUND(计划落实!T296/计划!T296,5),0)</f>
        <v/>
      </c>
      <c r="U296" s="240">
        <f>IFERROR(ROUND(计划落实!U296/计划!U296,5),0)</f>
        <v/>
      </c>
      <c r="V296" s="240">
        <f>IFERROR(ROUND(计划落实!V296/计划!V296,5),0)</f>
        <v/>
      </c>
      <c r="W296" s="240">
        <f>IFERROR(ROUND(计划落实!W296/计划!W296,5),0)</f>
        <v/>
      </c>
      <c r="X296" s="240">
        <f>IFERROR(ROUND(计划落实!X296/计划!X296,5),0)</f>
        <v/>
      </c>
      <c r="Y296" s="240">
        <f>IFERROR(ROUND(计划落实!Y296/计划!Y296,5),0)</f>
        <v/>
      </c>
      <c r="Z296" s="240">
        <f>IFERROR(ROUND(计划落实!Z296/计划!Z296,5),0)</f>
        <v/>
      </c>
      <c r="AA296" s="240">
        <f>IFERROR(ROUND(计划落实!AA296/计划!AA296,5),0)</f>
        <v/>
      </c>
      <c r="AB296" s="240">
        <f>IFERROR(ROUND(计划落实!AB296/计划!AB296,5),0)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4" t="n"/>
      <c r="B297" s="231" t="inlineStr">
        <is>
          <t>SKU-5ABCA7A6</t>
        </is>
      </c>
      <c r="C297" s="231" t="inlineStr"/>
      <c r="D297" s="231" t="n">
        <v>5</v>
      </c>
      <c r="E297" s="231" t="inlineStr">
        <is>
          <t>是</t>
        </is>
      </c>
      <c r="F297" s="231" t="inlineStr"/>
      <c r="G297" s="231" t="inlineStr"/>
      <c r="H297" s="231" t="inlineStr">
        <is>
          <t>是</t>
        </is>
      </c>
      <c r="I297" s="231" t="inlineStr"/>
      <c r="J297" s="27" t="inlineStr"/>
      <c r="K297" s="27" t="inlineStr">
        <is>
          <t>是</t>
        </is>
      </c>
      <c r="L297" s="231" t="n">
        <v>100</v>
      </c>
      <c r="M297" s="19" t="inlineStr">
        <is>
          <t>Product-4B89105C</t>
        </is>
      </c>
      <c r="N297" s="231" t="n">
        <v>1</v>
      </c>
      <c r="O297" s="239">
        <f>IFERROR(ROUND(计划落实!O297/计划!O297,5),0)</f>
        <v/>
      </c>
      <c r="P297" s="240">
        <f>IFERROR(ROUND(计划落实!P297/计划!P297,5),0)</f>
        <v/>
      </c>
      <c r="Q297" s="240">
        <f>IFERROR(ROUND(计划落实!Q297/计划!Q297,5),0)</f>
        <v/>
      </c>
      <c r="R297" s="240">
        <f>IFERROR(ROUND(计划落实!R297/计划!R297,5),0)</f>
        <v/>
      </c>
      <c r="S297" s="240">
        <f>IFERROR(ROUND(计划落实!S297/计划!S297,5),0)</f>
        <v/>
      </c>
      <c r="T297" s="240">
        <f>IFERROR(ROUND(计划落实!T297/计划!T297,5),0)</f>
        <v/>
      </c>
      <c r="U297" s="240">
        <f>IFERROR(ROUND(计划落实!U297/计划!U297,5),0)</f>
        <v/>
      </c>
      <c r="V297" s="240">
        <f>IFERROR(ROUND(计划落实!V297/计划!V297,5),0)</f>
        <v/>
      </c>
      <c r="W297" s="240">
        <f>IFERROR(ROUND(计划落实!W297/计划!W297,5),0)</f>
        <v/>
      </c>
      <c r="X297" s="240">
        <f>IFERROR(ROUND(计划落实!X297/计划!X297,5),0)</f>
        <v/>
      </c>
      <c r="Y297" s="240">
        <f>IFERROR(ROUND(计划落实!Y297/计划!Y297,5),0)</f>
        <v/>
      </c>
      <c r="Z297" s="240">
        <f>IFERROR(ROUND(计划落实!Z297/计划!Z297,5),0)</f>
        <v/>
      </c>
      <c r="AA297" s="240">
        <f>IFERROR(ROUND(计划落实!AA297/计划!AA297,5),0)</f>
        <v/>
      </c>
      <c r="AB297" s="240">
        <f>IFERROR(ROUND(计划落实!AB297/计划!AB297,5),0)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4" t="n"/>
      <c r="B298" s="231" t="inlineStr">
        <is>
          <t>SKU-11ADC9CE</t>
        </is>
      </c>
      <c r="C298" s="231" t="inlineStr"/>
      <c r="D298" s="231" t="n">
        <v>11</v>
      </c>
      <c r="E298" s="231" t="inlineStr"/>
      <c r="F298" s="231" t="inlineStr"/>
      <c r="G298" s="231" t="inlineStr"/>
      <c r="H298" s="231" t="inlineStr"/>
      <c r="I298" s="231" t="inlineStr"/>
      <c r="J298" s="27" t="inlineStr"/>
      <c r="K298" s="27" t="inlineStr">
        <is>
          <t>是</t>
        </is>
      </c>
      <c r="L298" s="231" t="n">
        <v>100</v>
      </c>
      <c r="M298" s="19" t="inlineStr">
        <is>
          <t>Product-21261DDB</t>
        </is>
      </c>
      <c r="N298" s="231" t="n">
        <v>2</v>
      </c>
      <c r="O298" s="239">
        <f>IFERROR(ROUND(计划落实!O298/计划!O298,5),0)</f>
        <v/>
      </c>
      <c r="P298" s="240">
        <f>IFERROR(ROUND(计划落实!P298/计划!P298,5),0)</f>
        <v/>
      </c>
      <c r="Q298" s="240">
        <f>IFERROR(ROUND(计划落实!Q298/计划!Q298,5),0)</f>
        <v/>
      </c>
      <c r="R298" s="240">
        <f>IFERROR(ROUND(计划落实!R298/计划!R298,5),0)</f>
        <v/>
      </c>
      <c r="S298" s="240">
        <f>IFERROR(ROUND(计划落实!S298/计划!S298,5),0)</f>
        <v/>
      </c>
      <c r="T298" s="240">
        <f>IFERROR(ROUND(计划落实!T298/计划!T298,5),0)</f>
        <v/>
      </c>
      <c r="U298" s="240">
        <f>IFERROR(ROUND(计划落实!U298/计划!U298,5),0)</f>
        <v/>
      </c>
      <c r="V298" s="240">
        <f>IFERROR(ROUND(计划落实!V298/计划!V298,5),0)</f>
        <v/>
      </c>
      <c r="W298" s="240">
        <f>IFERROR(ROUND(计划落实!W298/计划!W298,5),0)</f>
        <v/>
      </c>
      <c r="X298" s="240">
        <f>IFERROR(ROUND(计划落实!X298/计划!X298,5),0)</f>
        <v/>
      </c>
      <c r="Y298" s="240">
        <f>IFERROR(ROUND(计划落实!Y298/计划!Y298,5),0)</f>
        <v/>
      </c>
      <c r="Z298" s="240">
        <f>IFERROR(ROUND(计划落实!Z298/计划!Z298,5),0)</f>
        <v/>
      </c>
      <c r="AA298" s="240">
        <f>IFERROR(ROUND(计划落实!AA298/计划!AA298,5),0)</f>
        <v/>
      </c>
      <c r="AB298" s="240">
        <f>IFERROR(ROUND(计划落实!AB298/计划!AB298,5),0)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4" t="n"/>
      <c r="B299" s="231" t="inlineStr">
        <is>
          <t>SKU-644F171E</t>
        </is>
      </c>
      <c r="C299" s="231" t="inlineStr"/>
      <c r="D299" s="231" t="n">
        <v>9</v>
      </c>
      <c r="E299" s="231" t="inlineStr"/>
      <c r="F299" s="231" t="inlineStr"/>
      <c r="G299" s="231" t="inlineStr"/>
      <c r="H299" s="231" t="inlineStr">
        <is>
          <t>是</t>
        </is>
      </c>
      <c r="I299" s="231" t="inlineStr"/>
      <c r="J299" s="27" t="inlineStr"/>
      <c r="K299" s="27" t="inlineStr">
        <is>
          <t>是</t>
        </is>
      </c>
      <c r="L299" s="231" t="n">
        <v>100</v>
      </c>
      <c r="M299" s="19" t="inlineStr">
        <is>
          <t>Product-1BA50314</t>
        </is>
      </c>
      <c r="N299" s="231" t="n">
        <v>1</v>
      </c>
      <c r="O299" s="239">
        <f>IFERROR(ROUND(计划落实!O299/计划!O299,5),0)</f>
        <v/>
      </c>
      <c r="P299" s="240">
        <f>IFERROR(ROUND(计划落实!P299/计划!P299,5),0)</f>
        <v/>
      </c>
      <c r="Q299" s="240">
        <f>IFERROR(ROUND(计划落实!Q299/计划!Q299,5),0)</f>
        <v/>
      </c>
      <c r="R299" s="240">
        <f>IFERROR(ROUND(计划落实!R299/计划!R299,5),0)</f>
        <v/>
      </c>
      <c r="S299" s="240">
        <f>IFERROR(ROUND(计划落实!S299/计划!S299,5),0)</f>
        <v/>
      </c>
      <c r="T299" s="240">
        <f>IFERROR(ROUND(计划落实!T299/计划!T299,5),0)</f>
        <v/>
      </c>
      <c r="U299" s="240">
        <f>IFERROR(ROUND(计划落实!U299/计划!U299,5),0)</f>
        <v/>
      </c>
      <c r="V299" s="240">
        <f>IFERROR(ROUND(计划落实!V299/计划!V299,5),0)</f>
        <v/>
      </c>
      <c r="W299" s="240">
        <f>IFERROR(ROUND(计划落实!W299/计划!W299,5),0)</f>
        <v/>
      </c>
      <c r="X299" s="240">
        <f>IFERROR(ROUND(计划落实!X299/计划!X299,5),0)</f>
        <v/>
      </c>
      <c r="Y299" s="240">
        <f>IFERROR(ROUND(计划落实!Y299/计划!Y299,5),0)</f>
        <v/>
      </c>
      <c r="Z299" s="240">
        <f>IFERROR(ROUND(计划落实!Z299/计划!Z299,5),0)</f>
        <v/>
      </c>
      <c r="AA299" s="240">
        <f>IFERROR(ROUND(计划落实!AA299/计划!AA299,5),0)</f>
        <v/>
      </c>
      <c r="AB299" s="240">
        <f>IFERROR(ROUND(计划落实!AB299/计划!AB299,5),0)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4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239">
        <f>IFERROR(ROUND(计划落实!O300/计划!O300,5),0)</f>
        <v/>
      </c>
      <c r="P300" s="239">
        <f>IFERROR(ROUND(计划落实!P300/计划!P300,5),0)</f>
        <v/>
      </c>
      <c r="Q300" s="239">
        <f>IFERROR(ROUND(计划落实!Q300/计划!Q300,5),0)</f>
        <v/>
      </c>
      <c r="R300" s="239">
        <f>IFERROR(ROUND(计划落实!R300/计划!R300,5),0)</f>
        <v/>
      </c>
      <c r="S300" s="239">
        <f>IFERROR(ROUND(计划落实!S300/计划!S300,5),0)</f>
        <v/>
      </c>
      <c r="T300" s="239">
        <f>IFERROR(ROUND(计划落实!T300/计划!T300,5),0)</f>
        <v/>
      </c>
      <c r="U300" s="239">
        <f>IFERROR(ROUND(计划落实!U300/计划!U300,5),0)</f>
        <v/>
      </c>
      <c r="V300" s="239">
        <f>IFERROR(ROUND(计划落实!V300/计划!V300,5),0)</f>
        <v/>
      </c>
      <c r="W300" s="239">
        <f>IFERROR(ROUND(计划落实!W300/计划!W300,5),0)</f>
        <v/>
      </c>
      <c r="X300" s="239">
        <f>IFERROR(ROUND(计划落实!X300/计划!X300,5),0)</f>
        <v/>
      </c>
      <c r="Y300" s="239">
        <f>IFERROR(ROUND(计划落实!Y300/计划!Y300,5),0)</f>
        <v/>
      </c>
      <c r="Z300" s="239">
        <f>IFERROR(ROUND(计划落实!Z300/计划!Z300,5),0)</f>
        <v/>
      </c>
      <c r="AA300" s="239">
        <f>IFERROR(ROUND(计划落实!AA300/计划!AA300,5),0)</f>
        <v/>
      </c>
      <c r="AB300" s="239">
        <f>IFERROR(ROUND(计划落实!AB300/计划!AB300,5),0)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4" t="n"/>
      <c r="B301" s="55" t="inlineStr">
        <is>
          <t>SKU-AEC97CC2</t>
        </is>
      </c>
      <c r="C301" s="231" t="inlineStr"/>
      <c r="D301" s="231" t="n">
        <v>4</v>
      </c>
      <c r="E301" s="231" t="inlineStr">
        <is>
          <t>是</t>
        </is>
      </c>
      <c r="F301" s="231" t="inlineStr"/>
      <c r="G301" s="231" t="inlineStr"/>
      <c r="H301" s="231" t="inlineStr"/>
      <c r="I301" s="231" t="inlineStr"/>
      <c r="J301" s="56" t="inlineStr"/>
      <c r="K301" s="56" t="inlineStr">
        <is>
          <t>是</t>
        </is>
      </c>
      <c r="L301" s="231" t="n">
        <v>100</v>
      </c>
      <c r="M301" s="77" t="inlineStr">
        <is>
          <t>Product-B78F5436</t>
        </is>
      </c>
      <c r="N301" s="231" t="n">
        <v>1</v>
      </c>
      <c r="O301" s="239">
        <f>IFERROR(ROUND(计划落实!O301/计划!O301,5),0)</f>
        <v/>
      </c>
      <c r="P301" s="240">
        <f>IFERROR(ROUND(计划落实!P301/计划!P301,5),0)</f>
        <v/>
      </c>
      <c r="Q301" s="240">
        <f>IFERROR(ROUND(计划落实!Q301/计划!Q301,5),0)</f>
        <v/>
      </c>
      <c r="R301" s="240">
        <f>IFERROR(ROUND(计划落实!R301/计划!R301,5),0)</f>
        <v/>
      </c>
      <c r="S301" s="240">
        <f>IFERROR(ROUND(计划落实!S301/计划!S301,5),0)</f>
        <v/>
      </c>
      <c r="T301" s="240">
        <f>IFERROR(ROUND(计划落实!T301/计划!T301,5),0)</f>
        <v/>
      </c>
      <c r="U301" s="240">
        <f>IFERROR(ROUND(计划落实!U301/计划!U301,5),0)</f>
        <v/>
      </c>
      <c r="V301" s="240">
        <f>IFERROR(ROUND(计划落实!V301/计划!V301,5),0)</f>
        <v/>
      </c>
      <c r="W301" s="240">
        <f>IFERROR(ROUND(计划落实!W301/计划!W301,5),0)</f>
        <v/>
      </c>
      <c r="X301" s="240">
        <f>IFERROR(ROUND(计划落实!X301/计划!X301,5),0)</f>
        <v/>
      </c>
      <c r="Y301" s="240">
        <f>IFERROR(ROUND(计划落实!Y301/计划!Y301,5),0)</f>
        <v/>
      </c>
      <c r="Z301" s="240">
        <f>IFERROR(ROUND(计划落实!Z301/计划!Z301,5),0)</f>
        <v/>
      </c>
      <c r="AA301" s="240">
        <f>IFERROR(ROUND(计划落实!AA301/计划!AA301,5),0)</f>
        <v/>
      </c>
      <c r="AB301" s="240">
        <f>IFERROR(ROUND(计划落实!AB301/计划!AB301,5),0)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4" t="n"/>
      <c r="B302" s="55" t="inlineStr">
        <is>
          <t>SKU-472FCFCF</t>
        </is>
      </c>
      <c r="C302" s="231" t="inlineStr"/>
      <c r="D302" s="231" t="n">
        <v>1</v>
      </c>
      <c r="E302" s="231" t="inlineStr">
        <is>
          <t>是</t>
        </is>
      </c>
      <c r="F302" s="231" t="inlineStr"/>
      <c r="G302" s="231" t="inlineStr"/>
      <c r="H302" s="231" t="inlineStr">
        <is>
          <t>是</t>
        </is>
      </c>
      <c r="I302" s="231" t="inlineStr"/>
      <c r="J302" s="56" t="inlineStr"/>
      <c r="K302" s="56" t="inlineStr">
        <is>
          <t>是</t>
        </is>
      </c>
      <c r="L302" s="231" t="n">
        <v>100</v>
      </c>
      <c r="M302" s="77" t="inlineStr">
        <is>
          <t>Product-5367E8C9</t>
        </is>
      </c>
      <c r="N302" s="231" t="n">
        <v>1</v>
      </c>
      <c r="O302" s="239">
        <f>IFERROR(ROUND(计划落实!O302/计划!O302,5),0)</f>
        <v/>
      </c>
      <c r="P302" s="240">
        <f>IFERROR(ROUND(计划落实!P302/计划!P302,5),0)</f>
        <v/>
      </c>
      <c r="Q302" s="240">
        <f>IFERROR(ROUND(计划落实!Q302/计划!Q302,5),0)</f>
        <v/>
      </c>
      <c r="R302" s="240">
        <f>IFERROR(ROUND(计划落实!R302/计划!R302,5),0)</f>
        <v/>
      </c>
      <c r="S302" s="240">
        <f>IFERROR(ROUND(计划落实!S302/计划!S302,5),0)</f>
        <v/>
      </c>
      <c r="T302" s="240">
        <f>IFERROR(ROUND(计划落实!T302/计划!T302,5),0)</f>
        <v/>
      </c>
      <c r="U302" s="240">
        <f>IFERROR(ROUND(计划落实!U302/计划!U302,5),0)</f>
        <v/>
      </c>
      <c r="V302" s="240">
        <f>IFERROR(ROUND(计划落实!V302/计划!V302,5),0)</f>
        <v/>
      </c>
      <c r="W302" s="240">
        <f>IFERROR(ROUND(计划落实!W302/计划!W302,5),0)</f>
        <v/>
      </c>
      <c r="X302" s="240">
        <f>IFERROR(ROUND(计划落实!X302/计划!X302,5),0)</f>
        <v/>
      </c>
      <c r="Y302" s="240">
        <f>IFERROR(ROUND(计划落实!Y302/计划!Y302,5),0)</f>
        <v/>
      </c>
      <c r="Z302" s="240">
        <f>IFERROR(ROUND(计划落实!Z302/计划!Z302,5),0)</f>
        <v/>
      </c>
      <c r="AA302" s="240">
        <f>IFERROR(ROUND(计划落实!AA302/计划!AA302,5),0)</f>
        <v/>
      </c>
      <c r="AB302" s="240">
        <f>IFERROR(ROUND(计划落实!AB302/计划!AB302,5),0)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4" t="n"/>
      <c r="B303" s="231" t="inlineStr">
        <is>
          <t>SKU-74226566</t>
        </is>
      </c>
      <c r="C303" s="231" t="inlineStr"/>
      <c r="D303" s="231" t="n">
        <v>1</v>
      </c>
      <c r="E303" s="231" t="inlineStr">
        <is>
          <t>是</t>
        </is>
      </c>
      <c r="F303" s="231" t="inlineStr"/>
      <c r="G303" s="231" t="inlineStr"/>
      <c r="H303" s="231" t="inlineStr"/>
      <c r="I303" s="231" t="inlineStr"/>
      <c r="J303" s="27" t="inlineStr"/>
      <c r="K303" s="27" t="inlineStr">
        <is>
          <t>是</t>
        </is>
      </c>
      <c r="L303" s="231" t="n">
        <v>100</v>
      </c>
      <c r="M303" s="19" t="inlineStr">
        <is>
          <t>Product-5CBC2173</t>
        </is>
      </c>
      <c r="N303" s="231" t="n">
        <v>1</v>
      </c>
      <c r="O303" s="236">
        <f>IFERROR(ROUND(计划落实!O303/计划!O303,5),0)</f>
        <v/>
      </c>
      <c r="P303" s="237">
        <f>IFERROR(ROUND(计划落实!P303/计划!P303,5),0)</f>
        <v/>
      </c>
      <c r="Q303" s="237">
        <f>IFERROR(ROUND(计划落实!Q303/计划!Q303,5),0)</f>
        <v/>
      </c>
      <c r="R303" s="237">
        <f>IFERROR(ROUND(计划落实!R303/计划!R303,5),0)</f>
        <v/>
      </c>
      <c r="S303" s="237">
        <f>IFERROR(ROUND(计划落实!S303/计划!S303,5),0)</f>
        <v/>
      </c>
      <c r="T303" s="237">
        <f>IFERROR(ROUND(计划落实!T303/计划!T303,5),0)</f>
        <v/>
      </c>
      <c r="U303" s="237">
        <f>IFERROR(ROUND(计划落实!U303/计划!U303,5),0)</f>
        <v/>
      </c>
      <c r="V303" s="237">
        <f>IFERROR(ROUND(计划落实!V303/计划!V303,5),0)</f>
        <v/>
      </c>
      <c r="W303" s="237">
        <f>IFERROR(ROUND(计划落实!W303/计划!W303,5),0)</f>
        <v/>
      </c>
      <c r="X303" s="237">
        <f>IFERROR(ROUND(计划落实!X303/计划!X303,5),0)</f>
        <v/>
      </c>
      <c r="Y303" s="237">
        <f>IFERROR(ROUND(计划落实!Y303/计划!Y303,5),0)</f>
        <v/>
      </c>
      <c r="Z303" s="237">
        <f>IFERROR(ROUND(计划落实!Z303/计划!Z303,5),0)</f>
        <v/>
      </c>
      <c r="AA303" s="237">
        <f>IFERROR(ROUND(计划落实!AA303/计划!AA303,5),0)</f>
        <v/>
      </c>
      <c r="AB303" s="237">
        <f>IFERROR(ROUND(计划落实!AB303/计划!AB303,5),0)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4" t="n"/>
      <c r="B304" s="231" t="inlineStr">
        <is>
          <t>SKU-C8F1C563</t>
        </is>
      </c>
      <c r="C304" s="231" t="inlineStr"/>
      <c r="D304" s="231" t="n">
        <v>4</v>
      </c>
      <c r="E304" s="231" t="inlineStr">
        <is>
          <t>是</t>
        </is>
      </c>
      <c r="F304" s="231" t="inlineStr"/>
      <c r="G304" s="231" t="inlineStr"/>
      <c r="H304" s="231" t="inlineStr"/>
      <c r="I304" s="231" t="inlineStr"/>
      <c r="J304" s="27" t="inlineStr"/>
      <c r="K304" s="27" t="inlineStr">
        <is>
          <t>是</t>
        </is>
      </c>
      <c r="L304" s="231" t="n">
        <v>100</v>
      </c>
      <c r="M304" s="19" t="inlineStr">
        <is>
          <t>Product-CB94403F</t>
        </is>
      </c>
      <c r="N304" s="231" t="n">
        <v>1</v>
      </c>
      <c r="O304" s="236">
        <f>IFERROR(ROUND(计划落实!O304/计划!O304,5),0)</f>
        <v/>
      </c>
      <c r="P304" s="237">
        <f>IFERROR(ROUND(计划落实!P304/计划!P304,5),0)</f>
        <v/>
      </c>
      <c r="Q304" s="237">
        <f>IFERROR(ROUND(计划落实!Q304/计划!Q304,5),0)</f>
        <v/>
      </c>
      <c r="R304" s="237">
        <f>IFERROR(ROUND(计划落实!R304/计划!R304,5),0)</f>
        <v/>
      </c>
      <c r="S304" s="237">
        <f>IFERROR(ROUND(计划落实!S304/计划!S304,5),0)</f>
        <v/>
      </c>
      <c r="T304" s="237">
        <f>IFERROR(ROUND(计划落实!T304/计划!T304,5),0)</f>
        <v/>
      </c>
      <c r="U304" s="237">
        <f>IFERROR(ROUND(计划落实!U304/计划!U304,5),0)</f>
        <v/>
      </c>
      <c r="V304" s="237">
        <f>IFERROR(ROUND(计划落实!V304/计划!V304,5),0)</f>
        <v/>
      </c>
      <c r="W304" s="237">
        <f>IFERROR(ROUND(计划落实!W304/计划!W304,5),0)</f>
        <v/>
      </c>
      <c r="X304" s="237">
        <f>IFERROR(ROUND(计划落实!X304/计划!X304,5),0)</f>
        <v/>
      </c>
      <c r="Y304" s="237">
        <f>IFERROR(ROUND(计划落实!Y304/计划!Y304,5),0)</f>
        <v/>
      </c>
      <c r="Z304" s="237">
        <f>IFERROR(ROUND(计划落实!Z304/计划!Z304,5),0)</f>
        <v/>
      </c>
      <c r="AA304" s="237">
        <f>IFERROR(ROUND(计划落实!AA304/计划!AA304,5),0)</f>
        <v/>
      </c>
      <c r="AB304" s="237">
        <f>IFERROR(ROUND(计划落实!AB304/计划!AB304,5),0)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4" t="n"/>
      <c r="B305" s="55" t="inlineStr">
        <is>
          <t>SKU-3612A067</t>
        </is>
      </c>
      <c r="C305" s="231" t="inlineStr"/>
      <c r="D305" s="231" t="n">
        <v>4</v>
      </c>
      <c r="E305" s="231" t="inlineStr"/>
      <c r="F305" s="231" t="inlineStr"/>
      <c r="G305" s="231" t="inlineStr"/>
      <c r="H305" s="231" t="inlineStr"/>
      <c r="I305" s="231" t="inlineStr"/>
      <c r="J305" s="56" t="inlineStr"/>
      <c r="K305" s="56" t="inlineStr">
        <is>
          <t>是</t>
        </is>
      </c>
      <c r="L305" s="231" t="n">
        <v>100</v>
      </c>
      <c r="M305" s="59" t="inlineStr">
        <is>
          <t>Product-00361644</t>
        </is>
      </c>
      <c r="N305" s="231" t="n">
        <v>1</v>
      </c>
      <c r="O305" s="239">
        <f>IFERROR(ROUND(计划落实!O305/计划!O305,5),0)</f>
        <v/>
      </c>
      <c r="P305" s="240">
        <f>IFERROR(ROUND(计划落实!P305/计划!P305,5),0)</f>
        <v/>
      </c>
      <c r="Q305" s="240">
        <f>IFERROR(ROUND(计划落实!Q305/计划!Q305,5),0)</f>
        <v/>
      </c>
      <c r="R305" s="240">
        <f>IFERROR(ROUND(计划落实!R305/计划!R305,5),0)</f>
        <v/>
      </c>
      <c r="S305" s="240">
        <f>IFERROR(ROUND(计划落实!S305/计划!S305,5),0)</f>
        <v/>
      </c>
      <c r="T305" s="240">
        <f>IFERROR(ROUND(计划落实!T305/计划!T305,5),0)</f>
        <v/>
      </c>
      <c r="U305" s="240">
        <f>IFERROR(ROUND(计划落实!U305/计划!U305,5),0)</f>
        <v/>
      </c>
      <c r="V305" s="240">
        <f>IFERROR(ROUND(计划落实!V305/计划!V305,5),0)</f>
        <v/>
      </c>
      <c r="W305" s="240">
        <f>IFERROR(ROUND(计划落实!W305/计划!W305,5),0)</f>
        <v/>
      </c>
      <c r="X305" s="240">
        <f>IFERROR(ROUND(计划落实!X305/计划!X305,5),0)</f>
        <v/>
      </c>
      <c r="Y305" s="240">
        <f>IFERROR(ROUND(计划落实!Y305/计划!Y305,5),0)</f>
        <v/>
      </c>
      <c r="Z305" s="240">
        <f>IFERROR(ROUND(计划落实!Z305/计划!Z305,5),0)</f>
        <v/>
      </c>
      <c r="AA305" s="240">
        <f>IFERROR(ROUND(计划落实!AA305/计划!AA305,5),0)</f>
        <v/>
      </c>
      <c r="AB305" s="240">
        <f>IFERROR(ROUND(计划落实!AB305/计划!AB305,5),0)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4" t="n"/>
      <c r="B306" s="55" t="inlineStr">
        <is>
          <t>SKU-CBB84AFA</t>
        </is>
      </c>
      <c r="C306" s="231" t="inlineStr"/>
      <c r="D306" s="231" t="n">
        <v>7</v>
      </c>
      <c r="E306" s="231" t="inlineStr"/>
      <c r="F306" s="231" t="inlineStr"/>
      <c r="G306" s="231" t="inlineStr"/>
      <c r="H306" s="231" t="inlineStr"/>
      <c r="I306" s="231" t="inlineStr"/>
      <c r="J306" s="56" t="inlineStr"/>
      <c r="K306" s="56" t="inlineStr">
        <is>
          <t>是</t>
        </is>
      </c>
      <c r="L306" s="231" t="n">
        <v>100</v>
      </c>
      <c r="M306" s="44" t="inlineStr">
        <is>
          <t>Product-9FF98A5E</t>
        </is>
      </c>
      <c r="N306" s="231" t="n">
        <v>1</v>
      </c>
      <c r="O306" s="239">
        <f>IFERROR(ROUND(计划落实!O306/计划!O306,5),0)</f>
        <v/>
      </c>
      <c r="P306" s="240">
        <f>IFERROR(ROUND(计划落实!P306/计划!P306,5),0)</f>
        <v/>
      </c>
      <c r="Q306" s="240">
        <f>IFERROR(ROUND(计划落实!Q306/计划!Q306,5),0)</f>
        <v/>
      </c>
      <c r="R306" s="240">
        <f>IFERROR(ROUND(计划落实!R306/计划!R306,5),0)</f>
        <v/>
      </c>
      <c r="S306" s="240">
        <f>IFERROR(ROUND(计划落实!S306/计划!S306,5),0)</f>
        <v/>
      </c>
      <c r="T306" s="240">
        <f>IFERROR(ROUND(计划落实!T306/计划!T306,5),0)</f>
        <v/>
      </c>
      <c r="U306" s="240">
        <f>IFERROR(ROUND(计划落实!U306/计划!U306,5),0)</f>
        <v/>
      </c>
      <c r="V306" s="240">
        <f>IFERROR(ROUND(计划落实!V306/计划!V306,5),0)</f>
        <v/>
      </c>
      <c r="W306" s="240">
        <f>IFERROR(ROUND(计划落实!W306/计划!W306,5),0)</f>
        <v/>
      </c>
      <c r="X306" s="240">
        <f>IFERROR(ROUND(计划落实!X306/计划!X306,5),0)</f>
        <v/>
      </c>
      <c r="Y306" s="240">
        <f>IFERROR(ROUND(计划落实!Y306/计划!Y306,5),0)</f>
        <v/>
      </c>
      <c r="Z306" s="240">
        <f>IFERROR(ROUND(计划落实!Z306/计划!Z306,5),0)</f>
        <v/>
      </c>
      <c r="AA306" s="240">
        <f>IFERROR(ROUND(计划落实!AA306/计划!AA306,5),0)</f>
        <v/>
      </c>
      <c r="AB306" s="240">
        <f>IFERROR(ROUND(计划落实!AB306/计划!AB306,5),0)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4" t="n"/>
      <c r="B307" s="231" t="inlineStr">
        <is>
          <t>SKU-64173031</t>
        </is>
      </c>
      <c r="C307" s="231" t="inlineStr"/>
      <c r="D307" s="231" t="n">
        <v>5</v>
      </c>
      <c r="E307" s="231" t="inlineStr"/>
      <c r="F307" s="231" t="inlineStr"/>
      <c r="G307" s="231" t="inlineStr"/>
      <c r="H307" s="231" t="inlineStr"/>
      <c r="I307" s="231" t="inlineStr"/>
      <c r="J307" s="56" t="inlineStr"/>
      <c r="K307" s="56" t="inlineStr">
        <is>
          <t>是</t>
        </is>
      </c>
      <c r="L307" s="231" t="n">
        <v>100</v>
      </c>
      <c r="M307" s="19" t="inlineStr">
        <is>
          <t>Product-CE4A3DBB</t>
        </is>
      </c>
      <c r="N307" s="231" t="n">
        <v>1</v>
      </c>
      <c r="O307" s="239">
        <f>IFERROR(ROUND(计划落实!O307/计划!O307,5),0)</f>
        <v/>
      </c>
      <c r="P307" s="240">
        <f>IFERROR(ROUND(计划落实!P307/计划!P307,5),0)</f>
        <v/>
      </c>
      <c r="Q307" s="240">
        <f>IFERROR(ROUND(计划落实!Q307/计划!Q307,5),0)</f>
        <v/>
      </c>
      <c r="R307" s="240">
        <f>IFERROR(ROUND(计划落实!R307/计划!R307,5),0)</f>
        <v/>
      </c>
      <c r="S307" s="240">
        <f>IFERROR(ROUND(计划落实!S307/计划!S307,5),0)</f>
        <v/>
      </c>
      <c r="T307" s="240">
        <f>IFERROR(ROUND(计划落实!T307/计划!T307,5),0)</f>
        <v/>
      </c>
      <c r="U307" s="240">
        <f>IFERROR(ROUND(计划落实!U307/计划!U307,5),0)</f>
        <v/>
      </c>
      <c r="V307" s="240">
        <f>IFERROR(ROUND(计划落实!V307/计划!V307,5),0)</f>
        <v/>
      </c>
      <c r="W307" s="240">
        <f>IFERROR(ROUND(计划落实!W307/计划!W307,5),0)</f>
        <v/>
      </c>
      <c r="X307" s="240">
        <f>IFERROR(ROUND(计划落实!X307/计划!X307,5),0)</f>
        <v/>
      </c>
      <c r="Y307" s="240">
        <f>IFERROR(ROUND(计划落实!Y307/计划!Y307,5),0)</f>
        <v/>
      </c>
      <c r="Z307" s="240">
        <f>IFERROR(ROUND(计划落实!Z307/计划!Z307,5),0)</f>
        <v/>
      </c>
      <c r="AA307" s="240">
        <f>IFERROR(ROUND(计划落实!AA307/计划!AA307,5),0)</f>
        <v/>
      </c>
      <c r="AB307" s="240">
        <f>IFERROR(ROUND(计划落实!AB307/计划!AB307,5),0)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4" t="n"/>
      <c r="B308" s="55" t="inlineStr">
        <is>
          <t>SKU-79156780</t>
        </is>
      </c>
      <c r="C308" s="231" t="inlineStr"/>
      <c r="D308" s="231" t="n">
        <v>11</v>
      </c>
      <c r="E308" s="231" t="inlineStr"/>
      <c r="F308" s="231" t="inlineStr"/>
      <c r="G308" s="231" t="inlineStr"/>
      <c r="H308" s="231" t="inlineStr"/>
      <c r="I308" s="231" t="inlineStr"/>
      <c r="J308" s="56" t="inlineStr"/>
      <c r="K308" s="56" t="inlineStr">
        <is>
          <t>是</t>
        </is>
      </c>
      <c r="L308" s="231" t="n">
        <v>100</v>
      </c>
      <c r="M308" s="59" t="inlineStr">
        <is>
          <t>Product-D8310139</t>
        </is>
      </c>
      <c r="N308" s="231" t="n">
        <v>3</v>
      </c>
      <c r="O308" s="239">
        <f>IFERROR(ROUND(计划落实!O308/计划!O308,5),0)</f>
        <v/>
      </c>
      <c r="P308" s="240">
        <f>IFERROR(ROUND(计划落实!P308/计划!P308,5),0)</f>
        <v/>
      </c>
      <c r="Q308" s="240">
        <f>IFERROR(ROUND(计划落实!Q308/计划!Q308,5),0)</f>
        <v/>
      </c>
      <c r="R308" s="240">
        <f>IFERROR(ROUND(计划落实!R308/计划!R308,5),0)</f>
        <v/>
      </c>
      <c r="S308" s="240">
        <f>IFERROR(ROUND(计划落实!S308/计划!S308,5),0)</f>
        <v/>
      </c>
      <c r="T308" s="240">
        <f>IFERROR(ROUND(计划落实!T308/计划!T308,5),0)</f>
        <v/>
      </c>
      <c r="U308" s="240">
        <f>IFERROR(ROUND(计划落实!U308/计划!U308,5),0)</f>
        <v/>
      </c>
      <c r="V308" s="240">
        <f>IFERROR(ROUND(计划落实!V308/计划!V308,5),0)</f>
        <v/>
      </c>
      <c r="W308" s="240">
        <f>IFERROR(ROUND(计划落实!W308/计划!W308,5),0)</f>
        <v/>
      </c>
      <c r="X308" s="240">
        <f>IFERROR(ROUND(计划落实!X308/计划!X308,5),0)</f>
        <v/>
      </c>
      <c r="Y308" s="240">
        <f>IFERROR(ROUND(计划落实!Y308/计划!Y308,5),0)</f>
        <v/>
      </c>
      <c r="Z308" s="240">
        <f>IFERROR(ROUND(计划落实!Z308/计划!Z308,5),0)</f>
        <v/>
      </c>
      <c r="AA308" s="240">
        <f>IFERROR(ROUND(计划落实!AA308/计划!AA308,5),0)</f>
        <v/>
      </c>
      <c r="AB308" s="240">
        <f>IFERROR(ROUND(计划落实!AB308/计划!AB308,5),0)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4" t="n"/>
      <c r="B309" s="55" t="inlineStr">
        <is>
          <t>SKU-5E2193C8</t>
        </is>
      </c>
      <c r="C309" s="231" t="inlineStr"/>
      <c r="D309" s="231" t="n">
        <v>11</v>
      </c>
      <c r="E309" s="231" t="inlineStr"/>
      <c r="F309" s="231" t="inlineStr"/>
      <c r="G309" s="231" t="inlineStr"/>
      <c r="H309" s="231" t="inlineStr"/>
      <c r="I309" s="231" t="inlineStr"/>
      <c r="J309" s="56" t="inlineStr"/>
      <c r="K309" s="56" t="inlineStr">
        <is>
          <t>是</t>
        </is>
      </c>
      <c r="L309" s="231" t="n">
        <v>100</v>
      </c>
      <c r="M309" s="59" t="inlineStr">
        <is>
          <t>Product-B1BCBBF1</t>
        </is>
      </c>
      <c r="N309" s="231" t="n">
        <v>2</v>
      </c>
      <c r="O309" s="239">
        <f>IFERROR(ROUND(计划落实!O309/计划!O309,5),0)</f>
        <v/>
      </c>
      <c r="P309" s="240">
        <f>IFERROR(ROUND(计划落实!P309/计划!P309,5),0)</f>
        <v/>
      </c>
      <c r="Q309" s="240">
        <f>IFERROR(ROUND(计划落实!Q309/计划!Q309,5),0)</f>
        <v/>
      </c>
      <c r="R309" s="240">
        <f>IFERROR(ROUND(计划落实!R309/计划!R309,5),0)</f>
        <v/>
      </c>
      <c r="S309" s="240">
        <f>IFERROR(ROUND(计划落实!S309/计划!S309,5),0)</f>
        <v/>
      </c>
      <c r="T309" s="240">
        <f>IFERROR(ROUND(计划落实!T309/计划!T309,5),0)</f>
        <v/>
      </c>
      <c r="U309" s="240">
        <f>IFERROR(ROUND(计划落实!U309/计划!U309,5),0)</f>
        <v/>
      </c>
      <c r="V309" s="240">
        <f>IFERROR(ROUND(计划落实!V309/计划!V309,5),0)</f>
        <v/>
      </c>
      <c r="W309" s="240">
        <f>IFERROR(ROUND(计划落实!W309/计划!W309,5),0)</f>
        <v/>
      </c>
      <c r="X309" s="240">
        <f>IFERROR(ROUND(计划落实!X309/计划!X309,5),0)</f>
        <v/>
      </c>
      <c r="Y309" s="240">
        <f>IFERROR(ROUND(计划落实!Y309/计划!Y309,5),0)</f>
        <v/>
      </c>
      <c r="Z309" s="240">
        <f>IFERROR(ROUND(计划落实!Z309/计划!Z309,5),0)</f>
        <v/>
      </c>
      <c r="AA309" s="240">
        <f>IFERROR(ROUND(计划落实!AA309/计划!AA309,5),0)</f>
        <v/>
      </c>
      <c r="AB309" s="240">
        <f>IFERROR(ROUND(计划落实!AB309/计划!AB309,5),0)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4" t="n"/>
      <c r="B310" s="55" t="inlineStr">
        <is>
          <t>SKU-E0B7650A</t>
        </is>
      </c>
      <c r="C310" s="231" t="inlineStr"/>
      <c r="D310" s="231" t="n">
        <v>9</v>
      </c>
      <c r="E310" s="231" t="inlineStr"/>
      <c r="F310" s="231" t="inlineStr">
        <is>
          <t>是</t>
        </is>
      </c>
      <c r="G310" s="231" t="inlineStr"/>
      <c r="H310" s="231" t="inlineStr"/>
      <c r="I310" s="231" t="inlineStr"/>
      <c r="J310" s="56" t="inlineStr"/>
      <c r="K310" s="56" t="inlineStr">
        <is>
          <t>是</t>
        </is>
      </c>
      <c r="L310" s="231" t="n">
        <v>100</v>
      </c>
      <c r="M310" s="59" t="inlineStr">
        <is>
          <t>Product-6CE7F780</t>
        </is>
      </c>
      <c r="N310" s="231" t="n">
        <v>1</v>
      </c>
      <c r="O310" s="239">
        <f>IFERROR(ROUND(计划落实!O310/计划!O310,5),0)</f>
        <v/>
      </c>
      <c r="P310" s="240">
        <f>IFERROR(ROUND(计划落实!P310/计划!P310,5),0)</f>
        <v/>
      </c>
      <c r="Q310" s="240">
        <f>IFERROR(ROUND(计划落实!Q310/计划!Q310,5),0)</f>
        <v/>
      </c>
      <c r="R310" s="240">
        <f>IFERROR(ROUND(计划落实!R310/计划!R310,5),0)</f>
        <v/>
      </c>
      <c r="S310" s="240">
        <f>IFERROR(ROUND(计划落实!S310/计划!S310,5),0)</f>
        <v/>
      </c>
      <c r="T310" s="240">
        <f>IFERROR(ROUND(计划落实!T310/计划!T310,5),0)</f>
        <v/>
      </c>
      <c r="U310" s="240">
        <f>IFERROR(ROUND(计划落实!U310/计划!U310,5),0)</f>
        <v/>
      </c>
      <c r="V310" s="240">
        <f>IFERROR(ROUND(计划落实!V310/计划!V310,5),0)</f>
        <v/>
      </c>
      <c r="W310" s="240">
        <f>IFERROR(ROUND(计划落实!W310/计划!W310,5),0)</f>
        <v/>
      </c>
      <c r="X310" s="240">
        <f>IFERROR(ROUND(计划落实!X310/计划!X310,5),0)</f>
        <v/>
      </c>
      <c r="Y310" s="240">
        <f>IFERROR(ROUND(计划落实!Y310/计划!Y310,5),0)</f>
        <v/>
      </c>
      <c r="Z310" s="240">
        <f>IFERROR(ROUND(计划落实!Z310/计划!Z310,5),0)</f>
        <v/>
      </c>
      <c r="AA310" s="240">
        <f>IFERROR(ROUND(计划落实!AA310/计划!AA310,5),0)</f>
        <v/>
      </c>
      <c r="AB310" s="240">
        <f>IFERROR(ROUND(计划落实!AB310/计划!AB310,5),0)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4" t="n"/>
      <c r="B311" s="55" t="inlineStr">
        <is>
          <t>SKU-843C0510</t>
        </is>
      </c>
      <c r="C311" s="231" t="inlineStr"/>
      <c r="D311" s="231" t="n">
        <v>5</v>
      </c>
      <c r="E311" s="231" t="inlineStr"/>
      <c r="F311" s="231" t="inlineStr"/>
      <c r="G311" s="231" t="inlineStr"/>
      <c r="H311" s="231" t="inlineStr"/>
      <c r="I311" s="231" t="inlineStr"/>
      <c r="J311" s="27" t="inlineStr"/>
      <c r="K311" s="27" t="inlineStr">
        <is>
          <t>是</t>
        </is>
      </c>
      <c r="L311" s="231" t="n">
        <v>100</v>
      </c>
      <c r="M311" s="77" t="inlineStr">
        <is>
          <t>Product-8E98715E</t>
        </is>
      </c>
      <c r="N311" s="231" t="n">
        <v>1</v>
      </c>
      <c r="O311" s="239">
        <f>IFERROR(ROUND(计划落实!O311/计划!O311,5),0)</f>
        <v/>
      </c>
      <c r="P311" s="240">
        <f>IFERROR(ROUND(计划落实!P311/计划!P311,5),0)</f>
        <v/>
      </c>
      <c r="Q311" s="240">
        <f>IFERROR(ROUND(计划落实!Q311/计划!Q311,5),0)</f>
        <v/>
      </c>
      <c r="R311" s="240">
        <f>IFERROR(ROUND(计划落实!R311/计划!R311,5),0)</f>
        <v/>
      </c>
      <c r="S311" s="240">
        <f>IFERROR(ROUND(计划落实!S311/计划!S311,5),0)</f>
        <v/>
      </c>
      <c r="T311" s="240">
        <f>IFERROR(ROUND(计划落实!T311/计划!T311,5),0)</f>
        <v/>
      </c>
      <c r="U311" s="240">
        <f>IFERROR(ROUND(计划落实!U311/计划!U311,5),0)</f>
        <v/>
      </c>
      <c r="V311" s="240">
        <f>IFERROR(ROUND(计划落实!V311/计划!V311,5),0)</f>
        <v/>
      </c>
      <c r="W311" s="240">
        <f>IFERROR(ROUND(计划落实!W311/计划!W311,5),0)</f>
        <v/>
      </c>
      <c r="X311" s="240">
        <f>IFERROR(ROUND(计划落实!X311/计划!X311,5),0)</f>
        <v/>
      </c>
      <c r="Y311" s="240">
        <f>IFERROR(ROUND(计划落实!Y311/计划!Y311,5),0)</f>
        <v/>
      </c>
      <c r="Z311" s="240">
        <f>IFERROR(ROUND(计划落实!Z311/计划!Z311,5),0)</f>
        <v/>
      </c>
      <c r="AA311" s="240">
        <f>IFERROR(ROUND(计划落实!AA311/计划!AA311,5),0)</f>
        <v/>
      </c>
      <c r="AB311" s="240">
        <f>IFERROR(ROUND(计划落实!AB311/计划!AB311,5),0)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4" t="n"/>
      <c r="B312" s="55" t="inlineStr">
        <is>
          <t>SKU-24B633DE</t>
        </is>
      </c>
      <c r="C312" s="231" t="inlineStr"/>
      <c r="D312" s="55" t="n">
        <v>4</v>
      </c>
      <c r="E312" s="231" t="inlineStr"/>
      <c r="F312" s="231" t="inlineStr"/>
      <c r="G312" s="231" t="inlineStr"/>
      <c r="H312" s="231" t="inlineStr"/>
      <c r="I312" s="231" t="inlineStr"/>
      <c r="J312" s="27" t="inlineStr"/>
      <c r="K312" s="27" t="inlineStr">
        <is>
          <t>是</t>
        </is>
      </c>
      <c r="L312" s="231" t="n">
        <v>100</v>
      </c>
      <c r="M312" s="59" t="inlineStr">
        <is>
          <t>Product-7888AB17</t>
        </is>
      </c>
      <c r="N312" s="231" t="n">
        <v>1</v>
      </c>
      <c r="O312" s="239">
        <f>IFERROR(ROUND(计划落实!O312/计划!O312,5),0)</f>
        <v/>
      </c>
      <c r="P312" s="240">
        <f>IFERROR(ROUND(计划落实!P312/计划!P312,5),0)</f>
        <v/>
      </c>
      <c r="Q312" s="240">
        <f>IFERROR(ROUND(计划落实!Q312/计划!Q312,5),0)</f>
        <v/>
      </c>
      <c r="R312" s="240">
        <f>IFERROR(ROUND(计划落实!R312/计划!R312,5),0)</f>
        <v/>
      </c>
      <c r="S312" s="240">
        <f>IFERROR(ROUND(计划落实!S312/计划!S312,5),0)</f>
        <v/>
      </c>
      <c r="T312" s="240">
        <f>IFERROR(ROUND(计划落实!T312/计划!T312,5),0)</f>
        <v/>
      </c>
      <c r="U312" s="240">
        <f>IFERROR(ROUND(计划落实!U312/计划!U312,5),0)</f>
        <v/>
      </c>
      <c r="V312" s="240">
        <f>IFERROR(ROUND(计划落实!V312/计划!V312,5),0)</f>
        <v/>
      </c>
      <c r="W312" s="240">
        <f>IFERROR(ROUND(计划落实!W312/计划!W312,5),0)</f>
        <v/>
      </c>
      <c r="X312" s="240">
        <f>IFERROR(ROUND(计划落实!X312/计划!X312,5),0)</f>
        <v/>
      </c>
      <c r="Y312" s="240">
        <f>IFERROR(ROUND(计划落实!Y312/计划!Y312,5),0)</f>
        <v/>
      </c>
      <c r="Z312" s="240">
        <f>IFERROR(ROUND(计划落实!Z312/计划!Z312,5),0)</f>
        <v/>
      </c>
      <c r="AA312" s="240">
        <f>IFERROR(ROUND(计划落实!AA312/计划!AA312,5),0)</f>
        <v/>
      </c>
      <c r="AB312" s="240">
        <f>IFERROR(ROUND(计划落实!AB312/计划!AB312,5),0)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4" t="n"/>
      <c r="B313" s="231" t="inlineStr">
        <is>
          <t>SKU-0408BC7B</t>
        </is>
      </c>
      <c r="C313" s="231" t="inlineStr"/>
      <c r="D313" s="231" t="n">
        <v>4</v>
      </c>
      <c r="E313" s="231" t="inlineStr">
        <is>
          <t>是</t>
        </is>
      </c>
      <c r="F313" s="231" t="inlineStr"/>
      <c r="G313" s="231" t="inlineStr"/>
      <c r="H313" s="231" t="inlineStr">
        <is>
          <t>是</t>
        </is>
      </c>
      <c r="I313" s="231" t="inlineStr"/>
      <c r="J313" s="27" t="inlineStr"/>
      <c r="K313" s="27" t="inlineStr">
        <is>
          <t>是</t>
        </is>
      </c>
      <c r="L313" s="231" t="n">
        <v>100</v>
      </c>
      <c r="M313" s="19" t="inlineStr">
        <is>
          <t>Product-5A027F0E</t>
        </is>
      </c>
      <c r="N313" s="231" t="n">
        <v>1</v>
      </c>
      <c r="O313" s="236">
        <f>IFERROR(ROUND(计划落实!O313/计划!O313,5),0)</f>
        <v/>
      </c>
      <c r="P313" s="237">
        <f>IFERROR(ROUND(计划落实!P313/计划!P313,5),0)</f>
        <v/>
      </c>
      <c r="Q313" s="237">
        <f>IFERROR(ROUND(计划落实!Q313/计划!Q313,5),0)</f>
        <v/>
      </c>
      <c r="R313" s="237">
        <f>IFERROR(ROUND(计划落实!R313/计划!R313,5),0)</f>
        <v/>
      </c>
      <c r="S313" s="237">
        <f>IFERROR(ROUND(计划落实!S313/计划!S313,5),0)</f>
        <v/>
      </c>
      <c r="T313" s="237">
        <f>IFERROR(ROUND(计划落实!T313/计划!T313,5),0)</f>
        <v/>
      </c>
      <c r="U313" s="237">
        <f>IFERROR(ROUND(计划落实!U313/计划!U313,5),0)</f>
        <v/>
      </c>
      <c r="V313" s="237">
        <f>IFERROR(ROUND(计划落实!V313/计划!V313,5),0)</f>
        <v/>
      </c>
      <c r="W313" s="237">
        <f>IFERROR(ROUND(计划落实!W313/计划!W313,5),0)</f>
        <v/>
      </c>
      <c r="X313" s="237">
        <f>IFERROR(ROUND(计划落实!X313/计划!X313,5),0)</f>
        <v/>
      </c>
      <c r="Y313" s="237">
        <f>IFERROR(ROUND(计划落实!Y313/计划!Y313,5),0)</f>
        <v/>
      </c>
      <c r="Z313" s="237">
        <f>IFERROR(ROUND(计划落实!Z313/计划!Z313,5),0)</f>
        <v/>
      </c>
      <c r="AA313" s="237">
        <f>IFERROR(ROUND(计划落实!AA313/计划!AA313,5),0)</f>
        <v/>
      </c>
      <c r="AB313" s="237">
        <f>IFERROR(ROUND(计划落实!AB313/计划!AB313,5),0)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5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239">
        <f>IFERROR(ROUND(计划落实!O314/计划!O314,5),0)</f>
        <v/>
      </c>
      <c r="P314" s="239">
        <f>IFERROR(ROUND(计划落实!P314/计划!P314,5),0)</f>
        <v/>
      </c>
      <c r="Q314" s="239">
        <f>IFERROR(ROUND(计划落实!Q314/计划!Q314,5),0)</f>
        <v/>
      </c>
      <c r="R314" s="239">
        <f>IFERROR(ROUND(计划落实!R314/计划!R314,5),0)</f>
        <v/>
      </c>
      <c r="S314" s="239">
        <f>IFERROR(ROUND(计划落实!S314/计划!S314,5),0)</f>
        <v/>
      </c>
      <c r="T314" s="239">
        <f>IFERROR(ROUND(计划落实!T314/计划!T314,5),0)</f>
        <v/>
      </c>
      <c r="U314" s="239">
        <f>IFERROR(ROUND(计划落实!U314/计划!U314,5),0)</f>
        <v/>
      </c>
      <c r="V314" s="239">
        <f>IFERROR(ROUND(计划落实!V314/计划!V314,5),0)</f>
        <v/>
      </c>
      <c r="W314" s="239">
        <f>IFERROR(ROUND(计划落实!W314/计划!W314,5),0)</f>
        <v/>
      </c>
      <c r="X314" s="239">
        <f>IFERROR(ROUND(计划落实!X314/计划!X314,5),0)</f>
        <v/>
      </c>
      <c r="Y314" s="239">
        <f>IFERROR(ROUND(计划落实!Y314/计划!Y314,5),0)</f>
        <v/>
      </c>
      <c r="Z314" s="239">
        <f>IFERROR(ROUND(计划落实!Z314/计划!Z314,5),0)</f>
        <v/>
      </c>
      <c r="AA314" s="239">
        <f>IFERROR(ROUND(计划落实!AA314/计划!AA314,5),0)</f>
        <v/>
      </c>
      <c r="AB314" s="239">
        <f>IFERROR(ROUND(计划落实!AB314/计划!AB314,5),0)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239">
        <f>IFERROR(ROUND(计划落实!O315/计划!O315,5),0)</f>
        <v/>
      </c>
      <c r="P315" s="243">
        <f>IFERROR(ROUND(计划落实!P315/计划!P315,5),0)</f>
        <v/>
      </c>
      <c r="Q315" s="243">
        <f>IFERROR(ROUND(计划落实!Q315/计划!Q315,5),0)</f>
        <v/>
      </c>
      <c r="R315" s="243">
        <f>IFERROR(ROUND(计划落实!R315/计划!R315,5),0)</f>
        <v/>
      </c>
      <c r="S315" s="243">
        <f>IFERROR(ROUND(计划落实!S315/计划!S315,5),0)</f>
        <v/>
      </c>
      <c r="T315" s="243">
        <f>IFERROR(ROUND(计划落实!T315/计划!T315,5),0)</f>
        <v/>
      </c>
      <c r="U315" s="243">
        <f>IFERROR(ROUND(计划落实!U315/计划!U315,5),0)</f>
        <v/>
      </c>
      <c r="V315" s="243">
        <f>IFERROR(ROUND(计划落实!V315/计划!V315,5),0)</f>
        <v/>
      </c>
      <c r="W315" s="243">
        <f>IFERROR(ROUND(计划落实!W315/计划!W315,5),0)</f>
        <v/>
      </c>
      <c r="X315" s="243">
        <f>IFERROR(ROUND(计划落实!X315/计划!X315,5),0)</f>
        <v/>
      </c>
      <c r="Y315" s="243">
        <f>IFERROR(ROUND(计划落实!Y315/计划!Y315,5),0)</f>
        <v/>
      </c>
      <c r="Z315" s="243">
        <f>IFERROR(ROUND(计划落实!Z315/计划!Z315,5),0)</f>
        <v/>
      </c>
      <c r="AA315" s="243">
        <f>IFERROR(ROUND(计划落实!AA315/计划!AA315,5),0)</f>
        <v/>
      </c>
      <c r="AB315" s="243">
        <f>IFERROR(ROUND(计划落实!AB315/计划!AB315,5),0)</f>
        <v/>
      </c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239">
        <f>IFERROR(ROUND(计划落实!O316/计划!O316,5),0)</f>
        <v/>
      </c>
      <c r="P316" s="239">
        <f>IFERROR(ROUND(计划落实!P316/计划!P316,5),0)</f>
        <v/>
      </c>
      <c r="Q316" s="239">
        <f>IFERROR(ROUND(计划落实!Q316/计划!Q316,5),0)</f>
        <v/>
      </c>
      <c r="R316" s="239">
        <f>IFERROR(ROUND(计划落实!R316/计划!R316,5),0)</f>
        <v/>
      </c>
      <c r="S316" s="239">
        <f>IFERROR(ROUND(计划落实!S316/计划!S316,5),0)</f>
        <v/>
      </c>
      <c r="T316" s="239">
        <f>IFERROR(ROUND(计划落实!T316/计划!T316,5),0)</f>
        <v/>
      </c>
      <c r="U316" s="239">
        <f>IFERROR(ROUND(计划落实!U316/计划!U316,5),0)</f>
        <v/>
      </c>
      <c r="V316" s="239">
        <f>IFERROR(ROUND(计划落实!V316/计划!V316,5),0)</f>
        <v/>
      </c>
      <c r="W316" s="239">
        <f>IFERROR(ROUND(计划落实!W316/计划!W316,5),0)</f>
        <v/>
      </c>
      <c r="X316" s="239">
        <f>IFERROR(ROUND(计划落实!X316/计划!X316,5),0)</f>
        <v/>
      </c>
      <c r="Y316" s="239">
        <f>IFERROR(ROUND(计划落实!Y316/计划!Y316,5),0)</f>
        <v/>
      </c>
      <c r="Z316" s="239">
        <f>IFERROR(ROUND(计划落实!Z316/计划!Z316,5),0)</f>
        <v/>
      </c>
      <c r="AA316" s="239">
        <f>IFERROR(ROUND(计划落实!AA316/计划!AA316,5),0)</f>
        <v/>
      </c>
      <c r="AB316" s="239">
        <f>IFERROR(ROUND(计划落实!AB316/计划!AB316,5),0)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239">
        <f>IFERROR(ROUND(计划落实!O317/计划!O317,5),0)</f>
        <v/>
      </c>
      <c r="P317" s="239">
        <f>IFERROR(ROUND(计划落实!P317/计划!P317,5),0)</f>
        <v/>
      </c>
      <c r="Q317" s="239">
        <f>IFERROR(ROUND(计划落实!Q317/计划!Q317,5),0)</f>
        <v/>
      </c>
      <c r="R317" s="239">
        <f>IFERROR(ROUND(计划落实!R317/计划!R317,5),0)</f>
        <v/>
      </c>
      <c r="S317" s="239">
        <f>IFERROR(ROUND(计划落实!S317/计划!S317,5),0)</f>
        <v/>
      </c>
      <c r="T317" s="239">
        <f>IFERROR(ROUND(计划落实!T317/计划!T317,5),0)</f>
        <v/>
      </c>
      <c r="U317" s="239">
        <f>IFERROR(ROUND(计划落实!U317/计划!U317,5),0)</f>
        <v/>
      </c>
      <c r="V317" s="239">
        <f>IFERROR(ROUND(计划落实!V317/计划!V317,5),0)</f>
        <v/>
      </c>
      <c r="W317" s="239">
        <f>IFERROR(ROUND(计划落实!W317/计划!W317,5),0)</f>
        <v/>
      </c>
      <c r="X317" s="239">
        <f>IFERROR(ROUND(计划落实!X317/计划!X317,5),0)</f>
        <v/>
      </c>
      <c r="Y317" s="239">
        <f>IFERROR(ROUND(计划落实!Y317/计划!Y317,5),0)</f>
        <v/>
      </c>
      <c r="Z317" s="239">
        <f>IFERROR(ROUND(计划落实!Z317/计划!Z317,5),0)</f>
        <v/>
      </c>
      <c r="AA317" s="239">
        <f>IFERROR(ROUND(计划落实!AA317/计划!AA317,5),0)</f>
        <v/>
      </c>
      <c r="AB317" s="239">
        <f>IFERROR(ROUND(计划落实!AB317/计划!AB317,5),0)</f>
        <v/>
      </c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242">
        <f>IFERROR(ROUND(计划落实!O318/计划!O318,5),0)</f>
        <v/>
      </c>
      <c r="P318" s="242">
        <f>IFERROR(ROUND(计划落实!P318/计划!P318,5),0)</f>
        <v/>
      </c>
      <c r="Q318" s="242">
        <f>IFERROR(ROUND(计划落实!Q318/计划!Q318,5),0)</f>
        <v/>
      </c>
      <c r="R318" s="242">
        <f>IFERROR(ROUND(计划落实!R318/计划!R318,5),0)</f>
        <v/>
      </c>
      <c r="S318" s="242">
        <f>IFERROR(ROUND(计划落实!S318/计划!S318,5),0)</f>
        <v/>
      </c>
      <c r="T318" s="242">
        <f>IFERROR(ROUND(计划落实!T318/计划!T318,5),0)</f>
        <v/>
      </c>
      <c r="U318" s="242">
        <f>IFERROR(ROUND(计划落实!U318/计划!U318,5),0)</f>
        <v/>
      </c>
      <c r="V318" s="242">
        <f>IFERROR(ROUND(计划落实!V318/计划!V318,5),0)</f>
        <v/>
      </c>
      <c r="W318" s="242">
        <f>IFERROR(ROUND(计划落实!W318/计划!W318,5),0)</f>
        <v/>
      </c>
      <c r="X318" s="242">
        <f>IFERROR(ROUND(计划落实!X318/计划!X318,5),0)</f>
        <v/>
      </c>
      <c r="Y318" s="242">
        <f>IFERROR(ROUND(计划落实!Y318/计划!Y318,5),0)</f>
        <v/>
      </c>
      <c r="Z318" s="242">
        <f>IFERROR(ROUND(计划落实!Z318/计划!Z318,5),0)</f>
        <v/>
      </c>
      <c r="AA318" s="242">
        <f>IFERROR(ROUND(计划落实!AA318/计划!AA318,5),0)</f>
        <v/>
      </c>
      <c r="AB318" s="242">
        <f>IFERROR(ROUND(计划落实!AB318/计划!AB318,5),0)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244">
        <f>IFERROR(IF(#REF!&gt;1,#REF!/#REF!,#REF!/计划!O323),0)</f>
        <v/>
      </c>
      <c r="P323" s="245">
        <f>IFERROR(IF(#REF!&gt;1,#REF!/#REF!,#REF!/计划!P323),0)</f>
        <v/>
      </c>
      <c r="Q323" s="245">
        <f>IFERROR(IF(#REF!&gt;1,#REF!/#REF!,#REF!/计划!Q323),0)</f>
        <v/>
      </c>
      <c r="R323" s="245">
        <f>IFERROR(IF(#REF!&gt;1,#REF!/#REF!,#REF!/计划!R323),0)</f>
        <v/>
      </c>
      <c r="S323" s="245">
        <f>IFERROR(IF(#REF!&gt;1,#REF!/#REF!,#REF!/计划!S323),0)</f>
        <v/>
      </c>
      <c r="T323" s="245">
        <f>IFERROR(IF(#REF!&gt;1,#REF!/#REF!,#REF!/计划!T323),0)</f>
        <v/>
      </c>
      <c r="U323" s="245">
        <f>IFERROR(IF(#REF!&gt;1,#REF!/#REF!,#REF!/计划!U323),0)</f>
        <v/>
      </c>
      <c r="V323" s="245">
        <f>IFERROR(IF(#REF!&gt;1,#REF!/#REF!,#REF!/计划!V323),0)</f>
        <v/>
      </c>
      <c r="W323" s="245">
        <f>IFERROR(IF(#REF!&gt;1,#REF!/#REF!,#REF!/计划!W323),0)</f>
        <v/>
      </c>
      <c r="X323" s="245">
        <f>IFERROR(IF(#REF!&gt;1,#REF!/#REF!,#REF!/计划!X323),0)</f>
        <v/>
      </c>
      <c r="Y323" s="245">
        <f>IFERROR(IF(#REF!&gt;1,#REF!/#REF!,#REF!/计划!Y323),0)</f>
        <v/>
      </c>
      <c r="Z323" s="245">
        <f>IFERROR(IF(#REF!&gt;1,#REF!/#REF!,#REF!/计划!Z323),0)</f>
        <v/>
      </c>
      <c r="AA323" s="245">
        <f>IFERROR(IF(#REF!&gt;1,#REF!/#REF!,#REF!/计划!AA323),0)</f>
        <v/>
      </c>
      <c r="AB323" s="246">
        <f>IFERROR(IF(#REF!&gt;1,#REF!/#REF!,#REF!/计划!AB323),0)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31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31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31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31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31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31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31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2018-06-07T11:28:41Z</dcterms:created>
  <dcterms:modified xmlns:dcterms="http://purl.org/dc/terms/" xmlns:xsi="http://www.w3.org/2001/XMLSchema-instance" xsi:type="dcterms:W3CDTF">2026-09-08T07:59:48Z</dcterms:modified>
  <cp:lastModifiedBy>徐皓月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C15DE9B978494770A8CEDB245CEC7385_13</vt:lpwstr>
  </property>
  <property name="CalculationRule" fmtid="{D5CDD505-2E9C-101B-9397-08002B2CF9AE}" pid="4">
    <vt:i4 xmlns:vt="http://schemas.openxmlformats.org/officeDocument/2006/docPropsVTypes">0</vt:i4>
  </property>
</Properties>
</file>